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m.Teo\Documents\Delay Report - Rewrite\"/>
    </mc:Choice>
  </mc:AlternateContent>
  <xr:revisionPtr revIDLastSave="0" documentId="13_ncr:1_{BF8F6393-6B2D-49E7-AC5A-89FC1D1D92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07.08.2020" sheetId="104" r:id="rId1"/>
    <sheet name="06.08.2020" sheetId="103" r:id="rId2"/>
    <sheet name="05.08.2020" sheetId="102" r:id="rId3"/>
    <sheet name="04.08.2020" sheetId="100" r:id="rId4"/>
    <sheet name="03.08.2020" sheetId="99" r:id="rId5"/>
    <sheet name="Original ETD" sheetId="38" r:id="rId6"/>
  </sheets>
  <definedNames>
    <definedName name="_xlnm._FilterDatabase" localSheetId="4" hidden="1">'03.08.2020'!$A$1:$AG$294</definedName>
    <definedName name="_xlnm._FilterDatabase" localSheetId="3" hidden="1">'04.08.2020'!$A$1:$AG$296</definedName>
    <definedName name="_xlnm._FilterDatabase" localSheetId="2" hidden="1">'05.08.2020'!$A$1:$AG$299</definedName>
    <definedName name="_xlnm._FilterDatabase" localSheetId="1" hidden="1">'06.08.2020'!$A$1:$AG$301</definedName>
    <definedName name="_xlnm._FilterDatabase" localSheetId="0" hidden="1">'07.08.2020'!$A$1:$AB$303</definedName>
    <definedName name="_xlnm._FilterDatabase" localSheetId="5" hidden="1">'Original ETD'!$A$1:$AB$294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223" i="103" l="1"/>
  <c r="AC223" i="103"/>
  <c r="AD222" i="103"/>
  <c r="AC222" i="103"/>
  <c r="AD221" i="103"/>
  <c r="AC221" i="103"/>
  <c r="AD220" i="103"/>
  <c r="AC220" i="103"/>
  <c r="AD219" i="103"/>
  <c r="AC219" i="103"/>
  <c r="AD218" i="103"/>
  <c r="AC218" i="103"/>
  <c r="AD217" i="103"/>
  <c r="AC217" i="103"/>
  <c r="AD216" i="103"/>
  <c r="AC216" i="103"/>
  <c r="AD215" i="103"/>
  <c r="AC215" i="103"/>
  <c r="AD214" i="103"/>
  <c r="AC214" i="103"/>
  <c r="AD213" i="103"/>
  <c r="AC213" i="103"/>
  <c r="AD212" i="103"/>
  <c r="AC212" i="103"/>
  <c r="AD211" i="103"/>
  <c r="AC211" i="103"/>
  <c r="AD210" i="103"/>
  <c r="AC210" i="103"/>
  <c r="AD209" i="103"/>
  <c r="AC209" i="103"/>
  <c r="AD208" i="103"/>
  <c r="AC208" i="103"/>
  <c r="AD207" i="103"/>
  <c r="AC207" i="103"/>
  <c r="AD206" i="103"/>
  <c r="AC206" i="103"/>
  <c r="AD205" i="103"/>
  <c r="AC205" i="103"/>
  <c r="AD204" i="103"/>
  <c r="AC204" i="103"/>
  <c r="AD203" i="103"/>
  <c r="AC203" i="103"/>
  <c r="AD202" i="103"/>
  <c r="AC202" i="103"/>
  <c r="AD201" i="103"/>
  <c r="AC201" i="103"/>
  <c r="AD200" i="103"/>
  <c r="AC200" i="103"/>
  <c r="AD199" i="103"/>
  <c r="AC199" i="103"/>
  <c r="AD198" i="103"/>
  <c r="AC198" i="103"/>
  <c r="AD197" i="103"/>
  <c r="AC197" i="103"/>
  <c r="AD196" i="103"/>
  <c r="AC196" i="103"/>
  <c r="AD195" i="103"/>
  <c r="AC195" i="103"/>
  <c r="AD194" i="103"/>
  <c r="AC194" i="103"/>
  <c r="AD193" i="103"/>
  <c r="AC193" i="103"/>
  <c r="AD192" i="103"/>
  <c r="AC192" i="103"/>
  <c r="AD191" i="103"/>
  <c r="AC191" i="103"/>
  <c r="AD190" i="103"/>
  <c r="AC190" i="103"/>
  <c r="AD189" i="103"/>
  <c r="AC189" i="103"/>
  <c r="AD188" i="103"/>
  <c r="AC188" i="103"/>
  <c r="AD187" i="103"/>
  <c r="AC187" i="103"/>
  <c r="AD186" i="103"/>
  <c r="AC186" i="103"/>
  <c r="AD185" i="103"/>
  <c r="AC185" i="103"/>
  <c r="AD184" i="103"/>
  <c r="AC184" i="103"/>
  <c r="AD150" i="103"/>
  <c r="AC150" i="103"/>
  <c r="AD36" i="103"/>
  <c r="AC36" i="103"/>
  <c r="AD35" i="103"/>
  <c r="AC35" i="103"/>
  <c r="AD259" i="103"/>
  <c r="AC259" i="103"/>
  <c r="AD258" i="103"/>
  <c r="AC258" i="103"/>
  <c r="AD257" i="103"/>
  <c r="AC257" i="103"/>
  <c r="AD256" i="103"/>
  <c r="AC256" i="103"/>
  <c r="AD255" i="103"/>
  <c r="AC255" i="103"/>
  <c r="AD183" i="103"/>
  <c r="AC183" i="103"/>
  <c r="AD182" i="103"/>
  <c r="AC182" i="103"/>
  <c r="AD181" i="103"/>
  <c r="AC181" i="103"/>
  <c r="AD180" i="103"/>
  <c r="AC180" i="103"/>
  <c r="AD179" i="103"/>
  <c r="AC179" i="103"/>
  <c r="AD178" i="103"/>
  <c r="AC178" i="103"/>
  <c r="AD177" i="103"/>
  <c r="AC177" i="103"/>
  <c r="AD103" i="103"/>
  <c r="AC103" i="103"/>
  <c r="AD102" i="103"/>
  <c r="AC102" i="103"/>
  <c r="AD101" i="103"/>
  <c r="AC101" i="103"/>
  <c r="AD100" i="103"/>
  <c r="AC100" i="103"/>
  <c r="AD64" i="103"/>
  <c r="AC64" i="103"/>
  <c r="AD63" i="103"/>
  <c r="AC63" i="103"/>
  <c r="AD62" i="103"/>
  <c r="AC62" i="103"/>
  <c r="AD61" i="103"/>
  <c r="AC61" i="103"/>
  <c r="AD41" i="103"/>
  <c r="AC41" i="103"/>
  <c r="AD40" i="103"/>
  <c r="AC40" i="103"/>
  <c r="AD39" i="103"/>
  <c r="AC39" i="103"/>
  <c r="AD38" i="103"/>
  <c r="AC38" i="103"/>
  <c r="AD37" i="103"/>
  <c r="AC37" i="103"/>
  <c r="AD122" i="103"/>
  <c r="AD119" i="103"/>
  <c r="AC119" i="103"/>
  <c r="AD118" i="103"/>
  <c r="AC118" i="103"/>
  <c r="AD91" i="103"/>
  <c r="AD86" i="103"/>
  <c r="AC86" i="103"/>
  <c r="AD78" i="103"/>
  <c r="AD77" i="103"/>
  <c r="AD76" i="103"/>
  <c r="AD74" i="103"/>
  <c r="AD73" i="103"/>
  <c r="AD72" i="103"/>
  <c r="AD5" i="103" l="1"/>
  <c r="AC5" i="103"/>
  <c r="AD4" i="103"/>
  <c r="AC4" i="103"/>
  <c r="AD289" i="103"/>
  <c r="AC289" i="103"/>
  <c r="AD288" i="103"/>
  <c r="AC288" i="103"/>
  <c r="AD287" i="103"/>
  <c r="AC287" i="103"/>
  <c r="AD286" i="103"/>
  <c r="AC286" i="103"/>
  <c r="AD285" i="103"/>
  <c r="AC285" i="103"/>
  <c r="AD284" i="103"/>
  <c r="AC284" i="103"/>
  <c r="AD283" i="103"/>
  <c r="AC283" i="103"/>
  <c r="AD282" i="103"/>
  <c r="AC282" i="103"/>
  <c r="AD281" i="103"/>
  <c r="AC281" i="103"/>
  <c r="AD280" i="103"/>
  <c r="AC280" i="103"/>
  <c r="AD279" i="103"/>
  <c r="AC279" i="103"/>
  <c r="AD278" i="103"/>
  <c r="AC278" i="103"/>
  <c r="AD277" i="103"/>
  <c r="AC277" i="103"/>
  <c r="AD276" i="103"/>
  <c r="AC276" i="103"/>
  <c r="AD275" i="103"/>
  <c r="AC275" i="103"/>
  <c r="AD164" i="103"/>
  <c r="AC164" i="103"/>
  <c r="AD163" i="103"/>
  <c r="AC163" i="103"/>
  <c r="AD162" i="103"/>
  <c r="AC162" i="103"/>
  <c r="AD161" i="103"/>
  <c r="AC161" i="103"/>
  <c r="AD160" i="103"/>
  <c r="AC160" i="103"/>
  <c r="AD159" i="103"/>
  <c r="AC159" i="103"/>
  <c r="AD158" i="103"/>
  <c r="AC158" i="103"/>
  <c r="AD157" i="103"/>
  <c r="AC157" i="103"/>
  <c r="AD156" i="103"/>
  <c r="AC156" i="103"/>
  <c r="AD155" i="103"/>
  <c r="AC155" i="103"/>
  <c r="AD154" i="103"/>
  <c r="AC154" i="103"/>
  <c r="AD153" i="103"/>
  <c r="AC153" i="103"/>
  <c r="AD152" i="103"/>
  <c r="AC152" i="103"/>
  <c r="AD151" i="103"/>
  <c r="AC151" i="103"/>
  <c r="AD137" i="103"/>
  <c r="AC137" i="103"/>
  <c r="AD136" i="103"/>
  <c r="AC136" i="103"/>
  <c r="AD135" i="103"/>
  <c r="AC135" i="103"/>
  <c r="AD134" i="103"/>
  <c r="AC134" i="103"/>
  <c r="AD133" i="103"/>
  <c r="AC133" i="103"/>
  <c r="AD132" i="103"/>
  <c r="AC132" i="103"/>
  <c r="AD131" i="103"/>
  <c r="AC131" i="103"/>
  <c r="AD130" i="103"/>
  <c r="AC130" i="103"/>
  <c r="AD129" i="103"/>
  <c r="AC129" i="103"/>
  <c r="AD128" i="103"/>
  <c r="AC128" i="103"/>
  <c r="AD127" i="103"/>
  <c r="AC127" i="103"/>
  <c r="AD126" i="103"/>
  <c r="AC126" i="103"/>
  <c r="AD125" i="103"/>
  <c r="AC125" i="103"/>
  <c r="AD124" i="103"/>
  <c r="AC124" i="103"/>
  <c r="AD71" i="103"/>
  <c r="AC71" i="103"/>
  <c r="AD70" i="103"/>
  <c r="AC70" i="103"/>
  <c r="AD69" i="103"/>
  <c r="AC69" i="103"/>
  <c r="AD68" i="103"/>
  <c r="AC68" i="103"/>
  <c r="AD67" i="103"/>
  <c r="AC67" i="103"/>
  <c r="AD66" i="103"/>
  <c r="AC66" i="103"/>
  <c r="AD65" i="103"/>
  <c r="AC65" i="103"/>
  <c r="AD301" i="103" l="1"/>
  <c r="AC301" i="103"/>
  <c r="AD300" i="103"/>
  <c r="AC300" i="103"/>
  <c r="AD297" i="103"/>
  <c r="AC297" i="103"/>
  <c r="AD296" i="103"/>
  <c r="AC296" i="103"/>
  <c r="AD294" i="103"/>
  <c r="AC294" i="103"/>
  <c r="AD293" i="103"/>
  <c r="AC293" i="103"/>
  <c r="AD292" i="103"/>
  <c r="AC292" i="103"/>
  <c r="AD291" i="103"/>
  <c r="AC291" i="103"/>
  <c r="AD290" i="103"/>
  <c r="AC290" i="103"/>
  <c r="AD261" i="103"/>
  <c r="AC261" i="103"/>
  <c r="AD260" i="103"/>
  <c r="AC260" i="103"/>
  <c r="AD250" i="103"/>
  <c r="AC250" i="103"/>
  <c r="AD249" i="103"/>
  <c r="AC249" i="103"/>
  <c r="AD247" i="103"/>
  <c r="AC247" i="103"/>
  <c r="AD246" i="103"/>
  <c r="AC246" i="103"/>
  <c r="AD245" i="103"/>
  <c r="AC245" i="103"/>
  <c r="AD244" i="103"/>
  <c r="AC244" i="103"/>
  <c r="AD235" i="103"/>
  <c r="AC235" i="103"/>
  <c r="AD234" i="103"/>
  <c r="AC234" i="103"/>
  <c r="AD233" i="103"/>
  <c r="AC233" i="103"/>
  <c r="AD232" i="103"/>
  <c r="AC232" i="103"/>
  <c r="AD231" i="103"/>
  <c r="AC231" i="103"/>
  <c r="AD230" i="103"/>
  <c r="AC230" i="103"/>
  <c r="AD229" i="103"/>
  <c r="AC229" i="103"/>
  <c r="AD228" i="103"/>
  <c r="AC228" i="103"/>
  <c r="AD226" i="103"/>
  <c r="AC226" i="103"/>
  <c r="AD225" i="103"/>
  <c r="AC225" i="103"/>
  <c r="AD176" i="103"/>
  <c r="AC176" i="103"/>
  <c r="AD175" i="103"/>
  <c r="AC175" i="103"/>
  <c r="AD173" i="103"/>
  <c r="AC173" i="103"/>
  <c r="AD172" i="103"/>
  <c r="AC172" i="103"/>
  <c r="AD171" i="103"/>
  <c r="AC171" i="103"/>
  <c r="AD170" i="103"/>
  <c r="AC170" i="103"/>
  <c r="AD168" i="103"/>
  <c r="AC168" i="103"/>
  <c r="AD167" i="103"/>
  <c r="AC167" i="103"/>
  <c r="AD166" i="103"/>
  <c r="AC166" i="103"/>
  <c r="AD149" i="103"/>
  <c r="AC149" i="103"/>
  <c r="AD148" i="103"/>
  <c r="AC148" i="103"/>
  <c r="AD147" i="103"/>
  <c r="AC147" i="103"/>
  <c r="AD146" i="103"/>
  <c r="AC146" i="103"/>
  <c r="AD140" i="103"/>
  <c r="AC140" i="103"/>
  <c r="AD139" i="103"/>
  <c r="AC139" i="103"/>
  <c r="AD138" i="103"/>
  <c r="AC138" i="103"/>
  <c r="AD94" i="103"/>
  <c r="AC94" i="103"/>
  <c r="AD93" i="103"/>
  <c r="AC93" i="103"/>
  <c r="AD92" i="103"/>
  <c r="AC92" i="103"/>
  <c r="AD89" i="103"/>
  <c r="AC89" i="103"/>
  <c r="AD88" i="103"/>
  <c r="AC88" i="103"/>
  <c r="AD87" i="103"/>
  <c r="AC87" i="103"/>
  <c r="AD83" i="103"/>
  <c r="AC83" i="103"/>
  <c r="AD82" i="103"/>
  <c r="AC82" i="103"/>
  <c r="AD81" i="103"/>
  <c r="AC81" i="103"/>
  <c r="AD80" i="103"/>
  <c r="AC80" i="103"/>
  <c r="AD79" i="103"/>
  <c r="AC79" i="103"/>
  <c r="AD60" i="103"/>
  <c r="AC60" i="103"/>
  <c r="AD59" i="103"/>
  <c r="AC59" i="103"/>
  <c r="AD58" i="103"/>
  <c r="AC58" i="103"/>
  <c r="AD57" i="103"/>
  <c r="AC57" i="103"/>
  <c r="AD56" i="103"/>
  <c r="AC56" i="103"/>
  <c r="AD55" i="103"/>
  <c r="AC55" i="103"/>
  <c r="AD54" i="103"/>
  <c r="AC54" i="103"/>
  <c r="AD53" i="103"/>
  <c r="AC53" i="103"/>
  <c r="AD52" i="103"/>
  <c r="AC52" i="103"/>
  <c r="AD51" i="103"/>
  <c r="AC51" i="103"/>
  <c r="AD50" i="103"/>
  <c r="AC50" i="103"/>
  <c r="AD49" i="103"/>
  <c r="AC49" i="103"/>
  <c r="AD48" i="103"/>
  <c r="AC48" i="103"/>
  <c r="AD45" i="103"/>
  <c r="AC45" i="103"/>
  <c r="AD44" i="103"/>
  <c r="AC44" i="103"/>
  <c r="AD43" i="103"/>
  <c r="AC43" i="103"/>
  <c r="AD42" i="103"/>
  <c r="AC42" i="103"/>
  <c r="AD22" i="103"/>
  <c r="AC22" i="103"/>
  <c r="AD21" i="103"/>
  <c r="AC21" i="103"/>
  <c r="AD20" i="103"/>
  <c r="AC20" i="103"/>
  <c r="AD19" i="103"/>
  <c r="AC19" i="103"/>
  <c r="AD18" i="103"/>
  <c r="AC18" i="103"/>
  <c r="AD17" i="103"/>
  <c r="AC17" i="103"/>
  <c r="AD16" i="103"/>
  <c r="AC16" i="103"/>
  <c r="AD15" i="103"/>
  <c r="AC15" i="103"/>
  <c r="AD13" i="103"/>
  <c r="AC13" i="103"/>
  <c r="AD12" i="103"/>
  <c r="AC12" i="103"/>
  <c r="AD11" i="103"/>
  <c r="AC11" i="103"/>
  <c r="AD10" i="103"/>
  <c r="AC10" i="103"/>
  <c r="AD298" i="103"/>
  <c r="AD299" i="103"/>
  <c r="AD295" i="103"/>
  <c r="AD262" i="103"/>
  <c r="AD263" i="103"/>
  <c r="AD264" i="103"/>
  <c r="AD265" i="103"/>
  <c r="AD266" i="103"/>
  <c r="AD267" i="103"/>
  <c r="AD268" i="103"/>
  <c r="AD269" i="103"/>
  <c r="AD270" i="103"/>
  <c r="AD271" i="103"/>
  <c r="AD272" i="103"/>
  <c r="AD273" i="103"/>
  <c r="AD274" i="103"/>
  <c r="AD251" i="103"/>
  <c r="AD252" i="103"/>
  <c r="AD253" i="103"/>
  <c r="AD254" i="103"/>
  <c r="AD248" i="103"/>
  <c r="AD236" i="103"/>
  <c r="AD237" i="103"/>
  <c r="AD238" i="103"/>
  <c r="AD239" i="103"/>
  <c r="AD240" i="103"/>
  <c r="AD241" i="103"/>
  <c r="AD242" i="103"/>
  <c r="AD243" i="103"/>
  <c r="AD227" i="103"/>
  <c r="AD165" i="103"/>
  <c r="AD141" i="103"/>
  <c r="AD142" i="103"/>
  <c r="AD143" i="103"/>
  <c r="AD144" i="103"/>
  <c r="AD145" i="103"/>
  <c r="AD123" i="103"/>
  <c r="AD104" i="103"/>
  <c r="AD105" i="103"/>
  <c r="AD106" i="103"/>
  <c r="AD107" i="103"/>
  <c r="AD108" i="103"/>
  <c r="AD109" i="103"/>
  <c r="AD110" i="103"/>
  <c r="AD111" i="103"/>
  <c r="AD112" i="103"/>
  <c r="AD113" i="103"/>
  <c r="AD114" i="103"/>
  <c r="AD115" i="103"/>
  <c r="AD116" i="103"/>
  <c r="AD117" i="103"/>
  <c r="AD99" i="103"/>
  <c r="AD90" i="103"/>
  <c r="AD84" i="103"/>
  <c r="AD85" i="103"/>
  <c r="AD75" i="103"/>
  <c r="AD46" i="103"/>
  <c r="AD47" i="103"/>
  <c r="AD23" i="103"/>
  <c r="AD24" i="103"/>
  <c r="AD25" i="103"/>
  <c r="AD26" i="103"/>
  <c r="AD27" i="103"/>
  <c r="AD28" i="103"/>
  <c r="AD29" i="103"/>
  <c r="AD30" i="103"/>
  <c r="AD31" i="103"/>
  <c r="AD32" i="103"/>
  <c r="AD33" i="103"/>
  <c r="AD34" i="103"/>
  <c r="AD14" i="103"/>
  <c r="AD6" i="103"/>
  <c r="AD7" i="103"/>
  <c r="AD8" i="103"/>
  <c r="AD9" i="103"/>
  <c r="AD3" i="103"/>
  <c r="AD2" i="103"/>
  <c r="AC274" i="103"/>
  <c r="AC273" i="103"/>
  <c r="AC272" i="103"/>
  <c r="AC271" i="103"/>
  <c r="AC270" i="103"/>
  <c r="AC269" i="103"/>
  <c r="AC268" i="103"/>
  <c r="AC267" i="103"/>
  <c r="AC266" i="103"/>
  <c r="AC265" i="103"/>
  <c r="AC264" i="103"/>
  <c r="AC263" i="103"/>
  <c r="AC262" i="103"/>
  <c r="AC241" i="103"/>
  <c r="AC144" i="103"/>
  <c r="AC143" i="103"/>
  <c r="AC142" i="103"/>
  <c r="AC141" i="103"/>
  <c r="AC123" i="103"/>
  <c r="AC117" i="103"/>
  <c r="AC116" i="103"/>
  <c r="AC115" i="103"/>
  <c r="AC114" i="103"/>
  <c r="AC113" i="103"/>
  <c r="AC112" i="103"/>
  <c r="AC111" i="103"/>
  <c r="AC110" i="103"/>
  <c r="AC109" i="103"/>
  <c r="AC299" i="103"/>
  <c r="AC298" i="103"/>
  <c r="AC237" i="103"/>
  <c r="AC236" i="103"/>
  <c r="AC108" i="103" l="1"/>
  <c r="AC90" i="103"/>
  <c r="AC85" i="103"/>
  <c r="AC46" i="103"/>
  <c r="AC295" i="103"/>
  <c r="AC243" i="103"/>
  <c r="AC242" i="103"/>
  <c r="AC107" i="103"/>
  <c r="AC104" i="103"/>
  <c r="AC99" i="103"/>
  <c r="AC47" i="103"/>
  <c r="AC106" i="103"/>
  <c r="AC105" i="103"/>
  <c r="AC254" i="103"/>
  <c r="AC145" i="103"/>
  <c r="AC34" i="103"/>
  <c r="AC33" i="103"/>
  <c r="AC32" i="103"/>
  <c r="AC31" i="103"/>
  <c r="AC30" i="103"/>
  <c r="AC29" i="103"/>
  <c r="AC28" i="103"/>
  <c r="AC27" i="103"/>
  <c r="AC26" i="103"/>
  <c r="AC25" i="103"/>
  <c r="AC24" i="103"/>
  <c r="AC23" i="103"/>
  <c r="AC14" i="103"/>
  <c r="AC9" i="103"/>
  <c r="AC8" i="103"/>
  <c r="AC7" i="103"/>
  <c r="AC6" i="103"/>
  <c r="AC3" i="103"/>
  <c r="AC2" i="103"/>
  <c r="AD299" i="102" l="1"/>
  <c r="AC299" i="102"/>
  <c r="AD298" i="102"/>
  <c r="AC298" i="102"/>
  <c r="AD295" i="102"/>
  <c r="AC295" i="102"/>
  <c r="AD294" i="102"/>
  <c r="AC294" i="102"/>
  <c r="AD292" i="102"/>
  <c r="AC292" i="102"/>
  <c r="AD291" i="102"/>
  <c r="AC291" i="102"/>
  <c r="AD290" i="102"/>
  <c r="AC290" i="102"/>
  <c r="AD289" i="102"/>
  <c r="AC289" i="102"/>
  <c r="AD288" i="102"/>
  <c r="AC288" i="102"/>
  <c r="AD266" i="102"/>
  <c r="AC266" i="102"/>
  <c r="AD265" i="102"/>
  <c r="AC265" i="102"/>
  <c r="AD256" i="102"/>
  <c r="AC256" i="102"/>
  <c r="AD255" i="102"/>
  <c r="AC255" i="102"/>
  <c r="AD253" i="102"/>
  <c r="AC253" i="102"/>
  <c r="AD251" i="102"/>
  <c r="AC251" i="102"/>
  <c r="AD250" i="102"/>
  <c r="AC250" i="102"/>
  <c r="AD249" i="102"/>
  <c r="AC249" i="102"/>
  <c r="AD240" i="102"/>
  <c r="AC240" i="102"/>
  <c r="AD239" i="102"/>
  <c r="AC239" i="102"/>
  <c r="AD238" i="102"/>
  <c r="AC238" i="102"/>
  <c r="AD237" i="102"/>
  <c r="AC237" i="102"/>
  <c r="AD236" i="102"/>
  <c r="AC236" i="102"/>
  <c r="AD235" i="102"/>
  <c r="AC235" i="102"/>
  <c r="AD234" i="102"/>
  <c r="AC234" i="102"/>
  <c r="AD233" i="102"/>
  <c r="AC233" i="102"/>
  <c r="AD228" i="102"/>
  <c r="AC228" i="102"/>
  <c r="AD227" i="102"/>
  <c r="AC227" i="102"/>
  <c r="AD177" i="102"/>
  <c r="AC177" i="102"/>
  <c r="AD176" i="102"/>
  <c r="AC176" i="102"/>
  <c r="AD162" i="102"/>
  <c r="AC162" i="102"/>
  <c r="AD161" i="102"/>
  <c r="AC161" i="102"/>
  <c r="AD160" i="102"/>
  <c r="AC160" i="102"/>
  <c r="AD159" i="102"/>
  <c r="AC159" i="102"/>
  <c r="AD156" i="102"/>
  <c r="AC156" i="102"/>
  <c r="AD155" i="102"/>
  <c r="AC155" i="102"/>
  <c r="AD153" i="102"/>
  <c r="AC153" i="102"/>
  <c r="AD152" i="102"/>
  <c r="AC152" i="102"/>
  <c r="AD139" i="102"/>
  <c r="AC139" i="102"/>
  <c r="AD138" i="102"/>
  <c r="AC138" i="102"/>
  <c r="AD137" i="102"/>
  <c r="AC137" i="102"/>
  <c r="AD121" i="102"/>
  <c r="AC121" i="102"/>
  <c r="AD120" i="102"/>
  <c r="AC120" i="102"/>
  <c r="AD98" i="102"/>
  <c r="AC98" i="102"/>
  <c r="AD97" i="102"/>
  <c r="AC97" i="102"/>
  <c r="AD96" i="102"/>
  <c r="AC96" i="102"/>
  <c r="AD95" i="102"/>
  <c r="AC95" i="102"/>
  <c r="AD94" i="102"/>
  <c r="AC94" i="102"/>
  <c r="AD93" i="102"/>
  <c r="AC93" i="102"/>
  <c r="AD92" i="102"/>
  <c r="AC92" i="102"/>
  <c r="AD89" i="102"/>
  <c r="AC89" i="102"/>
  <c r="AD88" i="102"/>
  <c r="AC88" i="102"/>
  <c r="AD87" i="102"/>
  <c r="AC87" i="102"/>
  <c r="AD83" i="102"/>
  <c r="AC83" i="102"/>
  <c r="AD82" i="102"/>
  <c r="AC82" i="102"/>
  <c r="AD81" i="102"/>
  <c r="AC81" i="102"/>
  <c r="AD80" i="102"/>
  <c r="AC80" i="102"/>
  <c r="AD277" i="102" l="1"/>
  <c r="AD276" i="102"/>
  <c r="AD275" i="102"/>
  <c r="AD274" i="102"/>
  <c r="AD273" i="102"/>
  <c r="AD272" i="102"/>
  <c r="AD271" i="102"/>
  <c r="AD270" i="102"/>
  <c r="AD269" i="102"/>
  <c r="AD268" i="102"/>
  <c r="AD267" i="102"/>
  <c r="AD259" i="102"/>
  <c r="AC29" i="102"/>
  <c r="AC28" i="102"/>
  <c r="AC27" i="102"/>
  <c r="AC26" i="102"/>
  <c r="AC25" i="102"/>
  <c r="AC24" i="102"/>
  <c r="AC23" i="102"/>
  <c r="AC14" i="102"/>
  <c r="AC9" i="102"/>
  <c r="AC8" i="102"/>
  <c r="AC7" i="102"/>
  <c r="AC6" i="102"/>
  <c r="AD29" i="102"/>
  <c r="AD28" i="102"/>
  <c r="AD27" i="102"/>
  <c r="AD26" i="102"/>
  <c r="AD25" i="102"/>
  <c r="AD24" i="102"/>
  <c r="AD23" i="102"/>
  <c r="AD14" i="102"/>
  <c r="AD9" i="102"/>
  <c r="AD8" i="102"/>
  <c r="AD7" i="102"/>
  <c r="AD6" i="102"/>
  <c r="AD46" i="102"/>
  <c r="AD47" i="102"/>
  <c r="AD30" i="102"/>
  <c r="AD31" i="102"/>
  <c r="AD32" i="102"/>
  <c r="AD33" i="102"/>
  <c r="AD2" i="102"/>
  <c r="AD3" i="102"/>
  <c r="AD148" i="102"/>
  <c r="AD146" i="102"/>
  <c r="AD145" i="102"/>
  <c r="AD293" i="102"/>
  <c r="AC34" i="102"/>
  <c r="AC33" i="102"/>
  <c r="AC32" i="102"/>
  <c r="AC31" i="102"/>
  <c r="AC30" i="102"/>
  <c r="AC2" i="102"/>
  <c r="AC117" i="102"/>
  <c r="AD224" i="102" l="1"/>
  <c r="AC224" i="102"/>
  <c r="AD223" i="102"/>
  <c r="AC223" i="102"/>
  <c r="AD222" i="102"/>
  <c r="AC222" i="102"/>
  <c r="AD221" i="102"/>
  <c r="AC221" i="102"/>
  <c r="AD220" i="102"/>
  <c r="AC220" i="102"/>
  <c r="AD219" i="102"/>
  <c r="AC219" i="102"/>
  <c r="AD218" i="102"/>
  <c r="AC218" i="102"/>
  <c r="AD217" i="102"/>
  <c r="AC217" i="102"/>
  <c r="AD216" i="102"/>
  <c r="AC216" i="102"/>
  <c r="AD215" i="102"/>
  <c r="AC215" i="102"/>
  <c r="AD214" i="102"/>
  <c r="AC214" i="102"/>
  <c r="AD213" i="102"/>
  <c r="AC213" i="102"/>
  <c r="AD212" i="102"/>
  <c r="AC212" i="102"/>
  <c r="AD211" i="102"/>
  <c r="AC211" i="102"/>
  <c r="AD210" i="102"/>
  <c r="AC210" i="102"/>
  <c r="AD209" i="102"/>
  <c r="AC209" i="102"/>
  <c r="AD208" i="102"/>
  <c r="AC208" i="102"/>
  <c r="AD207" i="102"/>
  <c r="AC207" i="102"/>
  <c r="AD206" i="102"/>
  <c r="AC206" i="102"/>
  <c r="AD205" i="102"/>
  <c r="AC205" i="102"/>
  <c r="AD204" i="102"/>
  <c r="AC204" i="102"/>
  <c r="AD203" i="102"/>
  <c r="AC203" i="102"/>
  <c r="AD202" i="102"/>
  <c r="AC202" i="102"/>
  <c r="AD201" i="102"/>
  <c r="AC201" i="102"/>
  <c r="AD200" i="102"/>
  <c r="AC200" i="102"/>
  <c r="AD199" i="102"/>
  <c r="AC199" i="102"/>
  <c r="AD198" i="102"/>
  <c r="AC198" i="102"/>
  <c r="AD197" i="102"/>
  <c r="AC197" i="102"/>
  <c r="AD196" i="102"/>
  <c r="AC196" i="102"/>
  <c r="AD195" i="102"/>
  <c r="AC195" i="102"/>
  <c r="AD194" i="102"/>
  <c r="AC194" i="102"/>
  <c r="AD193" i="102"/>
  <c r="AC193" i="102"/>
  <c r="AD192" i="102"/>
  <c r="AC192" i="102"/>
  <c r="AD191" i="102"/>
  <c r="AC191" i="102"/>
  <c r="AD190" i="102"/>
  <c r="AC190" i="102"/>
  <c r="AD189" i="102"/>
  <c r="AC189" i="102"/>
  <c r="AD188" i="102"/>
  <c r="AC188" i="102"/>
  <c r="AD187" i="102"/>
  <c r="AC187" i="102"/>
  <c r="AD186" i="102"/>
  <c r="AC186" i="102"/>
  <c r="AD185" i="102"/>
  <c r="AC185" i="102"/>
  <c r="AD157" i="102"/>
  <c r="AC157" i="102"/>
  <c r="AD36" i="102"/>
  <c r="AC36" i="102"/>
  <c r="AD35" i="102"/>
  <c r="AC35" i="102"/>
  <c r="AD179" i="102"/>
  <c r="AC179" i="102"/>
  <c r="AD178" i="102"/>
  <c r="AC178" i="102"/>
  <c r="AD65" i="102"/>
  <c r="AC65" i="102"/>
  <c r="AD41" i="102"/>
  <c r="AC41" i="102"/>
  <c r="AD40" i="102"/>
  <c r="AC40" i="102"/>
  <c r="AD39" i="102"/>
  <c r="AC39" i="102"/>
  <c r="AD38" i="102"/>
  <c r="AC38" i="102"/>
  <c r="AD37" i="102"/>
  <c r="AC37" i="102"/>
  <c r="AD122" i="102"/>
  <c r="AD119" i="102"/>
  <c r="AC119" i="102"/>
  <c r="AD118" i="102"/>
  <c r="AC118" i="102"/>
  <c r="AD86" i="102"/>
  <c r="AD91" i="102"/>
  <c r="AC91" i="102"/>
  <c r="AC86" i="102"/>
  <c r="AD60" i="102"/>
  <c r="AD59" i="102"/>
  <c r="AD58" i="102"/>
  <c r="AC60" i="102"/>
  <c r="AC59" i="102"/>
  <c r="AC58" i="102"/>
  <c r="AD5" i="102"/>
  <c r="AC5" i="102"/>
  <c r="AD4" i="102"/>
  <c r="AC4" i="102"/>
  <c r="AC127" i="102"/>
  <c r="AD127" i="102"/>
  <c r="AC128" i="102"/>
  <c r="AD128" i="102"/>
  <c r="AC129" i="102"/>
  <c r="AD129" i="102"/>
  <c r="AC130" i="102"/>
  <c r="AD130" i="102"/>
  <c r="AC131" i="102"/>
  <c r="AD131" i="102"/>
  <c r="AC132" i="102"/>
  <c r="AD132" i="102"/>
  <c r="AC133" i="102"/>
  <c r="AD133" i="102"/>
  <c r="AC134" i="102"/>
  <c r="AD134" i="102"/>
  <c r="AC135" i="102"/>
  <c r="AD135" i="102"/>
  <c r="AC136" i="102"/>
  <c r="AD136" i="102"/>
  <c r="AD126" i="102"/>
  <c r="AC126" i="102"/>
  <c r="AD287" i="102"/>
  <c r="AD286" i="102"/>
  <c r="AD285" i="102"/>
  <c r="AD284" i="102"/>
  <c r="AD283" i="102"/>
  <c r="AD282" i="102"/>
  <c r="AD281" i="102"/>
  <c r="AD280" i="102"/>
  <c r="AD175" i="102"/>
  <c r="AD174" i="102"/>
  <c r="AD173" i="102"/>
  <c r="AD172" i="102"/>
  <c r="AD171" i="102"/>
  <c r="AD170" i="102"/>
  <c r="AD169" i="102"/>
  <c r="AD168" i="102"/>
  <c r="AD167" i="102"/>
  <c r="AD166" i="102"/>
  <c r="AD165" i="102"/>
  <c r="AD164" i="102"/>
  <c r="AD163" i="102"/>
  <c r="AD74" i="102"/>
  <c r="AC74" i="102"/>
  <c r="AD73" i="102"/>
  <c r="AC73" i="102"/>
  <c r="AD72" i="102"/>
  <c r="AC72" i="102"/>
  <c r="AD71" i="102"/>
  <c r="AC71" i="102"/>
  <c r="AD70" i="102"/>
  <c r="AC70" i="102"/>
  <c r="AD69" i="102"/>
  <c r="AC69" i="102"/>
  <c r="AD68" i="102"/>
  <c r="AC68" i="102"/>
  <c r="AD62" i="102" l="1"/>
  <c r="AC62" i="102"/>
  <c r="AD61" i="102"/>
  <c r="AC61" i="102"/>
  <c r="AD57" i="102"/>
  <c r="AC57" i="102"/>
  <c r="AD56" i="102"/>
  <c r="AC56" i="102"/>
  <c r="AD55" i="102"/>
  <c r="AC55" i="102"/>
  <c r="AD54" i="102"/>
  <c r="AC54" i="102"/>
  <c r="AD53" i="102"/>
  <c r="AC53" i="102"/>
  <c r="AD52" i="102"/>
  <c r="AC52" i="102"/>
  <c r="AD51" i="102"/>
  <c r="AC51" i="102"/>
  <c r="AD50" i="102"/>
  <c r="AC50" i="102"/>
  <c r="AD49" i="102"/>
  <c r="AC49" i="102"/>
  <c r="AD48" i="102"/>
  <c r="AC48" i="102"/>
  <c r="AD45" i="102"/>
  <c r="AC45" i="102"/>
  <c r="AD44" i="102"/>
  <c r="AC44" i="102"/>
  <c r="AD43" i="102"/>
  <c r="AC43" i="102"/>
  <c r="AD42" i="102"/>
  <c r="AC42" i="102"/>
  <c r="AD22" i="102"/>
  <c r="AC22" i="102"/>
  <c r="AD21" i="102"/>
  <c r="AC21" i="102"/>
  <c r="AD20" i="102"/>
  <c r="AC20" i="102"/>
  <c r="AD19" i="102"/>
  <c r="AC19" i="102"/>
  <c r="AD18" i="102"/>
  <c r="AC18" i="102"/>
  <c r="AD17" i="102"/>
  <c r="AC17" i="102"/>
  <c r="AD16" i="102"/>
  <c r="AC16" i="102"/>
  <c r="AD15" i="102"/>
  <c r="AC15" i="102"/>
  <c r="AD13" i="102"/>
  <c r="AC13" i="102"/>
  <c r="AD12" i="102"/>
  <c r="AC12" i="102"/>
  <c r="AD11" i="102"/>
  <c r="AC11" i="102"/>
  <c r="AD10" i="102"/>
  <c r="AC10" i="102"/>
  <c r="AD221" i="100" l="1"/>
  <c r="AC221" i="100"/>
  <c r="AD220" i="100"/>
  <c r="AC220" i="100"/>
  <c r="AD219" i="100"/>
  <c r="AC219" i="100"/>
  <c r="AD218" i="100"/>
  <c r="AC218" i="100"/>
  <c r="AD217" i="100"/>
  <c r="AC217" i="100"/>
  <c r="AD216" i="100"/>
  <c r="AC216" i="100"/>
  <c r="AD215" i="100"/>
  <c r="AC215" i="100"/>
  <c r="AD214" i="100"/>
  <c r="AC214" i="100"/>
  <c r="AD213" i="100"/>
  <c r="AC213" i="100"/>
  <c r="AD212" i="100"/>
  <c r="AC212" i="100"/>
  <c r="AD211" i="100"/>
  <c r="AC211" i="100"/>
  <c r="AD210" i="100"/>
  <c r="AC210" i="100"/>
  <c r="AD209" i="100"/>
  <c r="AC209" i="100"/>
  <c r="AD208" i="100"/>
  <c r="AC208" i="100"/>
  <c r="AD207" i="100"/>
  <c r="AC207" i="100"/>
  <c r="AD206" i="100"/>
  <c r="AC206" i="100"/>
  <c r="AD205" i="100"/>
  <c r="AC205" i="100"/>
  <c r="AD204" i="100"/>
  <c r="AC204" i="100"/>
  <c r="AD203" i="100"/>
  <c r="AC203" i="100"/>
  <c r="AD202" i="100"/>
  <c r="AC202" i="100"/>
  <c r="AD201" i="100"/>
  <c r="AC201" i="100"/>
  <c r="AD200" i="100"/>
  <c r="AC200" i="100"/>
  <c r="AD199" i="100"/>
  <c r="AC199" i="100"/>
  <c r="AD198" i="100"/>
  <c r="AC198" i="100"/>
  <c r="AD197" i="100"/>
  <c r="AC197" i="100"/>
  <c r="AD196" i="100"/>
  <c r="AC196" i="100"/>
  <c r="AD195" i="100"/>
  <c r="AC195" i="100"/>
  <c r="AD194" i="100"/>
  <c r="AC194" i="100"/>
  <c r="AD193" i="100"/>
  <c r="AC193" i="100"/>
  <c r="AD192" i="100"/>
  <c r="AC192" i="100"/>
  <c r="AD191" i="100"/>
  <c r="AC191" i="100"/>
  <c r="AD190" i="100"/>
  <c r="AC190" i="100"/>
  <c r="AD189" i="100"/>
  <c r="AC189" i="100"/>
  <c r="AD188" i="100"/>
  <c r="AC188" i="100"/>
  <c r="AD187" i="100"/>
  <c r="AC187" i="100"/>
  <c r="AD186" i="100"/>
  <c r="AC186" i="100"/>
  <c r="AD185" i="100"/>
  <c r="AC185" i="100"/>
  <c r="AD184" i="100"/>
  <c r="AC184" i="100"/>
  <c r="AD183" i="100"/>
  <c r="AC183" i="100"/>
  <c r="AD182" i="100"/>
  <c r="AC182" i="100"/>
  <c r="AD155" i="100"/>
  <c r="AC155" i="100"/>
  <c r="AD34" i="100"/>
  <c r="AC34" i="100"/>
  <c r="AD33" i="100"/>
  <c r="AC33" i="100"/>
  <c r="AD39" i="100"/>
  <c r="AC39" i="100"/>
  <c r="AD38" i="100"/>
  <c r="AC38" i="100"/>
  <c r="AD37" i="100"/>
  <c r="AC37" i="100"/>
  <c r="AD36" i="100"/>
  <c r="AC36" i="100"/>
  <c r="AD35" i="100"/>
  <c r="AC35" i="100"/>
  <c r="AD181" i="100"/>
  <c r="AD180" i="100"/>
  <c r="AD179" i="100"/>
  <c r="AD178" i="100"/>
  <c r="AD177" i="100"/>
  <c r="AD176" i="100"/>
  <c r="AC177" i="100"/>
  <c r="AC176" i="100"/>
  <c r="AD65" i="100"/>
  <c r="AC65" i="100"/>
  <c r="AD64" i="100"/>
  <c r="AC64" i="100"/>
  <c r="AD62" i="100"/>
  <c r="AC62" i="100"/>
  <c r="AD63" i="100"/>
  <c r="AC63" i="100"/>
  <c r="AD250" i="100"/>
  <c r="AD229" i="100"/>
  <c r="AD228" i="100"/>
  <c r="AD227" i="100"/>
  <c r="AD223" i="100"/>
  <c r="AC223" i="100"/>
  <c r="AD122" i="100"/>
  <c r="AD121" i="100"/>
  <c r="AD152" i="100"/>
  <c r="AC152" i="100"/>
  <c r="AD120" i="100"/>
  <c r="AD117" i="100"/>
  <c r="AD116" i="100"/>
  <c r="AD58" i="100"/>
  <c r="AD57" i="100"/>
  <c r="AD56" i="100"/>
  <c r="AD84" i="100"/>
  <c r="AD283" i="100"/>
  <c r="AC283" i="100"/>
  <c r="AD282" i="100"/>
  <c r="AC282" i="100"/>
  <c r="AD281" i="100"/>
  <c r="AC281" i="100"/>
  <c r="AD280" i="100"/>
  <c r="AC280" i="100"/>
  <c r="AD279" i="100"/>
  <c r="AC279" i="100"/>
  <c r="AD278" i="100"/>
  <c r="AC278" i="100"/>
  <c r="AD173" i="100"/>
  <c r="AC173" i="100"/>
  <c r="AD172" i="100"/>
  <c r="AC172" i="100"/>
  <c r="AD171" i="100"/>
  <c r="AC171" i="100"/>
  <c r="AD170" i="100"/>
  <c r="AC170" i="100"/>
  <c r="AD169" i="100"/>
  <c r="AC169" i="100"/>
  <c r="AD168" i="100"/>
  <c r="AC168" i="100"/>
  <c r="AD167" i="100"/>
  <c r="AC167" i="100"/>
  <c r="AD166" i="100"/>
  <c r="AC166" i="100"/>
  <c r="AD165" i="100"/>
  <c r="AC165" i="100"/>
  <c r="AD164" i="100"/>
  <c r="AC164" i="100"/>
  <c r="AD163" i="100"/>
  <c r="AC163" i="100"/>
  <c r="AD162" i="100"/>
  <c r="AC162" i="100"/>
  <c r="AD161" i="100"/>
  <c r="AC161" i="100"/>
  <c r="AD72" i="100"/>
  <c r="AD71" i="100"/>
  <c r="AD70" i="100"/>
  <c r="AD69" i="100"/>
  <c r="AD68" i="100"/>
  <c r="AD67" i="100"/>
  <c r="AD66" i="100"/>
  <c r="AD174" i="100" l="1"/>
  <c r="AC174" i="100"/>
  <c r="AD160" i="100"/>
  <c r="AC160" i="100"/>
  <c r="AD159" i="100"/>
  <c r="AC159" i="100"/>
  <c r="AD158" i="100"/>
  <c r="AC158" i="100"/>
  <c r="AD296" i="100"/>
  <c r="AC296" i="100"/>
  <c r="AD293" i="100"/>
  <c r="AC293" i="100"/>
  <c r="AD290" i="100"/>
  <c r="AC290" i="100"/>
  <c r="AD288" i="100"/>
  <c r="AC288" i="100"/>
  <c r="AD287" i="100"/>
  <c r="AC287" i="100"/>
  <c r="AD247" i="100"/>
  <c r="AC247" i="100"/>
  <c r="AD238" i="100"/>
  <c r="AC238" i="100"/>
  <c r="AD286" i="100"/>
  <c r="AC286" i="100"/>
  <c r="AD285" i="100"/>
  <c r="AC285" i="100"/>
  <c r="AD284" i="100"/>
  <c r="AC284" i="100"/>
  <c r="AD264" i="100"/>
  <c r="AC264" i="100"/>
  <c r="AD263" i="100"/>
  <c r="AC263" i="100"/>
  <c r="AD254" i="100"/>
  <c r="AC254" i="100"/>
  <c r="AD253" i="100"/>
  <c r="AC253" i="100"/>
  <c r="AD251" i="100"/>
  <c r="AC251" i="100"/>
  <c r="AD249" i="100"/>
  <c r="AC249" i="100"/>
  <c r="AD248" i="100"/>
  <c r="AC248" i="100"/>
  <c r="AD237" i="100"/>
  <c r="AC237" i="100"/>
  <c r="AD236" i="100"/>
  <c r="AC236" i="100"/>
  <c r="AD235" i="100"/>
  <c r="AC235" i="100"/>
  <c r="AD234" i="100"/>
  <c r="AC234" i="100"/>
  <c r="AD233" i="100"/>
  <c r="AC233" i="100"/>
  <c r="AD232" i="100"/>
  <c r="AC232" i="100"/>
  <c r="AD231" i="100"/>
  <c r="AC231" i="100"/>
  <c r="AD230" i="100"/>
  <c r="AC230" i="100"/>
  <c r="AD225" i="100"/>
  <c r="AC225" i="100"/>
  <c r="AD224" i="100"/>
  <c r="AC224" i="100"/>
  <c r="AD175" i="100"/>
  <c r="AC175" i="100"/>
  <c r="AD157" i="100"/>
  <c r="AC157" i="100"/>
  <c r="AD154" i="100"/>
  <c r="AC154" i="100"/>
  <c r="AD153" i="100"/>
  <c r="AC153" i="100"/>
  <c r="AD151" i="100"/>
  <c r="AC151" i="100"/>
  <c r="AD150" i="100"/>
  <c r="AC150" i="100"/>
  <c r="AD144" i="100"/>
  <c r="AC144" i="100"/>
  <c r="AD143" i="100"/>
  <c r="AC143" i="100"/>
  <c r="AD142" i="100"/>
  <c r="AC142" i="100"/>
  <c r="AD141" i="100"/>
  <c r="AC141" i="100"/>
  <c r="AD140" i="100"/>
  <c r="AC140" i="100"/>
  <c r="AD139" i="100"/>
  <c r="AC139" i="100"/>
  <c r="AD138" i="100"/>
  <c r="AC138" i="100"/>
  <c r="AD137" i="100"/>
  <c r="AC137" i="100"/>
  <c r="AD119" i="100"/>
  <c r="AC119" i="100"/>
  <c r="AD118" i="100"/>
  <c r="AC118" i="100"/>
  <c r="AD96" i="100"/>
  <c r="AC96" i="100"/>
  <c r="AD95" i="100"/>
  <c r="AC95" i="100"/>
  <c r="AD94" i="100"/>
  <c r="AC94" i="100"/>
  <c r="AD93" i="100"/>
  <c r="AC93" i="100"/>
  <c r="AD92" i="100"/>
  <c r="AC92" i="100"/>
  <c r="AD91" i="100"/>
  <c r="AC91" i="100"/>
  <c r="AD90" i="100"/>
  <c r="AC90" i="100"/>
  <c r="AD87" i="100"/>
  <c r="AC87" i="100"/>
  <c r="AD86" i="100"/>
  <c r="AC86" i="100"/>
  <c r="AD85" i="100"/>
  <c r="AC85" i="100"/>
  <c r="AD81" i="100"/>
  <c r="AC81" i="100"/>
  <c r="AD80" i="100"/>
  <c r="AC80" i="100"/>
  <c r="AD79" i="100"/>
  <c r="AC79" i="100"/>
  <c r="AD78" i="100"/>
  <c r="AC78" i="100"/>
  <c r="AD77" i="100"/>
  <c r="AC77" i="100"/>
  <c r="AD61" i="100"/>
  <c r="AC61" i="100"/>
  <c r="AD60" i="100"/>
  <c r="AC60" i="100"/>
  <c r="AD50" i="100"/>
  <c r="AC50" i="100"/>
  <c r="AD49" i="100"/>
  <c r="AC49" i="100"/>
  <c r="AD48" i="100"/>
  <c r="AC48" i="100"/>
  <c r="AD47" i="100"/>
  <c r="AC47" i="100"/>
  <c r="AD42" i="100"/>
  <c r="AC42" i="100"/>
  <c r="AD41" i="100"/>
  <c r="AC41" i="100"/>
  <c r="AD40" i="100"/>
  <c r="AC40" i="100"/>
  <c r="AD20" i="100"/>
  <c r="AC20" i="100"/>
  <c r="AD19" i="100"/>
  <c r="AC19" i="100"/>
  <c r="AD18" i="100"/>
  <c r="AC18" i="100"/>
  <c r="AD17" i="100"/>
  <c r="AC17" i="100"/>
  <c r="AD16" i="100"/>
  <c r="AC16" i="100"/>
  <c r="AD15" i="100"/>
  <c r="AC15" i="100"/>
  <c r="AD14" i="100"/>
  <c r="AC14" i="100"/>
  <c r="AD13" i="100"/>
  <c r="AC13" i="100"/>
  <c r="AD11" i="100"/>
  <c r="AC11" i="100"/>
  <c r="AD10" i="100"/>
  <c r="AC10" i="100"/>
  <c r="AD9" i="100"/>
  <c r="AC9" i="100"/>
  <c r="AD8" i="100"/>
  <c r="AC8" i="100"/>
  <c r="AD276" i="100"/>
  <c r="AD275" i="100"/>
  <c r="AD274" i="100"/>
  <c r="AD273" i="100"/>
  <c r="AD272" i="100"/>
  <c r="AD271" i="100"/>
  <c r="AD270" i="100"/>
  <c r="AD269" i="100"/>
  <c r="AD268" i="100"/>
  <c r="AD267" i="100"/>
  <c r="AD266" i="100"/>
  <c r="AD265" i="100"/>
  <c r="AD289" i="100"/>
  <c r="AD147" i="100"/>
  <c r="AD45" i="100"/>
  <c r="AD44" i="100"/>
  <c r="AD115" i="100"/>
  <c r="AD114" i="100"/>
  <c r="AD113" i="100"/>
  <c r="AD112" i="100"/>
  <c r="AD111" i="100"/>
  <c r="AD110" i="100"/>
  <c r="AD109" i="100"/>
  <c r="AD108" i="100"/>
  <c r="AD107" i="100"/>
  <c r="AD106" i="100"/>
  <c r="AD105" i="100"/>
  <c r="AD104" i="100"/>
  <c r="AD103" i="100"/>
  <c r="AD102" i="100"/>
  <c r="AC115" i="100"/>
  <c r="AC114" i="100"/>
  <c r="AC113" i="100"/>
  <c r="AC112" i="100"/>
  <c r="AC111" i="100"/>
  <c r="AC110" i="100"/>
  <c r="AC109" i="100"/>
  <c r="AC108" i="100"/>
  <c r="AC107" i="100"/>
  <c r="AC106" i="100"/>
  <c r="AC105" i="100"/>
  <c r="AC104" i="100"/>
  <c r="AC103" i="100"/>
  <c r="AC102" i="100"/>
  <c r="AC276" i="100"/>
  <c r="AC275" i="100"/>
  <c r="AC274" i="100"/>
  <c r="AC273" i="100"/>
  <c r="AC272" i="100"/>
  <c r="AC271" i="100"/>
  <c r="AC270" i="100"/>
  <c r="AC269" i="100"/>
  <c r="AC268" i="100"/>
  <c r="AC267" i="100"/>
  <c r="AC266" i="100"/>
  <c r="AC265" i="100"/>
  <c r="AD22" i="100"/>
  <c r="AD21" i="100"/>
  <c r="AD23" i="100"/>
  <c r="AD24" i="100"/>
  <c r="AD25" i="100"/>
  <c r="AD26" i="100"/>
  <c r="AD27" i="100"/>
  <c r="AD28" i="100"/>
  <c r="AD29" i="100"/>
  <c r="AD30" i="100"/>
  <c r="AD31" i="100"/>
  <c r="AD32" i="100"/>
  <c r="AD242" i="99" l="1"/>
  <c r="AC242" i="99"/>
  <c r="AD93" i="99"/>
  <c r="AC93" i="99"/>
  <c r="AD92" i="99"/>
  <c r="AC92" i="99"/>
  <c r="AD39" i="99"/>
  <c r="AC39" i="99"/>
  <c r="AD6" i="99"/>
  <c r="AC6" i="99"/>
  <c r="AD5" i="99"/>
  <c r="AC5" i="99"/>
  <c r="AD4" i="99"/>
  <c r="AC4" i="99"/>
  <c r="AD2" i="99" l="1"/>
  <c r="AD3" i="99"/>
  <c r="AD8" i="99"/>
  <c r="AD23" i="99"/>
  <c r="AD24" i="99"/>
  <c r="AD272" i="99"/>
  <c r="AD271" i="99"/>
  <c r="AD270" i="99"/>
  <c r="AD264" i="99"/>
  <c r="AD253" i="99"/>
  <c r="AD237" i="99"/>
  <c r="AD236" i="99"/>
  <c r="AD226" i="99"/>
  <c r="AD137" i="99"/>
  <c r="AD138" i="99"/>
  <c r="AD139" i="99"/>
  <c r="AD140" i="99"/>
  <c r="AD141" i="99"/>
  <c r="AD142" i="99"/>
  <c r="AD143" i="99"/>
  <c r="AD144" i="99"/>
  <c r="AD145" i="99"/>
  <c r="AD146" i="99"/>
  <c r="AD147" i="99"/>
  <c r="AD148" i="99"/>
  <c r="AD149" i="99"/>
  <c r="AD150" i="99"/>
  <c r="AD151" i="99"/>
  <c r="AD136" i="99"/>
  <c r="AD127" i="99"/>
  <c r="AD73" i="99"/>
  <c r="AD65" i="99"/>
  <c r="AD64" i="99"/>
  <c r="AD290" i="99"/>
  <c r="AD203" i="99"/>
  <c r="AD202" i="99"/>
  <c r="AD201" i="99"/>
  <c r="AD200" i="99"/>
  <c r="AD199" i="99"/>
  <c r="AD198" i="99"/>
  <c r="AD197" i="99"/>
  <c r="AD196" i="99"/>
  <c r="AD195" i="99"/>
  <c r="AD194" i="99"/>
  <c r="AD193" i="99"/>
  <c r="AD192" i="99"/>
  <c r="AD133" i="99"/>
  <c r="AD132" i="99"/>
  <c r="AD126" i="99"/>
  <c r="AD112" i="99"/>
  <c r="AD111" i="99"/>
  <c r="AD110" i="99"/>
  <c r="AD109" i="99"/>
  <c r="AD106" i="99"/>
  <c r="AD105" i="99"/>
  <c r="AD104" i="99"/>
  <c r="AD103" i="99"/>
  <c r="AD102" i="99"/>
  <c r="AD101" i="99"/>
  <c r="AD100" i="99"/>
  <c r="AD99" i="99"/>
  <c r="AD98" i="99"/>
  <c r="AD97" i="99"/>
  <c r="AD96" i="99"/>
  <c r="AD95" i="99"/>
  <c r="AD90" i="99"/>
  <c r="AD89" i="99"/>
  <c r="AD87" i="99"/>
  <c r="AD76" i="99"/>
  <c r="AD38" i="99"/>
  <c r="AD37" i="99"/>
  <c r="AD36" i="99"/>
  <c r="AD35" i="99"/>
  <c r="AC151" i="99"/>
  <c r="AC150" i="99"/>
  <c r="AC149" i="99"/>
  <c r="AC148" i="99"/>
  <c r="AC147" i="99"/>
  <c r="AC146" i="99"/>
  <c r="AC145" i="99"/>
  <c r="AC144" i="99"/>
  <c r="AC143" i="99"/>
  <c r="AC142" i="99"/>
  <c r="AC141" i="99"/>
  <c r="AC140" i="99"/>
  <c r="AC139" i="99"/>
  <c r="AC138" i="99"/>
  <c r="AC264" i="99"/>
  <c r="AC272" i="99"/>
  <c r="AC271" i="99"/>
  <c r="AC270" i="99"/>
  <c r="AC253" i="99"/>
  <c r="AC237" i="99"/>
  <c r="AC236" i="99"/>
  <c r="AC137" i="99"/>
  <c r="AC136" i="99"/>
  <c r="AD292" i="99" l="1"/>
  <c r="AC292" i="99"/>
  <c r="AD291" i="99"/>
  <c r="AC291" i="99"/>
  <c r="AD269" i="99"/>
  <c r="AC269" i="99"/>
  <c r="AD268" i="99"/>
  <c r="AC268" i="99"/>
  <c r="AD267" i="99"/>
  <c r="AC267" i="99"/>
  <c r="AD266" i="99"/>
  <c r="AC266" i="99"/>
  <c r="AD265" i="99"/>
  <c r="AC265" i="99"/>
  <c r="AD263" i="99"/>
  <c r="AC263" i="99"/>
  <c r="AD262" i="99"/>
  <c r="AC262" i="99"/>
  <c r="AD261" i="99"/>
  <c r="AC261" i="99"/>
  <c r="AD260" i="99"/>
  <c r="AC260" i="99"/>
  <c r="AD259" i="99"/>
  <c r="AC259" i="99"/>
  <c r="AD255" i="99"/>
  <c r="AC255" i="99"/>
  <c r="AD252" i="99"/>
  <c r="AC252" i="99"/>
  <c r="AD251" i="99"/>
  <c r="AC251" i="99"/>
  <c r="AD247" i="99"/>
  <c r="AC247" i="99"/>
  <c r="AD246" i="99"/>
  <c r="AC246" i="99"/>
  <c r="AD245" i="99"/>
  <c r="AC245" i="99"/>
  <c r="AD244" i="99"/>
  <c r="AC244" i="99"/>
  <c r="AD243" i="99"/>
  <c r="AC243" i="99"/>
  <c r="AD241" i="99"/>
  <c r="AC241" i="99"/>
  <c r="AD240" i="99"/>
  <c r="AC240" i="99"/>
  <c r="AD239" i="99"/>
  <c r="AC239" i="99"/>
  <c r="AD238" i="99"/>
  <c r="AC238" i="99"/>
  <c r="AD234" i="99"/>
  <c r="AC234" i="99"/>
  <c r="AD233" i="99"/>
  <c r="AC233" i="99"/>
  <c r="AD232" i="99"/>
  <c r="AC232" i="99"/>
  <c r="AD231" i="99"/>
  <c r="AC231" i="99"/>
  <c r="AD230" i="99"/>
  <c r="AC230" i="99"/>
  <c r="AD228" i="99"/>
  <c r="AC228" i="99"/>
  <c r="AD227" i="99"/>
  <c r="AC227" i="99"/>
  <c r="AD135" i="99"/>
  <c r="AC135" i="99"/>
  <c r="AD134" i="99"/>
  <c r="AC134" i="99"/>
  <c r="AD129" i="99"/>
  <c r="AC129" i="99"/>
  <c r="AD128" i="99"/>
  <c r="AC128" i="99"/>
  <c r="AD125" i="99"/>
  <c r="AC125" i="99"/>
  <c r="AD124" i="99"/>
  <c r="AC124" i="99"/>
  <c r="AD123" i="99"/>
  <c r="AC123" i="99"/>
  <c r="AD122" i="99"/>
  <c r="AC122" i="99"/>
  <c r="AD121" i="99"/>
  <c r="AC121" i="99"/>
  <c r="AD120" i="99"/>
  <c r="AC120" i="99"/>
  <c r="AD119" i="99"/>
  <c r="AC119" i="99"/>
  <c r="AD118" i="99"/>
  <c r="AC118" i="99"/>
  <c r="AD117" i="99"/>
  <c r="AC117" i="99"/>
  <c r="AD114" i="99"/>
  <c r="AC114" i="99"/>
  <c r="AD113" i="99"/>
  <c r="AC113" i="99"/>
  <c r="AD108" i="99"/>
  <c r="AC108" i="99"/>
  <c r="AD107" i="99"/>
  <c r="AC107" i="99"/>
  <c r="AD94" i="99"/>
  <c r="AC94" i="99"/>
  <c r="AD91" i="99"/>
  <c r="AC91" i="99"/>
  <c r="AD86" i="99"/>
  <c r="AD80" i="99"/>
  <c r="AD79" i="99"/>
  <c r="AD75" i="99"/>
  <c r="AC75" i="99"/>
  <c r="AD69" i="99" l="1"/>
  <c r="AC69" i="99"/>
  <c r="AD63" i="99"/>
  <c r="AC63" i="99"/>
  <c r="AD62" i="99"/>
  <c r="AD28" i="99"/>
  <c r="AC28" i="99"/>
  <c r="AD27" i="99"/>
  <c r="AC27" i="99"/>
  <c r="AD26" i="99"/>
  <c r="AC26" i="99"/>
  <c r="AD21" i="99"/>
  <c r="AD20" i="99"/>
  <c r="AD19" i="99"/>
  <c r="AD18" i="99"/>
  <c r="AD15" i="99"/>
  <c r="AD14" i="99"/>
  <c r="AD13" i="99"/>
  <c r="AD12" i="99"/>
  <c r="AD11" i="99"/>
  <c r="AD10" i="99"/>
  <c r="AD9" i="99"/>
  <c r="AD7" i="99"/>
  <c r="AC65" i="99"/>
  <c r="AC64" i="99"/>
  <c r="AC2" i="99" l="1"/>
  <c r="AC3" i="99"/>
  <c r="AD191" i="99" l="1"/>
  <c r="AC191" i="99"/>
  <c r="AD190" i="99"/>
  <c r="AC190" i="99"/>
  <c r="AD189" i="99"/>
  <c r="AC189" i="99"/>
  <c r="AD188" i="99"/>
  <c r="AC188" i="99"/>
  <c r="AD187" i="99"/>
  <c r="AC187" i="99"/>
  <c r="AD186" i="99"/>
  <c r="AC186" i="99"/>
  <c r="AD185" i="99"/>
  <c r="AC185" i="99"/>
  <c r="AD184" i="99"/>
  <c r="AC184" i="99"/>
  <c r="AD183" i="99"/>
  <c r="AC183" i="99"/>
  <c r="AD182" i="99"/>
  <c r="AC182" i="99"/>
  <c r="AD181" i="99"/>
  <c r="AC181" i="99"/>
  <c r="AD180" i="99"/>
  <c r="AC180" i="99"/>
  <c r="AD179" i="99"/>
  <c r="AC179" i="99"/>
  <c r="AD178" i="99"/>
  <c r="AC178" i="99"/>
  <c r="AD177" i="99"/>
  <c r="AC177" i="99"/>
  <c r="AD176" i="99"/>
  <c r="AC176" i="99"/>
  <c r="AD175" i="99"/>
  <c r="AC175" i="99"/>
  <c r="AD174" i="99"/>
  <c r="AC174" i="99"/>
  <c r="AD173" i="99"/>
  <c r="AC173" i="99"/>
  <c r="AD172" i="99"/>
  <c r="AC172" i="99"/>
  <c r="AD171" i="99"/>
  <c r="AC171" i="99"/>
  <c r="AD170" i="99"/>
  <c r="AC170" i="99"/>
  <c r="AD169" i="99"/>
  <c r="AC169" i="99"/>
  <c r="AD168" i="99"/>
  <c r="AC168" i="99"/>
  <c r="AD167" i="99"/>
  <c r="AC167" i="99"/>
  <c r="AD166" i="99"/>
  <c r="AC166" i="99"/>
  <c r="AD165" i="99"/>
  <c r="AC165" i="99"/>
  <c r="AD164" i="99"/>
  <c r="AC164" i="99"/>
  <c r="AD163" i="99"/>
  <c r="AC163" i="99"/>
  <c r="AD162" i="99"/>
  <c r="AC162" i="99"/>
  <c r="AD161" i="99"/>
  <c r="AC161" i="99"/>
  <c r="AD160" i="99"/>
  <c r="AC160" i="99"/>
  <c r="AD159" i="99"/>
  <c r="AC159" i="99"/>
  <c r="AD158" i="99"/>
  <c r="AC158" i="99"/>
  <c r="AD157" i="99"/>
  <c r="AC157" i="99"/>
  <c r="AD156" i="99"/>
  <c r="AC156" i="99"/>
  <c r="AD155" i="99"/>
  <c r="AC155" i="99"/>
  <c r="AD154" i="99"/>
  <c r="AC154" i="99"/>
  <c r="AD153" i="99"/>
  <c r="AC153" i="99"/>
  <c r="AD152" i="99"/>
  <c r="AC152" i="99"/>
  <c r="AD85" i="99"/>
  <c r="AD84" i="99"/>
  <c r="AD83" i="99"/>
  <c r="AD82" i="99"/>
  <c r="AD81" i="99"/>
  <c r="AD219" i="99"/>
  <c r="AC219" i="99"/>
  <c r="AD218" i="99"/>
  <c r="AC218" i="99"/>
  <c r="AD217" i="99"/>
  <c r="AC217" i="99"/>
  <c r="AD216" i="99"/>
  <c r="AC216" i="99"/>
  <c r="AD215" i="99"/>
  <c r="AC215" i="99"/>
  <c r="AD225" i="99"/>
  <c r="AC225" i="99"/>
  <c r="AD224" i="99"/>
  <c r="AC224" i="99"/>
  <c r="AD223" i="99"/>
  <c r="AC223" i="99"/>
  <c r="AD222" i="99"/>
  <c r="AC222" i="99"/>
  <c r="AD221" i="99"/>
  <c r="AC221" i="99"/>
  <c r="AD220" i="99"/>
  <c r="AC220" i="99"/>
  <c r="AD214" i="99"/>
  <c r="AC214" i="99"/>
  <c r="AD213" i="99"/>
  <c r="AC213" i="99"/>
  <c r="AD212" i="99"/>
  <c r="AC212" i="99"/>
  <c r="AD211" i="99"/>
  <c r="AC211" i="99"/>
  <c r="AD210" i="99"/>
  <c r="AC210" i="99"/>
  <c r="AD209" i="99"/>
  <c r="AC209" i="99"/>
  <c r="AD208" i="99"/>
  <c r="AC208" i="99"/>
  <c r="AD131" i="99"/>
  <c r="AD130" i="99"/>
  <c r="AD250" i="99"/>
  <c r="AC250" i="99"/>
  <c r="AD249" i="99"/>
  <c r="AC249" i="99"/>
  <c r="AD248" i="99"/>
  <c r="AC248" i="99"/>
  <c r="AD229" i="99" l="1"/>
  <c r="AD68" i="99"/>
  <c r="AD67" i="99"/>
  <c r="AD66" i="99"/>
  <c r="AD29" i="99"/>
  <c r="AD258" i="99"/>
  <c r="AD257" i="99"/>
  <c r="AD256" i="99"/>
  <c r="AF289" i="99"/>
  <c r="AF288" i="99"/>
  <c r="AF287" i="99"/>
  <c r="AF286" i="99"/>
  <c r="AF285" i="99"/>
  <c r="AE289" i="99"/>
  <c r="AE288" i="99"/>
  <c r="AE287" i="99"/>
  <c r="AE286" i="99"/>
  <c r="AE285" i="99"/>
  <c r="AE284" i="99"/>
  <c r="AD284" i="99"/>
  <c r="AF284" i="99" s="1"/>
  <c r="AD59" i="99"/>
  <c r="AC59" i="99"/>
  <c r="AD58" i="99"/>
  <c r="AC58" i="99"/>
  <c r="AD57" i="99"/>
  <c r="AC57" i="99"/>
  <c r="AD56" i="99"/>
  <c r="AC56" i="99"/>
  <c r="AD55" i="99"/>
  <c r="AC55" i="99"/>
  <c r="AD54" i="99"/>
  <c r="AC54" i="99"/>
  <c r="AD53" i="99"/>
  <c r="AC53" i="99"/>
  <c r="AD52" i="99"/>
  <c r="AC52" i="99"/>
  <c r="AD51" i="99"/>
  <c r="AC51" i="99"/>
  <c r="AD50" i="99"/>
  <c r="AC50" i="99"/>
  <c r="AD49" i="99"/>
  <c r="AC49" i="99"/>
  <c r="AD48" i="99"/>
  <c r="AC48" i="99"/>
  <c r="AD47" i="99"/>
  <c r="AC47" i="99"/>
  <c r="AF283" i="99"/>
  <c r="AF282" i="99"/>
  <c r="AF281" i="99"/>
  <c r="AF280" i="99"/>
  <c r="AF279" i="99"/>
  <c r="AF278" i="99"/>
  <c r="AF277" i="99"/>
  <c r="AF276" i="99"/>
  <c r="AF275" i="99"/>
  <c r="AF274" i="99"/>
  <c r="AF273" i="99"/>
  <c r="AC41" i="99"/>
  <c r="AD41" i="99"/>
  <c r="AC42" i="99"/>
  <c r="AD42" i="99"/>
  <c r="AC43" i="99"/>
  <c r="AD43" i="99"/>
  <c r="AC44" i="99"/>
  <c r="AD44" i="99"/>
  <c r="AC45" i="99"/>
  <c r="AD45" i="99"/>
  <c r="AC46" i="99"/>
  <c r="AD46" i="99"/>
  <c r="AD40" i="99"/>
  <c r="AC40" i="99"/>
</calcChain>
</file>

<file path=xl/sharedStrings.xml><?xml version="1.0" encoding="utf-8"?>
<sst xmlns="http://schemas.openxmlformats.org/spreadsheetml/2006/main" count="36598" uniqueCount="1857">
  <si>
    <t>Plnt</t>
  </si>
  <si>
    <t>Req. Delivery Date</t>
  </si>
  <si>
    <t>Shipment</t>
  </si>
  <si>
    <t>Term</t>
  </si>
  <si>
    <t>Sold-to-Party Name</t>
  </si>
  <si>
    <t>Ship-to-Pty</t>
  </si>
  <si>
    <t>Sales Ord.</t>
  </si>
  <si>
    <t>Delivery</t>
  </si>
  <si>
    <t>Description</t>
  </si>
  <si>
    <t>Product Type</t>
  </si>
  <si>
    <t>Vessel</t>
  </si>
  <si>
    <t>Voyage</t>
  </si>
  <si>
    <t>ETD Date</t>
  </si>
  <si>
    <t>Disport ETA</t>
  </si>
  <si>
    <t>Gross Weight</t>
  </si>
  <si>
    <t>Port of Loading</t>
  </si>
  <si>
    <t>Port of discharge</t>
  </si>
  <si>
    <t>Incoterms Part2</t>
  </si>
  <si>
    <t>No. of Containers</t>
  </si>
  <si>
    <t>Container Type</t>
  </si>
  <si>
    <t>MetPro Status</t>
  </si>
  <si>
    <t>Fwd Agent</t>
  </si>
  <si>
    <t>Booking Ref.</t>
  </si>
  <si>
    <t>Reason for rejection description</t>
  </si>
  <si>
    <t>No. of bundles</t>
  </si>
  <si>
    <t>Item Status Information</t>
  </si>
  <si>
    <t>Incoterms Part1</t>
  </si>
  <si>
    <t>Shipping Cond</t>
  </si>
  <si>
    <t>4020</t>
  </si>
  <si>
    <t>TRAFIGURA PTE LTD</t>
  </si>
  <si>
    <t>TRAFIKR</t>
  </si>
  <si>
    <t>IS 22KG AA170.9 CNTR 44 N</t>
  </si>
  <si>
    <t>IS</t>
  </si>
  <si>
    <t>AUBNE</t>
  </si>
  <si>
    <t>KRBNP</t>
  </si>
  <si>
    <t>BUSAN NEW PORT, KOREA</t>
  </si>
  <si>
    <t>CNO</t>
  </si>
  <si>
    <t>SHIPPED</t>
  </si>
  <si>
    <t>EVERSHIA</t>
  </si>
  <si>
    <t>CIF</t>
  </si>
  <si>
    <t>KO BON METAL POWER LIMITED</t>
  </si>
  <si>
    <t>ACCESSWKR</t>
  </si>
  <si>
    <t>C21</t>
  </si>
  <si>
    <t>HAPAGLLOYD</t>
  </si>
  <si>
    <t>1100</t>
  </si>
  <si>
    <t>UACJ CORPORATION</t>
  </si>
  <si>
    <t>UACJTH</t>
  </si>
  <si>
    <t>BK</t>
  </si>
  <si>
    <t>AUSYD</t>
  </si>
  <si>
    <t>THLCH</t>
  </si>
  <si>
    <t>LAEM CHABANG</t>
  </si>
  <si>
    <t>CNL</t>
  </si>
  <si>
    <t>OOCLA</t>
  </si>
  <si>
    <t>O</t>
  </si>
  <si>
    <t>6100</t>
  </si>
  <si>
    <t>ALUMET CO., LTD.</t>
  </si>
  <si>
    <t>ALUMET</t>
  </si>
  <si>
    <t>BT 178 SF6063 5800 6/6 H</t>
  </si>
  <si>
    <t>BT</t>
  </si>
  <si>
    <t>THPAT</t>
  </si>
  <si>
    <t>BANGKOK, THAILAND</t>
  </si>
  <si>
    <t>CNB</t>
  </si>
  <si>
    <t>6140</t>
  </si>
  <si>
    <t>IE 22KG BA170.1 CNTR 44 N</t>
  </si>
  <si>
    <t>IE</t>
  </si>
  <si>
    <t>HAMBURG</t>
  </si>
  <si>
    <t>4300</t>
  </si>
  <si>
    <t>PERFIL ALUMINIO DO BRASIL S/A</t>
  </si>
  <si>
    <t>PERFIL</t>
  </si>
  <si>
    <t>BT 178 6060007 5800 6/6 H3</t>
  </si>
  <si>
    <t>BRVIX</t>
  </si>
  <si>
    <t>PORT OF VITORIA, BRAZIL</t>
  </si>
  <si>
    <t>B26</t>
  </si>
  <si>
    <t>CMACGMBRIS</t>
  </si>
  <si>
    <t>1750</t>
  </si>
  <si>
    <t>ALCAN PRIMARY PRODUCTS COMPANY LLC</t>
  </si>
  <si>
    <t>TABER</t>
  </si>
  <si>
    <t>IS 107052 SI 0023 44</t>
  </si>
  <si>
    <t>USMSY</t>
  </si>
  <si>
    <t>PORT OF NEW ORLEANS, USA</t>
  </si>
  <si>
    <t>MITSUBISHI CORPORATION RTM</t>
  </si>
  <si>
    <t>CENTRALMOT</t>
  </si>
  <si>
    <t>IF 8KG AC601W CNTR 65 N</t>
  </si>
  <si>
    <t>IF</t>
  </si>
  <si>
    <t>AUBEL</t>
  </si>
  <si>
    <t>JPNGO</t>
  </si>
  <si>
    <t>NAGOYA, JAPAN</t>
  </si>
  <si>
    <t>TEU</t>
  </si>
  <si>
    <t>MSC</t>
  </si>
  <si>
    <t>TS 480 X 840 AA170.9 750 CNTR N</t>
  </si>
  <si>
    <t>TS</t>
  </si>
  <si>
    <t>4050</t>
  </si>
  <si>
    <t>PT SUNRISE STEEL</t>
  </si>
  <si>
    <t>SUNRISE</t>
  </si>
  <si>
    <t>TA 480 X 840 AA941.1 1465 CNTR N</t>
  </si>
  <si>
    <t>TA</t>
  </si>
  <si>
    <t>IDSUB</t>
  </si>
  <si>
    <t>SURABAYA, INDONESIA</t>
  </si>
  <si>
    <t>MERCURIA ENERGY TRADING SA</t>
  </si>
  <si>
    <t>IS 12KG AA170.9 CNTR 80 N</t>
  </si>
  <si>
    <t>TWKHH</t>
  </si>
  <si>
    <t>KAOHSIUNG, TAIWAN</t>
  </si>
  <si>
    <t>1050</t>
  </si>
  <si>
    <t>PT VOKSEL ELECTRIC TBK</t>
  </si>
  <si>
    <t>VOKSEL</t>
  </si>
  <si>
    <t>IDJKT</t>
  </si>
  <si>
    <t>JAKARTA</t>
  </si>
  <si>
    <t>PT STARMAS INTI ALUMINIUM INDUSTRY</t>
  </si>
  <si>
    <t>ALCOMEXIND</t>
  </si>
  <si>
    <t>CIP</t>
  </si>
  <si>
    <t>SORIN CORPORATION</t>
  </si>
  <si>
    <t>SORIN</t>
  </si>
  <si>
    <t>IS 22KG AA170.9 BULK 44 N</t>
  </si>
  <si>
    <t>2020/04</t>
  </si>
  <si>
    <t>AUGLT</t>
  </si>
  <si>
    <t>KRINC</t>
  </si>
  <si>
    <t>INCHEON, KOREA</t>
  </si>
  <si>
    <t>BB</t>
  </si>
  <si>
    <t>G2OCEAN</t>
  </si>
  <si>
    <t>KORAL INTERNATIONAL CO., LTD.</t>
  </si>
  <si>
    <t>KORAL</t>
  </si>
  <si>
    <t>BT 254 6063H 5800 3/3 FAST COOLED SB HO</t>
  </si>
  <si>
    <t>Port of Incheon, Korea</t>
  </si>
  <si>
    <t>NIPPON STEEL TRADING</t>
  </si>
  <si>
    <t>KLMJPSP</t>
  </si>
  <si>
    <t>BT 204 6063KA 6000 4/4 H</t>
  </si>
  <si>
    <t>BT 204 6063KA 750 18/4 H</t>
  </si>
  <si>
    <t>ALCONIX CORPORATION</t>
  </si>
  <si>
    <t>SATO SHOJI CORPORATION</t>
  </si>
  <si>
    <t>GLENCORE INTERNATIONAL AG</t>
  </si>
  <si>
    <t>PANASONIC</t>
  </si>
  <si>
    <t>JPYOK</t>
  </si>
  <si>
    <t>YOKOHAMA, JAPAN</t>
  </si>
  <si>
    <t>CSAV TOCONAO</t>
  </si>
  <si>
    <t>VNHPH</t>
  </si>
  <si>
    <t>HAIPHONG, VIETNAM</t>
  </si>
  <si>
    <t>COSCO FELIXSTOWE</t>
  </si>
  <si>
    <t>4200</t>
  </si>
  <si>
    <t>HYUNDAI GLOVIS CO., LTD.</t>
  </si>
  <si>
    <t>NOVELISUL</t>
  </si>
  <si>
    <t>C20</t>
  </si>
  <si>
    <t>RTA INC - REMELT INGOT SALES - MTL</t>
  </si>
  <si>
    <t>APEX</t>
  </si>
  <si>
    <t>BT 204 6063.9 7200 SLOW COOLED 5/5 HS</t>
  </si>
  <si>
    <t>JAZAN</t>
  </si>
  <si>
    <t>CAVAN</t>
  </si>
  <si>
    <t>VANCOUVER, BC CANADA</t>
  </si>
  <si>
    <t>OLDMID</t>
  </si>
  <si>
    <t>BT 204 606310 5800 SLOW COOLED 5/5 SB HS</t>
  </si>
  <si>
    <t>USHOU</t>
  </si>
  <si>
    <t>HOUSTON, USA</t>
  </si>
  <si>
    <t>BT 228 606310 5800 SLOW COOLED 4/4 SB HS</t>
  </si>
  <si>
    <t>4100</t>
  </si>
  <si>
    <t>MYPGU</t>
  </si>
  <si>
    <t>PASIR GUDANG, MALAYSIA</t>
  </si>
  <si>
    <t>ANL</t>
  </si>
  <si>
    <t>TONG HEER ALUMINIUM</t>
  </si>
  <si>
    <t>TONGHEER</t>
  </si>
  <si>
    <t>BT 178 6063.1 5800 6/6 SB H</t>
  </si>
  <si>
    <t>MYPEN</t>
  </si>
  <si>
    <t>PENANG</t>
  </si>
  <si>
    <t>BT 204 6063.1 5800 5/5 H</t>
  </si>
  <si>
    <t>IXM SA</t>
  </si>
  <si>
    <t>IXMSAINCHE</t>
  </si>
  <si>
    <t>TUNG SHIN INDUSTRIAL</t>
  </si>
  <si>
    <t>TUNGSHIN</t>
  </si>
  <si>
    <t>VNCLI</t>
  </si>
  <si>
    <t>KIM THINH TRADING COMPANY LIMITED</t>
  </si>
  <si>
    <t>KIMTHINHVN</t>
  </si>
  <si>
    <t>CAT LAI, HO CHI MINH, VN</t>
  </si>
  <si>
    <t>1005</t>
  </si>
  <si>
    <t>MCKECHNIE ALUMINIUM SOLUTIONS LTD</t>
  </si>
  <si>
    <t>CMCKMETAL</t>
  </si>
  <si>
    <t>NZNPL</t>
  </si>
  <si>
    <t>NEW PLYMOUTH CT, NEW ZEALAND</t>
  </si>
  <si>
    <t>DAT</t>
  </si>
  <si>
    <t>BT 228 SF6060 5800 5/5 H</t>
  </si>
  <si>
    <t>WARNOW CHIEF</t>
  </si>
  <si>
    <t>400A</t>
  </si>
  <si>
    <t>OHGITANI CORPORATION</t>
  </si>
  <si>
    <t>NISC</t>
  </si>
  <si>
    <t>TA 480 X 840 XA941.1 1000 US ANY N</t>
  </si>
  <si>
    <t>JPOSA</t>
  </si>
  <si>
    <t>OSAKA, JAPAN</t>
  </si>
  <si>
    <t>DDP</t>
  </si>
  <si>
    <t>Yokohama, Japan</t>
  </si>
  <si>
    <t>FUJIDEN INTERNATIONAL CORP.</t>
  </si>
  <si>
    <t>YODOGAWA</t>
  </si>
  <si>
    <t>TA 480 X 840 AA941.2 1465 ANY N</t>
  </si>
  <si>
    <t>ICHIKAWA PLANT</t>
  </si>
  <si>
    <t>DAP</t>
  </si>
  <si>
    <t>HONDA TRADING CORPORATION</t>
  </si>
  <si>
    <t>HONDATRADE</t>
  </si>
  <si>
    <t>IF 8KG A356NS CNTR 65 N</t>
  </si>
  <si>
    <t>Nagoya, Japan</t>
  </si>
  <si>
    <t>TOYOTA TSUSHO ASIA PACIFIC PTE LTD</t>
  </si>
  <si>
    <t>SUNSTEEL</t>
  </si>
  <si>
    <t>PT.TATA METAL LESTARI</t>
  </si>
  <si>
    <t>TATA METAL</t>
  </si>
  <si>
    <t>PORT OF JAKARTA, INDONESIA</t>
  </si>
  <si>
    <t>NS BLUESCOPE VIETNAM LIMITED</t>
  </si>
  <si>
    <t>BSVN</t>
  </si>
  <si>
    <t>TA 480 X 840 AA941.4 1465 CNTR N</t>
  </si>
  <si>
    <t>VNVUT</t>
  </si>
  <si>
    <t>BARIA VUNG TAU, VIETNAM</t>
  </si>
  <si>
    <t>STEINWEGKR</t>
  </si>
  <si>
    <t>KRPUS</t>
  </si>
  <si>
    <t>KLIL INDUSTRIES LTD</t>
  </si>
  <si>
    <t>KLIL</t>
  </si>
  <si>
    <t>OOCL PANAMA</t>
  </si>
  <si>
    <t>ILHFA</t>
  </si>
  <si>
    <t>BT 178 SF6060 5800 6/6 H</t>
  </si>
  <si>
    <t>SHIN YANG METAL IND. CO.,LTD</t>
  </si>
  <si>
    <t>SHINYANG</t>
  </si>
  <si>
    <t>SHENG YU STEEL CO. LTD.</t>
  </si>
  <si>
    <t>SHENGYU</t>
  </si>
  <si>
    <t>TA 480 X 840 AA941.1 1182 ANY N</t>
  </si>
  <si>
    <t>HIHO METAL CO., LTD.</t>
  </si>
  <si>
    <t>HIHO</t>
  </si>
  <si>
    <t>1000</t>
  </si>
  <si>
    <t>AMAG metal GmbH</t>
  </si>
  <si>
    <t>STEINWEGNL</t>
  </si>
  <si>
    <t>IH 23KG P0404A CONTAINER 44 N</t>
  </si>
  <si>
    <t>IH</t>
  </si>
  <si>
    <t>NZBLU</t>
  </si>
  <si>
    <t>NLRTM</t>
  </si>
  <si>
    <t>Railcar ex L/S/D at Seller’s</t>
  </si>
  <si>
    <t>FCA</t>
  </si>
  <si>
    <t>TAISHAN CITY KAM KIU ALUMINIUM</t>
  </si>
  <si>
    <t>KAMKIUCN</t>
  </si>
  <si>
    <t>IH 23KG P0406T ANY 44 N R</t>
  </si>
  <si>
    <t>CNTSG</t>
  </si>
  <si>
    <t>GONGYI, GUANGDONG, CHINA</t>
  </si>
  <si>
    <t>MITSUBISHI INTERNATIONAL</t>
  </si>
  <si>
    <t>MITSUBISRO</t>
  </si>
  <si>
    <t>ROCND</t>
  </si>
  <si>
    <t>CONSTANTA, ROMANIA</t>
  </si>
  <si>
    <t>TRI-STAR INDUSTRIES PTE LTD</t>
  </si>
  <si>
    <t>SBNMY</t>
  </si>
  <si>
    <t>IH 23KG P0406A CONTAINER 44 N</t>
  </si>
  <si>
    <t>CHRISTA SCHULTE</t>
  </si>
  <si>
    <t>ONEXPRESS</t>
  </si>
  <si>
    <t>TAIWELL ALUMINUM CORPORATION</t>
  </si>
  <si>
    <t>TAIWELL</t>
  </si>
  <si>
    <t>BK 560 X 1250 105091-S 5000 SB GP</t>
  </si>
  <si>
    <t>ANL GIPPSLAND</t>
  </si>
  <si>
    <t>BK 560 X 1250 110095-S 5000 SB GP</t>
  </si>
  <si>
    <t>OOCL HOUSTON</t>
  </si>
  <si>
    <t>TUNG KUANG INDUSTRIAL JOINT</t>
  </si>
  <si>
    <t>TUNG KUANG</t>
  </si>
  <si>
    <t>CAT LAI, HCM, VIETNAM</t>
  </si>
  <si>
    <t>NHON TRACH BRANCH OF TUNG KUANG</t>
  </si>
  <si>
    <t>TUNGKUANGD</t>
  </si>
  <si>
    <t>BG FLOAT GLASS CO., LTD</t>
  </si>
  <si>
    <t>BGFLOAT</t>
  </si>
  <si>
    <t>BT 178 6063925 5801 6/6 H3</t>
  </si>
  <si>
    <t>BT 254 6063925 5800 4/4 H3</t>
  </si>
  <si>
    <t>CMA CGM BELLINI</t>
  </si>
  <si>
    <t>CONTANGO METALS CORPORATION</t>
  </si>
  <si>
    <t>LSVINA</t>
  </si>
  <si>
    <t>NORTHERN JAGUAR</t>
  </si>
  <si>
    <t>EXTAL LTD.</t>
  </si>
  <si>
    <t>EXTALLTD</t>
  </si>
  <si>
    <t>ILASH</t>
  </si>
  <si>
    <t>ASHDOD, ISRAEL</t>
  </si>
  <si>
    <t>HDGLOVKR</t>
  </si>
  <si>
    <t>ANY KOREAN PORT</t>
  </si>
  <si>
    <t>BK 560 X 1350 A3003 4800 SB FS CNTR N</t>
  </si>
  <si>
    <t>ANY BUSAN PORT, KOREA</t>
  </si>
  <si>
    <t>NEW ZEALAND STEEL LTD</t>
  </si>
  <si>
    <t>BSNZS</t>
  </si>
  <si>
    <t>NZAKL</t>
  </si>
  <si>
    <t>AUCKLAND NZ</t>
  </si>
  <si>
    <t>JFE SHOJI TRADE CORPORATION</t>
  </si>
  <si>
    <t>JFE</t>
  </si>
  <si>
    <t>TA 480 X 840 AA941.2 1130 ANY N</t>
  </si>
  <si>
    <t>BLUESCOPE STEEL (SUZHOU) CO., LTD.</t>
  </si>
  <si>
    <t>BSCN</t>
  </si>
  <si>
    <t>CNSHA</t>
  </si>
  <si>
    <t>SHANGHAI, CHINA</t>
  </si>
  <si>
    <t>CONCORD RESOURCES LIMITED</t>
  </si>
  <si>
    <t>ALERISSHA</t>
  </si>
  <si>
    <t>IH 23KG P0303A CONTAINER 44 N</t>
  </si>
  <si>
    <t>CNZHE</t>
  </si>
  <si>
    <t>PORT OF ZHENJIANG, CHINA</t>
  </si>
  <si>
    <t>VISTASALES</t>
  </si>
  <si>
    <t>IO</t>
  </si>
  <si>
    <t>NZPOE</t>
  </si>
  <si>
    <t>USNHD</t>
  </si>
  <si>
    <t>NORTH HOLLYWOOD, LA, USA</t>
  </si>
  <si>
    <t>ORDERED</t>
  </si>
  <si>
    <t>BT 204 SF6060 5800 5/5 H</t>
  </si>
  <si>
    <t>ETA 20.08.2020</t>
  </si>
  <si>
    <t>KOTA LATIF</t>
  </si>
  <si>
    <t>FEDERAL ELECTRIC CORP. LTD.</t>
  </si>
  <si>
    <t>FEDELECTH</t>
  </si>
  <si>
    <t>ALMET THAI LTD.</t>
  </si>
  <si>
    <t>ALMET</t>
  </si>
  <si>
    <t>BT 230 6063925 5800 4/4 H3</t>
  </si>
  <si>
    <t>UACJ</t>
  </si>
  <si>
    <t>BT 203 6063-763 5801 5/5 H3</t>
  </si>
  <si>
    <t>NAGOYA</t>
  </si>
  <si>
    <t>BK 560 X 1100 A1050 4400 SB FQ ANY N</t>
  </si>
  <si>
    <t>NZTWI</t>
  </si>
  <si>
    <t>PREPARED</t>
  </si>
  <si>
    <t>BK 560 X 1330 A1050 4800 SB FQ ANY N</t>
  </si>
  <si>
    <t>BK 560 X 1100 A3003 4800 SB BULK FS</t>
  </si>
  <si>
    <t>KISTRON CO., LTD.</t>
  </si>
  <si>
    <t>KISTRON</t>
  </si>
  <si>
    <t>IH 23KG AA192A BULK 44 N</t>
  </si>
  <si>
    <t>MITSUI &amp; CO., LTD</t>
  </si>
  <si>
    <t>KOBE</t>
  </si>
  <si>
    <t>BK 600 X 1660 H5052 3900 SB AQ ANY N</t>
  </si>
  <si>
    <t>IN-WAREHOUSE YOKOHAMA</t>
  </si>
  <si>
    <t>HONDA</t>
  </si>
  <si>
    <t>BT 202 6063T 6200 4/4 H</t>
  </si>
  <si>
    <t>MITSUBISHI CORPORATION RTM JAPAN</t>
  </si>
  <si>
    <t>TACHIBAN</t>
  </si>
  <si>
    <t>BT 222 6061T  6100 4/4 HIGHER SOAKING H</t>
  </si>
  <si>
    <t>IN-WAREHOUSE NAGOYA</t>
  </si>
  <si>
    <t>BT 222 6005C1 6100 4/4 H</t>
  </si>
  <si>
    <t>BT 222 6063T 6100 4/4 H</t>
  </si>
  <si>
    <t>SUMITOMO CORPORATION</t>
  </si>
  <si>
    <t>IH 23KG AA197A BULK 44 N</t>
  </si>
  <si>
    <t>POSCO INTERNATIONAL CORPORATION</t>
  </si>
  <si>
    <t>POSCO</t>
  </si>
  <si>
    <t>MALMS</t>
  </si>
  <si>
    <t>BT 328 6063B 5750 3/3 H</t>
  </si>
  <si>
    <t>BT 202 6063B 5800 4/4 H</t>
  </si>
  <si>
    <t>BT 202 MR162 6350 5/5 H</t>
  </si>
  <si>
    <t>BT 178 MX171 5500 5/1 H</t>
  </si>
  <si>
    <t>SUMCORP</t>
  </si>
  <si>
    <t>INCHEON, SOUTH KOREA</t>
  </si>
  <si>
    <t>SHOWA DENKO K.K.</t>
  </si>
  <si>
    <t>SHOWADEN</t>
  </si>
  <si>
    <t>IH 23KG BA196S BULK 44 N</t>
  </si>
  <si>
    <t>IH 23KG BA190S2 BULK 44 N</t>
  </si>
  <si>
    <t>BT 355 6061SY 6000 2/2 H</t>
  </si>
  <si>
    <t>Busan and/or Incheon, Korea</t>
  </si>
  <si>
    <t>BT 178 6082SY 6000 6/6 SB H</t>
  </si>
  <si>
    <t>BT 280 6082SY 6000 4/4 BULK H</t>
  </si>
  <si>
    <t>NIPPON LIGHT METAL COMPANY LIMITED</t>
  </si>
  <si>
    <t>NLM</t>
  </si>
  <si>
    <t>BT 273 6061NL 6000 3/3 H</t>
  </si>
  <si>
    <t>BT 273 6005C 6000 3/3 H</t>
  </si>
  <si>
    <t>IH 23KG AA190N BULK 44 N</t>
  </si>
  <si>
    <t>SCSP</t>
  </si>
  <si>
    <t>CHYUN SHENG INDUSTRIES CO LTD</t>
  </si>
  <si>
    <t>CHYUNSNG</t>
  </si>
  <si>
    <t>BT 178 6063505 5801 6/6 H3</t>
  </si>
  <si>
    <t>GOANG HANN ENTERPRISE CO., LTD.</t>
  </si>
  <si>
    <t>GOANG</t>
  </si>
  <si>
    <t>CONCORDUS</t>
  </si>
  <si>
    <t>USLGB</t>
  </si>
  <si>
    <t>PORT OF LONG BEACH, USA</t>
  </si>
  <si>
    <t>TOYOTA</t>
  </si>
  <si>
    <t>052N</t>
  </si>
  <si>
    <t>BT 178 606030 5800 6/6 H</t>
  </si>
  <si>
    <t>EXTALSP</t>
  </si>
  <si>
    <t>BT 178 6063T 5800 6/6 H</t>
  </si>
  <si>
    <t>PORT OF ASHDOD, ISRAEL</t>
  </si>
  <si>
    <t>BT 254 6063T 5800 3/3 CNT H</t>
  </si>
  <si>
    <t>C26</t>
  </si>
  <si>
    <t>GLENCORIL1</t>
  </si>
  <si>
    <t>PORT OF HAIFA, ISRAEL</t>
  </si>
  <si>
    <t>4140</t>
  </si>
  <si>
    <t>THAI METAL ALUMINIUM CO., LTD.</t>
  </si>
  <si>
    <t>THAIMETAL</t>
  </si>
  <si>
    <t>BANGKOK</t>
  </si>
  <si>
    <t>PHELPS DODGE INTERNATIONAL</t>
  </si>
  <si>
    <t>PHELPSTH</t>
  </si>
  <si>
    <t>GLENCORERU</t>
  </si>
  <si>
    <t>IH 23KG P0202A CNT 44 N</t>
  </si>
  <si>
    <t>RULED</t>
  </si>
  <si>
    <t>SAINT PETERSBURG</t>
  </si>
  <si>
    <t>YIEH PHUI ENTERPRISE CO., LTD.</t>
  </si>
  <si>
    <t>YIEHPHUI</t>
  </si>
  <si>
    <t>BK 560 X 1310 S1050 5100 BS CNTR N</t>
  </si>
  <si>
    <t>DAELIM CORPORATION CO., LTD.</t>
  </si>
  <si>
    <t>DAELIM</t>
  </si>
  <si>
    <t>IF 12KG 356.1NP CNTR 80 N</t>
  </si>
  <si>
    <t>ANY BUSAN PORT, SOUTH KOREA</t>
  </si>
  <si>
    <t>IF 8KG AA601.7 CNTR 65 N</t>
  </si>
  <si>
    <t>IF 12KG AC601G CNTR 80 N</t>
  </si>
  <si>
    <t>Any Busan Port</t>
  </si>
  <si>
    <t>BK 560 X 1350 P1100 5100 BS CNTR N</t>
  </si>
  <si>
    <t>BK 560 X 1520 P1100 4900 BS CNTR N</t>
  </si>
  <si>
    <t>BK 560 X 1350 GRADE.C SCRAP</t>
  </si>
  <si>
    <t>HYUNDAI INTEGRAL</t>
  </si>
  <si>
    <t>BK 300 X 865 410370 1750 US</t>
  </si>
  <si>
    <t>SANTA CATARINA</t>
  </si>
  <si>
    <t>KURE PLANT</t>
  </si>
  <si>
    <t>HONDA METAL INDUSTRIES VIETNAM, LTD.</t>
  </si>
  <si>
    <t>HONDAVN</t>
  </si>
  <si>
    <t>BT 203 6063962 5800 4/4 H3</t>
  </si>
  <si>
    <t>CAT LAI, VIETNAM</t>
  </si>
  <si>
    <t>BT 254 606199 5800 4/4 SB HH</t>
  </si>
  <si>
    <t>TRAFIMY</t>
  </si>
  <si>
    <t>KANEHIDE SHOJI CO LTD</t>
  </si>
  <si>
    <t>KANEHIDE</t>
  </si>
  <si>
    <t>BT 203 6063936 5501 4/4 H3</t>
  </si>
  <si>
    <t>JPNAH</t>
  </si>
  <si>
    <t>NAHA, OKINAHA, JAPAN</t>
  </si>
  <si>
    <t>OOCL ITALY</t>
  </si>
  <si>
    <t>CMA CGM URAL</t>
  </si>
  <si>
    <t>MYPKG</t>
  </si>
  <si>
    <t>PORT KLANG, MALAYSIA</t>
  </si>
  <si>
    <t>BK 560 X 1350 P1050 5100 BS CNTR N</t>
  </si>
  <si>
    <t>BK 560 X 1450 P1050 5100 BS CNTR N</t>
  </si>
  <si>
    <t>MSC ASTRID</t>
  </si>
  <si>
    <t>2502</t>
  </si>
  <si>
    <t>13</t>
  </si>
  <si>
    <t/>
  </si>
  <si>
    <t>312</t>
  </si>
  <si>
    <t>31</t>
  </si>
  <si>
    <t>5</t>
  </si>
  <si>
    <t>10</t>
  </si>
  <si>
    <t>15</t>
  </si>
  <si>
    <t>30</t>
  </si>
  <si>
    <t>4</t>
  </si>
  <si>
    <t>8</t>
  </si>
  <si>
    <t>192</t>
  </si>
  <si>
    <t>9</t>
  </si>
  <si>
    <t>216</t>
  </si>
  <si>
    <t>207</t>
  </si>
  <si>
    <t>12</t>
  </si>
  <si>
    <t>288</t>
  </si>
  <si>
    <t>2504</t>
  </si>
  <si>
    <t>20</t>
  </si>
  <si>
    <t>480</t>
  </si>
  <si>
    <t>OOCL ROTTERDAM</t>
  </si>
  <si>
    <t>2501</t>
  </si>
  <si>
    <t>25</t>
  </si>
  <si>
    <t>40</t>
  </si>
  <si>
    <t>35</t>
  </si>
  <si>
    <t>21</t>
  </si>
  <si>
    <t>504</t>
  </si>
  <si>
    <t>96</t>
  </si>
  <si>
    <t>42</t>
  </si>
  <si>
    <t>0</t>
  </si>
  <si>
    <t>493</t>
  </si>
  <si>
    <t>32</t>
  </si>
  <si>
    <t>84</t>
  </si>
  <si>
    <t>22</t>
  </si>
  <si>
    <t>29</t>
  </si>
  <si>
    <t>395</t>
  </si>
  <si>
    <t>3</t>
  </si>
  <si>
    <t>26</t>
  </si>
  <si>
    <t>494</t>
  </si>
  <si>
    <t>2</t>
  </si>
  <si>
    <t>1</t>
  </si>
  <si>
    <t>16</t>
  </si>
  <si>
    <t>17</t>
  </si>
  <si>
    <t>408</t>
  </si>
  <si>
    <t>44</t>
  </si>
  <si>
    <t>24</t>
  </si>
  <si>
    <t>11</t>
  </si>
  <si>
    <t>48</t>
  </si>
  <si>
    <t>300</t>
  </si>
  <si>
    <t>14</t>
  </si>
  <si>
    <t>700</t>
  </si>
  <si>
    <t>68</t>
  </si>
  <si>
    <t>18</t>
  </si>
  <si>
    <t>528</t>
  </si>
  <si>
    <t>136</t>
  </si>
  <si>
    <t>6</t>
  </si>
  <si>
    <t>7</t>
  </si>
  <si>
    <t>50</t>
  </si>
  <si>
    <t>100</t>
  </si>
  <si>
    <t>120</t>
  </si>
  <si>
    <t>2503</t>
  </si>
  <si>
    <t>72</t>
  </si>
  <si>
    <t>104</t>
  </si>
  <si>
    <t>400</t>
  </si>
  <si>
    <t>54</t>
  </si>
  <si>
    <t>66</t>
  </si>
  <si>
    <t>491</t>
  </si>
  <si>
    <t>19</t>
  </si>
  <si>
    <t>475</t>
  </si>
  <si>
    <t>280</t>
  </si>
  <si>
    <t>286</t>
  </si>
  <si>
    <t>240</t>
  </si>
  <si>
    <t>28</t>
  </si>
  <si>
    <t>468</t>
  </si>
  <si>
    <t>2522</t>
  </si>
  <si>
    <t>275</t>
  </si>
  <si>
    <t>2524</t>
  </si>
  <si>
    <t>CONTSHIP TEN</t>
  </si>
  <si>
    <t>MSC ALABAMA</t>
  </si>
  <si>
    <t>KOTA LAYAR</t>
  </si>
  <si>
    <t>104N</t>
  </si>
  <si>
    <t>IO 23KG B356.2 CONTAINER 44 N</t>
  </si>
  <si>
    <t>AUMEL</t>
  </si>
  <si>
    <t>OOCLACD</t>
  </si>
  <si>
    <t>TASMAN</t>
  </si>
  <si>
    <t>CMA CGM CHOPIN</t>
  </si>
  <si>
    <t>AL HILAL</t>
  </si>
  <si>
    <t>ETA 05.09.2020</t>
  </si>
  <si>
    <t>VNSGN</t>
  </si>
  <si>
    <t>HO CHI MINH, VIETNAM</t>
  </si>
  <si>
    <t>HYUNDAI VANCOUVER</t>
  </si>
  <si>
    <t>BK 560 X 1230 S1050 5100 BS BULK N</t>
  </si>
  <si>
    <t>27</t>
  </si>
  <si>
    <t>OOCL BEIJING</t>
  </si>
  <si>
    <t>ANLCD</t>
  </si>
  <si>
    <t>STARMAS</t>
  </si>
  <si>
    <t>92</t>
  </si>
  <si>
    <t>GLENCOREMY</t>
  </si>
  <si>
    <t>NS BLUESCOPE (THAILAND) LIMITED</t>
  </si>
  <si>
    <t>BSTHAI</t>
  </si>
  <si>
    <t>187</t>
  </si>
  <si>
    <t>51</t>
  </si>
  <si>
    <t>120N</t>
  </si>
  <si>
    <t>SITONG TECHNOLOGY INTERNATIONAL</t>
  </si>
  <si>
    <t>SITONGCN</t>
  </si>
  <si>
    <t>E.R. DENMARK</t>
  </si>
  <si>
    <t>CNTSN</t>
  </si>
  <si>
    <t>PORT OF TIANJIN, CHINA</t>
  </si>
  <si>
    <t>028N</t>
  </si>
  <si>
    <t>ETA 10.09.2020</t>
  </si>
  <si>
    <t>BT 254 SF6063 5800 3/3 H</t>
  </si>
  <si>
    <t>140</t>
  </si>
  <si>
    <t>XIN YAN TAI</t>
  </si>
  <si>
    <t>PT NS BLUESCOPE INDONESIA</t>
  </si>
  <si>
    <t>BSIDN</t>
  </si>
  <si>
    <t>JAKARTA, INDONESIA</t>
  </si>
  <si>
    <t>KITE ARROW</t>
  </si>
  <si>
    <t>2020/06</t>
  </si>
  <si>
    <t>BK 600 X 1660 H5052 4800 SB ANY N</t>
  </si>
  <si>
    <t>60</t>
  </si>
  <si>
    <t>BK 600 X 1720 H5052 3900 SB AQ ANY N</t>
  </si>
  <si>
    <t>69</t>
  </si>
  <si>
    <t>23</t>
  </si>
  <si>
    <t>BK 560 X 1230 S8079 5100 BS BULK N</t>
  </si>
  <si>
    <t>NOVELIS KOREA LIMITED</t>
  </si>
  <si>
    <t>BK 560 X 1230 GRADE.C SCRAP</t>
  </si>
  <si>
    <t>Port of Busan and/or Ulsan</t>
  </si>
  <si>
    <t>ALEXINDO</t>
  </si>
  <si>
    <t>253</t>
  </si>
  <si>
    <t>ETA 15.08.20</t>
  </si>
  <si>
    <t>BK 560 X 1630 A1145 4800 SB FQ CNTR N</t>
  </si>
  <si>
    <t>THINH PHAT REAL ESTATE</t>
  </si>
  <si>
    <t>THINHPHAT</t>
  </si>
  <si>
    <t>MEYER ALUMINIUM LIMITED</t>
  </si>
  <si>
    <t>30012658</t>
  </si>
  <si>
    <t>15017736</t>
  </si>
  <si>
    <t>802093675</t>
  </si>
  <si>
    <t>045N</t>
  </si>
  <si>
    <t>AEL0973659</t>
  </si>
  <si>
    <t>O/ETA 10.08.2020</t>
  </si>
  <si>
    <t>15017809</t>
  </si>
  <si>
    <t>802093684</t>
  </si>
  <si>
    <t>AEL0973624</t>
  </si>
  <si>
    <t>TAIWAN HODAKA TECHNOLOGY CO., LTD.</t>
  </si>
  <si>
    <t>HODAKATW</t>
  </si>
  <si>
    <t>15017811</t>
  </si>
  <si>
    <t>802093685</t>
  </si>
  <si>
    <t>AEL0973666</t>
  </si>
  <si>
    <t>15017886</t>
  </si>
  <si>
    <t>802093854</t>
  </si>
  <si>
    <t>AEL0974651</t>
  </si>
  <si>
    <t>O/ETA 15/08/2020</t>
  </si>
  <si>
    <t>15017894</t>
  </si>
  <si>
    <t>802093855</t>
  </si>
  <si>
    <t>AEL0974680</t>
  </si>
  <si>
    <t>15018094</t>
  </si>
  <si>
    <t>802094168</t>
  </si>
  <si>
    <t>BT 203 6063-763 5800 4/4 H3</t>
  </si>
  <si>
    <t>AEL0978563</t>
  </si>
  <si>
    <t>MARUBENI CORPORATION</t>
  </si>
  <si>
    <t>SUSJPSP</t>
  </si>
  <si>
    <t>BT 203 6530200 5800 4/4 H3</t>
  </si>
  <si>
    <t>029N</t>
  </si>
  <si>
    <t>ALS KRONOS</t>
  </si>
  <si>
    <t>COSCO HONG KONG</t>
  </si>
  <si>
    <t>MEYER</t>
  </si>
  <si>
    <t>HKHKG</t>
  </si>
  <si>
    <t>PORT OF HONG KONG</t>
  </si>
  <si>
    <t>RIO BLANCO</t>
  </si>
  <si>
    <t>CMA CGM LOIRE</t>
  </si>
  <si>
    <t>BT 178 6063.2 5800 6/6 H</t>
  </si>
  <si>
    <t>OOCL NORFOLK</t>
  </si>
  <si>
    <t>45</t>
  </si>
  <si>
    <t>30012699</t>
  </si>
  <si>
    <t>15017957</t>
  </si>
  <si>
    <t>802093871</t>
  </si>
  <si>
    <t>004N</t>
  </si>
  <si>
    <t>600000015251</t>
  </si>
  <si>
    <t>15017958</t>
  </si>
  <si>
    <t>802093872</t>
  </si>
  <si>
    <t>600000015260</t>
  </si>
  <si>
    <t>APL SCOTLAND</t>
  </si>
  <si>
    <t>ETA 01.09.20</t>
  </si>
  <si>
    <t>MSC KOREA</t>
  </si>
  <si>
    <t>ETA 25.08.2020</t>
  </si>
  <si>
    <t>110</t>
  </si>
  <si>
    <t>ETA SEPTEMBER</t>
  </si>
  <si>
    <t>460</t>
  </si>
  <si>
    <t>BK 560 X 1350 S6014 5100 BS AB ANY N</t>
  </si>
  <si>
    <t>30012670</t>
  </si>
  <si>
    <t>15017843</t>
  </si>
  <si>
    <t>802093896</t>
  </si>
  <si>
    <t>43888731</t>
  </si>
  <si>
    <t>30012688</t>
  </si>
  <si>
    <t>15017848</t>
  </si>
  <si>
    <t>802093901</t>
  </si>
  <si>
    <t>600000015375</t>
  </si>
  <si>
    <t>30012704</t>
  </si>
  <si>
    <t>15017725</t>
  </si>
  <si>
    <t>802093669</t>
  </si>
  <si>
    <t>4050122390</t>
  </si>
  <si>
    <t>HSBC ETA 23.08.2020</t>
  </si>
  <si>
    <t>15017991</t>
  </si>
  <si>
    <t>802094010</t>
  </si>
  <si>
    <t>4050130910</t>
  </si>
  <si>
    <t>HSBC ETA END AUG</t>
  </si>
  <si>
    <t>15018013</t>
  </si>
  <si>
    <t>802094011</t>
  </si>
  <si>
    <t>4050130920</t>
  </si>
  <si>
    <t>O/HSBC ETA 15 AUG</t>
  </si>
  <si>
    <t>SOUTHERN CABLE SDN BHD</t>
  </si>
  <si>
    <t>SOUTHERN-C</t>
  </si>
  <si>
    <t>030N</t>
  </si>
  <si>
    <t>30012629</t>
  </si>
  <si>
    <t>15017854</t>
  </si>
  <si>
    <t>802093699</t>
  </si>
  <si>
    <t>AEL0973053</t>
  </si>
  <si>
    <t>15017961</t>
  </si>
  <si>
    <t>802093874</t>
  </si>
  <si>
    <t>AEL0974687</t>
  </si>
  <si>
    <t>30012622</t>
  </si>
  <si>
    <t>15017813</t>
  </si>
  <si>
    <t>802093686</t>
  </si>
  <si>
    <t>MBE0334899</t>
  </si>
  <si>
    <t>15017814</t>
  </si>
  <si>
    <t>802093687</t>
  </si>
  <si>
    <t>MBE0334946</t>
  </si>
  <si>
    <t>30012681</t>
  </si>
  <si>
    <t>15017985</t>
  </si>
  <si>
    <t>802093925</t>
  </si>
  <si>
    <t>4050121750</t>
  </si>
  <si>
    <t>BOONKANITH CABLE WORKS CO., LTD</t>
  </si>
  <si>
    <t>BOONKANITH</t>
  </si>
  <si>
    <t>15017988</t>
  </si>
  <si>
    <t>802093928</t>
  </si>
  <si>
    <t>4050121770</t>
  </si>
  <si>
    <t>15017989</t>
  </si>
  <si>
    <t>802093929</t>
  </si>
  <si>
    <t>4050121790</t>
  </si>
  <si>
    <t>ETA 15 AUG</t>
  </si>
  <si>
    <t>15017990</t>
  </si>
  <si>
    <t>802093930</t>
  </si>
  <si>
    <t>4050121780</t>
  </si>
  <si>
    <t>ETA 20.09.2020</t>
  </si>
  <si>
    <t>30012702</t>
  </si>
  <si>
    <t>15017938</t>
  </si>
  <si>
    <t>802093861</t>
  </si>
  <si>
    <t>SYDA03207500</t>
  </si>
  <si>
    <t>15017939</t>
  </si>
  <si>
    <t>802093862</t>
  </si>
  <si>
    <t>SYDA03206400</t>
  </si>
  <si>
    <t>30012665</t>
  </si>
  <si>
    <t>YKK AP INC.</t>
  </si>
  <si>
    <t>YKK</t>
  </si>
  <si>
    <t>15017882</t>
  </si>
  <si>
    <t>802093910</t>
  </si>
  <si>
    <t>15017943</t>
  </si>
  <si>
    <t>802093921</t>
  </si>
  <si>
    <t>15017944</t>
  </si>
  <si>
    <t>802093922</t>
  </si>
  <si>
    <t>15017945</t>
  </si>
  <si>
    <t>802093923</t>
  </si>
  <si>
    <t>15017946</t>
  </si>
  <si>
    <t>802093924</t>
  </si>
  <si>
    <t>15018015</t>
  </si>
  <si>
    <t>802093995</t>
  </si>
  <si>
    <t>247</t>
  </si>
  <si>
    <t>15018035</t>
  </si>
  <si>
    <t>802094029</t>
  </si>
  <si>
    <t>15018038</t>
  </si>
  <si>
    <t>802094043</t>
  </si>
  <si>
    <t>15018039</t>
  </si>
  <si>
    <t>802094044</t>
  </si>
  <si>
    <t>15018040</t>
  </si>
  <si>
    <t>802094045</t>
  </si>
  <si>
    <t>15018041</t>
  </si>
  <si>
    <t>802094046</t>
  </si>
  <si>
    <t>LIXIL</t>
  </si>
  <si>
    <t>15018053</t>
  </si>
  <si>
    <t>802094083</t>
  </si>
  <si>
    <t>197</t>
  </si>
  <si>
    <t>30012636</t>
  </si>
  <si>
    <t>15017923</t>
  </si>
  <si>
    <t>802093760</t>
  </si>
  <si>
    <t>FC031R</t>
  </si>
  <si>
    <t>EBKG00702644</t>
  </si>
  <si>
    <t>15017924</t>
  </si>
  <si>
    <t>802093761</t>
  </si>
  <si>
    <t>EBKG00702736</t>
  </si>
  <si>
    <t>15017925</t>
  </si>
  <si>
    <t>802093762</t>
  </si>
  <si>
    <t>EBKG00702737</t>
  </si>
  <si>
    <t>15017926</t>
  </si>
  <si>
    <t>802093763</t>
  </si>
  <si>
    <t>EBKG00702738</t>
  </si>
  <si>
    <t>30012733</t>
  </si>
  <si>
    <t>15018097</t>
  </si>
  <si>
    <t>802094171</t>
  </si>
  <si>
    <t>BK 500 X 1735 120090-S 4300 SB FS</t>
  </si>
  <si>
    <t>48224852</t>
  </si>
  <si>
    <t>15018098</t>
  </si>
  <si>
    <t>802094172</t>
  </si>
  <si>
    <t>BK 500 X 1735 105090-S 4300 SB FS</t>
  </si>
  <si>
    <t>ETA 30.08.20</t>
  </si>
  <si>
    <t>TA 480 X 840 AA941.1 732 CNTR N</t>
  </si>
  <si>
    <t>15017949</t>
  </si>
  <si>
    <t>802093829</t>
  </si>
  <si>
    <t>MWP</t>
  </si>
  <si>
    <t>EBKG00706590</t>
  </si>
  <si>
    <t>15017885</t>
  </si>
  <si>
    <t>802093853</t>
  </si>
  <si>
    <t>4050122410</t>
  </si>
  <si>
    <t>O/ETA 15-25/08/20</t>
  </si>
  <si>
    <t>30012738</t>
  </si>
  <si>
    <t>15018100</t>
  </si>
  <si>
    <t>802094175</t>
  </si>
  <si>
    <t>AEL0978290</t>
  </si>
  <si>
    <t>CONTI STOCKHOLM</t>
  </si>
  <si>
    <t>BLUEQUEST RESOURCES (OVERSEAS) LTD.</t>
  </si>
  <si>
    <t>BLUEQUESBR</t>
  </si>
  <si>
    <t>BT 178 6063T 5801 6/6 H3</t>
  </si>
  <si>
    <t>BRIOA</t>
  </si>
  <si>
    <t>ITAPOA, BRAZIL</t>
  </si>
  <si>
    <t>CFR</t>
  </si>
  <si>
    <t>MSC ADITI</t>
  </si>
  <si>
    <t>0BNE006032</t>
  </si>
  <si>
    <t>0BNE006034</t>
  </si>
  <si>
    <t>0BNE006035</t>
  </si>
  <si>
    <t>0BNE006036</t>
  </si>
  <si>
    <t>MAERSK DANUBE</t>
  </si>
  <si>
    <t>031N</t>
  </si>
  <si>
    <t>0BNE006037</t>
  </si>
  <si>
    <t>0BNE006038</t>
  </si>
  <si>
    <t>WIDE HOTEL</t>
  </si>
  <si>
    <t>077N</t>
  </si>
  <si>
    <t>HYDRO ALUMINIUM</t>
  </si>
  <si>
    <t>VIGELANDSP</t>
  </si>
  <si>
    <t>IH 23KG AA190J CONTAINER 44 N</t>
  </si>
  <si>
    <t>NOKRS</t>
  </si>
  <si>
    <t>KRISTIANSAND</t>
  </si>
  <si>
    <t>EBKG00702633</t>
  </si>
  <si>
    <t>KI030R</t>
  </si>
  <si>
    <t>HOPE ISLAND</t>
  </si>
  <si>
    <t>110N</t>
  </si>
  <si>
    <t>AL RAWDAH</t>
  </si>
  <si>
    <t>1980N</t>
  </si>
  <si>
    <t>RELEASED 20/07</t>
  </si>
  <si>
    <t>49894689</t>
  </si>
  <si>
    <t>RE-RELEASED 22/07</t>
  </si>
  <si>
    <t>SEAMAX STRATFORD</t>
  </si>
  <si>
    <t>101N</t>
  </si>
  <si>
    <t>BOMAR REGINA</t>
  </si>
  <si>
    <t>0525</t>
  </si>
  <si>
    <t>RELEASED 28/07</t>
  </si>
  <si>
    <t>KI032R</t>
  </si>
  <si>
    <t>EBKG00764232</t>
  </si>
  <si>
    <t>394</t>
  </si>
  <si>
    <t>492</t>
  </si>
  <si>
    <t>256</t>
  </si>
  <si>
    <t>198</t>
  </si>
  <si>
    <t>30012761</t>
  </si>
  <si>
    <t>15018166</t>
  </si>
  <si>
    <t>802094769</t>
  </si>
  <si>
    <t>MAERSK IZMIR</t>
  </si>
  <si>
    <t>0DUD006943</t>
  </si>
  <si>
    <t>15018167</t>
  </si>
  <si>
    <t>802094770</t>
  </si>
  <si>
    <t>0DUD006944</t>
  </si>
  <si>
    <t>15018202</t>
  </si>
  <si>
    <t>802094711</t>
  </si>
  <si>
    <t>416</t>
  </si>
  <si>
    <t>30012768</t>
  </si>
  <si>
    <t>15018180</t>
  </si>
  <si>
    <t>802094824</t>
  </si>
  <si>
    <t>MAERSK GARONNE</t>
  </si>
  <si>
    <t>028S</t>
  </si>
  <si>
    <t>0BNE006501</t>
  </si>
  <si>
    <t>30012778</t>
  </si>
  <si>
    <t>15018329</t>
  </si>
  <si>
    <t>802094894</t>
  </si>
  <si>
    <t>GENOVA</t>
  </si>
  <si>
    <t>KE030R</t>
  </si>
  <si>
    <t>EBKG00748900</t>
  </si>
  <si>
    <t>30012812</t>
  </si>
  <si>
    <t>15018190</t>
  </si>
  <si>
    <t>802094728</t>
  </si>
  <si>
    <t>OOCL KUALA LUMPUR</t>
  </si>
  <si>
    <t>137N</t>
  </si>
  <si>
    <t>4050279570</t>
  </si>
  <si>
    <t>HSBC ETA 25.08.2020</t>
  </si>
  <si>
    <t>15018193</t>
  </si>
  <si>
    <t>802094731</t>
  </si>
  <si>
    <t>4050279590</t>
  </si>
  <si>
    <t>30012752</t>
  </si>
  <si>
    <t>15018156</t>
  </si>
  <si>
    <t>802094236</t>
  </si>
  <si>
    <t>15018157</t>
  </si>
  <si>
    <t>802094237</t>
  </si>
  <si>
    <t>15018158</t>
  </si>
  <si>
    <t>802094238</t>
  </si>
  <si>
    <t>15018159</t>
  </si>
  <si>
    <t>802094239</t>
  </si>
  <si>
    <t>15018160</t>
  </si>
  <si>
    <t>802094240</t>
  </si>
  <si>
    <t>15018161</t>
  </si>
  <si>
    <t>802094241</t>
  </si>
  <si>
    <t>30012803</t>
  </si>
  <si>
    <t>15018322</t>
  </si>
  <si>
    <t>802094880</t>
  </si>
  <si>
    <t>4050304040</t>
  </si>
  <si>
    <t>15018356</t>
  </si>
  <si>
    <t>802094916</t>
  </si>
  <si>
    <t>4050304190</t>
  </si>
  <si>
    <t>98</t>
  </si>
  <si>
    <t>15018470</t>
  </si>
  <si>
    <t>802095157</t>
  </si>
  <si>
    <t>MJP</t>
  </si>
  <si>
    <t>34</t>
  </si>
  <si>
    <t>30012809</t>
  </si>
  <si>
    <t>15018204</t>
  </si>
  <si>
    <t>802094739</t>
  </si>
  <si>
    <t>095N</t>
  </si>
  <si>
    <t>45560296</t>
  </si>
  <si>
    <t>ETA 05-SEP</t>
  </si>
  <si>
    <t>30012837</t>
  </si>
  <si>
    <t>30012750</t>
  </si>
  <si>
    <t>15015842</t>
  </si>
  <si>
    <t>802094235</t>
  </si>
  <si>
    <t>FC032R</t>
  </si>
  <si>
    <t>EBKG00728005</t>
  </si>
  <si>
    <t>125</t>
  </si>
  <si>
    <t>15018183</t>
  </si>
  <si>
    <t>802094707</t>
  </si>
  <si>
    <t>EBKG00752707</t>
  </si>
  <si>
    <t>15018232</t>
  </si>
  <si>
    <t>802094776</t>
  </si>
  <si>
    <t>IS 23KG AA170.4 CNT 44 N</t>
  </si>
  <si>
    <t>EBKG00753102</t>
  </si>
  <si>
    <t>15018233</t>
  </si>
  <si>
    <t>802094777</t>
  </si>
  <si>
    <t>EBKG00753112</t>
  </si>
  <si>
    <t>30012753</t>
  </si>
  <si>
    <t>694</t>
  </si>
  <si>
    <t>15018390</t>
  </si>
  <si>
    <t>802095009</t>
  </si>
  <si>
    <t>EBKG00753341</t>
  </si>
  <si>
    <t>ETA 05/09</t>
  </si>
  <si>
    <t>15018391</t>
  </si>
  <si>
    <t>802095010</t>
  </si>
  <si>
    <t>EBKG00753352</t>
  </si>
  <si>
    <t>15018432</t>
  </si>
  <si>
    <t>802095115</t>
  </si>
  <si>
    <t>BK 560 X 1720 GRADE.C SCRAP</t>
  </si>
  <si>
    <t>EBKG00759124</t>
  </si>
  <si>
    <t>15018433</t>
  </si>
  <si>
    <t>802095112</t>
  </si>
  <si>
    <t>BK 560 X 1520 GRADE.C SCRAP</t>
  </si>
  <si>
    <t>EBKG00762173</t>
  </si>
  <si>
    <t>15018434</t>
  </si>
  <si>
    <t>802095113</t>
  </si>
  <si>
    <t>EBKG00759144</t>
  </si>
  <si>
    <t>15018435</t>
  </si>
  <si>
    <t>802095114</t>
  </si>
  <si>
    <t>BK 560 X 1630 GRADE.C SCRAP</t>
  </si>
  <si>
    <t>EBKG00759157</t>
  </si>
  <si>
    <t>30012795</t>
  </si>
  <si>
    <t>15018290</t>
  </si>
  <si>
    <t>802094851</t>
  </si>
  <si>
    <t>49561650</t>
  </si>
  <si>
    <t>PT PAKOAKUINA</t>
  </si>
  <si>
    <t>PAKOA</t>
  </si>
  <si>
    <t>15018292</t>
  </si>
  <si>
    <t>802094853</t>
  </si>
  <si>
    <t>IF 12KG AC601T CNTR 80 N</t>
  </si>
  <si>
    <t>41561185</t>
  </si>
  <si>
    <t>ETA 25.08.20</t>
  </si>
  <si>
    <t>15018352</t>
  </si>
  <si>
    <t>802094913</t>
  </si>
  <si>
    <t>41894812</t>
  </si>
  <si>
    <t>30012773</t>
  </si>
  <si>
    <t>15018215</t>
  </si>
  <si>
    <t>802094833</t>
  </si>
  <si>
    <t>44560928</t>
  </si>
  <si>
    <t>30012813</t>
  </si>
  <si>
    <t>15018199</t>
  </si>
  <si>
    <t>802094735</t>
  </si>
  <si>
    <t>105N</t>
  </si>
  <si>
    <t>4050279620</t>
  </si>
  <si>
    <t>O/ETA END AUG</t>
  </si>
  <si>
    <t>15018200</t>
  </si>
  <si>
    <t>802094736</t>
  </si>
  <si>
    <t>4050279630</t>
  </si>
  <si>
    <t>15018201</t>
  </si>
  <si>
    <t>802094737</t>
  </si>
  <si>
    <t>4050279640</t>
  </si>
  <si>
    <t>30012772</t>
  </si>
  <si>
    <t>15018368</t>
  </si>
  <si>
    <t>802095011</t>
  </si>
  <si>
    <t>MAERSK SURABAYA</t>
  </si>
  <si>
    <t>46227531</t>
  </si>
  <si>
    <t>15018369</t>
  </si>
  <si>
    <t>802095012</t>
  </si>
  <si>
    <t>48561213</t>
  </si>
  <si>
    <t>30012790</t>
  </si>
  <si>
    <t>15018371</t>
  </si>
  <si>
    <t>802094997</t>
  </si>
  <si>
    <t>AEL0985484</t>
  </si>
  <si>
    <t>30012791</t>
  </si>
  <si>
    <t>15018188</t>
  </si>
  <si>
    <t>802094756</t>
  </si>
  <si>
    <t>COSCO INDONESIA</t>
  </si>
  <si>
    <t>AEL0985436</t>
  </si>
  <si>
    <t>30012800</t>
  </si>
  <si>
    <t>15018327</t>
  </si>
  <si>
    <t>802094892</t>
  </si>
  <si>
    <t>4050304200</t>
  </si>
  <si>
    <t>616</t>
  </si>
  <si>
    <t>15018355</t>
  </si>
  <si>
    <t>802094915</t>
  </si>
  <si>
    <t>4050304180</t>
  </si>
  <si>
    <t>179</t>
  </si>
  <si>
    <t>30012823</t>
  </si>
  <si>
    <t>15018339</t>
  </si>
  <si>
    <t>802095065</t>
  </si>
  <si>
    <t>RELEASED 22/07</t>
  </si>
  <si>
    <t>AEL0985781</t>
  </si>
  <si>
    <t>15018341</t>
  </si>
  <si>
    <t>802095066</t>
  </si>
  <si>
    <t>AEL0985784</t>
  </si>
  <si>
    <t>30012829</t>
  </si>
  <si>
    <t>15018494</t>
  </si>
  <si>
    <t>802095180</t>
  </si>
  <si>
    <t>30012814</t>
  </si>
  <si>
    <t>15018207</t>
  </si>
  <si>
    <t>802094741</t>
  </si>
  <si>
    <t>4050279670</t>
  </si>
  <si>
    <t>ETA 10.09.20</t>
  </si>
  <si>
    <t>30012769</t>
  </si>
  <si>
    <t>15018173</t>
  </si>
  <si>
    <t>802094823</t>
  </si>
  <si>
    <t>0BNE006562</t>
  </si>
  <si>
    <t>30012807</t>
  </si>
  <si>
    <t>15018222</t>
  </si>
  <si>
    <t>802094743</t>
  </si>
  <si>
    <t>032N</t>
  </si>
  <si>
    <t>0BNE006442</t>
  </si>
  <si>
    <t>30012806</t>
  </si>
  <si>
    <t>15018248</t>
  </si>
  <si>
    <t>802095108</t>
  </si>
  <si>
    <t>APL MEXICO CITY</t>
  </si>
  <si>
    <t>MA032R</t>
  </si>
  <si>
    <t>MBE0336445</t>
  </si>
  <si>
    <t>ETA 20.09.20</t>
  </si>
  <si>
    <t>15018249</t>
  </si>
  <si>
    <t>802094753</t>
  </si>
  <si>
    <t>MBE0336456</t>
  </si>
  <si>
    <t>REYNOLDS</t>
  </si>
  <si>
    <t>15018454</t>
  </si>
  <si>
    <t>802095133</t>
  </si>
  <si>
    <t>MBE0336942</t>
  </si>
  <si>
    <t>30012815</t>
  </si>
  <si>
    <t>15018191</t>
  </si>
  <si>
    <t>802094729</t>
  </si>
  <si>
    <t>158N</t>
  </si>
  <si>
    <t>4050279680</t>
  </si>
  <si>
    <t>15018194</t>
  </si>
  <si>
    <t>802094732</t>
  </si>
  <si>
    <t>4050279690</t>
  </si>
  <si>
    <t>15018195</t>
  </si>
  <si>
    <t>802094733</t>
  </si>
  <si>
    <t>4050279600</t>
  </si>
  <si>
    <t>HSBC ETA 05.09.2020</t>
  </si>
  <si>
    <t>30012774</t>
  </si>
  <si>
    <t>15018218</t>
  </si>
  <si>
    <t>802094835</t>
  </si>
  <si>
    <t>42227791</t>
  </si>
  <si>
    <t>30012785</t>
  </si>
  <si>
    <t>15018115</t>
  </si>
  <si>
    <t>802094754</t>
  </si>
  <si>
    <t>KI031R</t>
  </si>
  <si>
    <t>EBKG00753366</t>
  </si>
  <si>
    <t>119</t>
  </si>
  <si>
    <t>19.08.2020</t>
  </si>
  <si>
    <t>15018299</t>
  </si>
  <si>
    <t>802094860</t>
  </si>
  <si>
    <t>EBKG00755109</t>
  </si>
  <si>
    <t>ETA 15.09.20</t>
  </si>
  <si>
    <t>15018321</t>
  </si>
  <si>
    <t>802094879</t>
  </si>
  <si>
    <t>EBKG00754889</t>
  </si>
  <si>
    <t>15018350</t>
  </si>
  <si>
    <t>802094911</t>
  </si>
  <si>
    <t>EBKG00755110</t>
  </si>
  <si>
    <t>15018351</t>
  </si>
  <si>
    <t>802094912</t>
  </si>
  <si>
    <t>EBKG00755111</t>
  </si>
  <si>
    <t>15018373</t>
  </si>
  <si>
    <t>802094999</t>
  </si>
  <si>
    <t>EBKG00751520</t>
  </si>
  <si>
    <t>15018380</t>
  </si>
  <si>
    <t>802095001</t>
  </si>
  <si>
    <t>BK 560 X 1630 S6451 5600 BS AB CNTR N</t>
  </si>
  <si>
    <t>EBKG00753372</t>
  </si>
  <si>
    <t>15018386</t>
  </si>
  <si>
    <t>802095002</t>
  </si>
  <si>
    <t>EBKG00753382</t>
  </si>
  <si>
    <t>15018387</t>
  </si>
  <si>
    <t>802095003</t>
  </si>
  <si>
    <t>EBKG00753400</t>
  </si>
  <si>
    <t>15018388</t>
  </si>
  <si>
    <t>802095004</t>
  </si>
  <si>
    <t>EBKG00753409</t>
  </si>
  <si>
    <t>15018389</t>
  </si>
  <si>
    <t>802095005</t>
  </si>
  <si>
    <t>EBKG00753419</t>
  </si>
  <si>
    <t>30012788</t>
  </si>
  <si>
    <t>15018089</t>
  </si>
  <si>
    <t>802094725</t>
  </si>
  <si>
    <t>RELEASED 24/07</t>
  </si>
  <si>
    <t>AEL0983571</t>
  </si>
  <si>
    <t>SORINVN</t>
  </si>
  <si>
    <t>15018210</t>
  </si>
  <si>
    <t>802094742</t>
  </si>
  <si>
    <t>AEL0983514</t>
  </si>
  <si>
    <t>30012755</t>
  </si>
  <si>
    <t>15018171</t>
  </si>
  <si>
    <t>802094713</t>
  </si>
  <si>
    <t>FC033R</t>
  </si>
  <si>
    <t>EBKG00736619</t>
  </si>
  <si>
    <t>15018246</t>
  </si>
  <si>
    <t>802094782</t>
  </si>
  <si>
    <t>EBKG00753105</t>
  </si>
  <si>
    <t>15018247</t>
  </si>
  <si>
    <t>802094783</t>
  </si>
  <si>
    <t>EBKG00753109</t>
  </si>
  <si>
    <t>15018500</t>
  </si>
  <si>
    <t>802095186</t>
  </si>
  <si>
    <t>EBKG00769500</t>
  </si>
  <si>
    <t>30012762</t>
  </si>
  <si>
    <t>15018211</t>
  </si>
  <si>
    <t>802094829</t>
  </si>
  <si>
    <t>MANDARIN ARROW</t>
  </si>
  <si>
    <t>15018212</t>
  </si>
  <si>
    <t>802094830</t>
  </si>
  <si>
    <t>15018258</t>
  </si>
  <si>
    <t>802094841</t>
  </si>
  <si>
    <t>15018314</t>
  </si>
  <si>
    <t>802094874</t>
  </si>
  <si>
    <t>15018315</t>
  </si>
  <si>
    <t>802094875</t>
  </si>
  <si>
    <t>15018316</t>
  </si>
  <si>
    <t>802094876</t>
  </si>
  <si>
    <t>15018317</t>
  </si>
  <si>
    <t>802094877</t>
  </si>
  <si>
    <t>15018330</t>
  </si>
  <si>
    <t>802094895</t>
  </si>
  <si>
    <t>15018332</t>
  </si>
  <si>
    <t>802094897</t>
  </si>
  <si>
    <t>15018334</t>
  </si>
  <si>
    <t>802094899</t>
  </si>
  <si>
    <t>15018335</t>
  </si>
  <si>
    <t>802094900</t>
  </si>
  <si>
    <t>15018370</t>
  </si>
  <si>
    <t>802095013</t>
  </si>
  <si>
    <t>15018406</t>
  </si>
  <si>
    <t>802095023</t>
  </si>
  <si>
    <t>15018422</t>
  </si>
  <si>
    <t>802095059</t>
  </si>
  <si>
    <t>30012810</t>
  </si>
  <si>
    <t>15018205</t>
  </si>
  <si>
    <t>802094740</t>
  </si>
  <si>
    <t>264N</t>
  </si>
  <si>
    <t>47894092</t>
  </si>
  <si>
    <t>ETA 10-SEP</t>
  </si>
  <si>
    <t>30012840</t>
  </si>
  <si>
    <t>15018365</t>
  </si>
  <si>
    <t>802094925</t>
  </si>
  <si>
    <t>HARIS</t>
  </si>
  <si>
    <t>CAT LAI, HOCHIMINH, VIETNAM</t>
  </si>
  <si>
    <t>4050304060</t>
  </si>
  <si>
    <t>ETA EARLY SEP</t>
  </si>
  <si>
    <t>30012796</t>
  </si>
  <si>
    <t>15018293</t>
  </si>
  <si>
    <t>802094854</t>
  </si>
  <si>
    <t>1982N</t>
  </si>
  <si>
    <t>48228082</t>
  </si>
  <si>
    <t>ETA 02.09.20</t>
  </si>
  <si>
    <t>15018298</t>
  </si>
  <si>
    <t>802094859</t>
  </si>
  <si>
    <t>43561196</t>
  </si>
  <si>
    <t>30012764</t>
  </si>
  <si>
    <t>15018250</t>
  </si>
  <si>
    <t>802094839</t>
  </si>
  <si>
    <t>MAJESTIC</t>
  </si>
  <si>
    <t>0527</t>
  </si>
  <si>
    <t>MBE0336644</t>
  </si>
  <si>
    <t>15018251</t>
  </si>
  <si>
    <t>802094840</t>
  </si>
  <si>
    <t>MBE0336663</t>
  </si>
  <si>
    <t>30012779</t>
  </si>
  <si>
    <t>15018345</t>
  </si>
  <si>
    <t>802094908</t>
  </si>
  <si>
    <t>AEL0984677</t>
  </si>
  <si>
    <t>30012792</t>
  </si>
  <si>
    <t>15018288</t>
  </si>
  <si>
    <t>802094849</t>
  </si>
  <si>
    <t>082N</t>
  </si>
  <si>
    <t>AEL0985483</t>
  </si>
  <si>
    <t>289</t>
  </si>
  <si>
    <t>30012804</t>
  </si>
  <si>
    <t>15017476</t>
  </si>
  <si>
    <t>802094721</t>
  </si>
  <si>
    <t>AEL0983589</t>
  </si>
  <si>
    <t>15017477</t>
  </si>
  <si>
    <t>802094722</t>
  </si>
  <si>
    <t>AEL0983680</t>
  </si>
  <si>
    <t>15017812</t>
  </si>
  <si>
    <t>802094724</t>
  </si>
  <si>
    <t>AEL0983687</t>
  </si>
  <si>
    <t>30012817</t>
  </si>
  <si>
    <t>15018224</t>
  </si>
  <si>
    <t>802094745</t>
  </si>
  <si>
    <t>4050279740</t>
  </si>
  <si>
    <t>15018319</t>
  </si>
  <si>
    <t>802095064</t>
  </si>
  <si>
    <t>4050318820</t>
  </si>
  <si>
    <t>30012853</t>
  </si>
  <si>
    <t>15018485</t>
  </si>
  <si>
    <t>802095175</t>
  </si>
  <si>
    <t>RELEASED 29/07</t>
  </si>
  <si>
    <t>4050333820</t>
  </si>
  <si>
    <t>30012856</t>
  </si>
  <si>
    <t>TOYOTACA</t>
  </si>
  <si>
    <t>15018462</t>
  </si>
  <si>
    <t>802095155</t>
  </si>
  <si>
    <t>BT 304 6061AS 5800 3/3 SB H</t>
  </si>
  <si>
    <t>032S</t>
  </si>
  <si>
    <t>LONG BEACH, CA USA</t>
  </si>
  <si>
    <t>0BNE007027</t>
  </si>
  <si>
    <t>30012765</t>
  </si>
  <si>
    <t>15018184</t>
  </si>
  <si>
    <t>802094825</t>
  </si>
  <si>
    <t>033N</t>
  </si>
  <si>
    <t>0BNE006578</t>
  </si>
  <si>
    <t>ETA 10.10.2020</t>
  </si>
  <si>
    <t>30012771</t>
  </si>
  <si>
    <t>15018291</t>
  </si>
  <si>
    <t>802094852</t>
  </si>
  <si>
    <t>031S</t>
  </si>
  <si>
    <t>40894548</t>
  </si>
  <si>
    <t>30012793</t>
  </si>
  <si>
    <t>15018289</t>
  </si>
  <si>
    <t>802094850</t>
  </si>
  <si>
    <t>AEL0985462</t>
  </si>
  <si>
    <t>30012808</t>
  </si>
  <si>
    <t>15018223</t>
  </si>
  <si>
    <t>802094744</t>
  </si>
  <si>
    <t>0BNE006443</t>
  </si>
  <si>
    <t>15018320</t>
  </si>
  <si>
    <t>802095106</t>
  </si>
  <si>
    <t>0BNE006690</t>
  </si>
  <si>
    <t>30012831</t>
  </si>
  <si>
    <t>15018324</t>
  </si>
  <si>
    <t>802094882</t>
  </si>
  <si>
    <t>4050304050</t>
  </si>
  <si>
    <t>30012841</t>
  </si>
  <si>
    <t>15018441</t>
  </si>
  <si>
    <t>802095159</t>
  </si>
  <si>
    <t>SYDA04178600</t>
  </si>
  <si>
    <t>30012818</t>
  </si>
  <si>
    <t>15018227</t>
  </si>
  <si>
    <t>802094748</t>
  </si>
  <si>
    <t>204N</t>
  </si>
  <si>
    <t>4050279760</t>
  </si>
  <si>
    <t>15018228</t>
  </si>
  <si>
    <t>802094749</t>
  </si>
  <si>
    <t>4050279770</t>
  </si>
  <si>
    <t>30012821</t>
  </si>
  <si>
    <t>15018328</t>
  </si>
  <si>
    <t>802094893</t>
  </si>
  <si>
    <t>RIO DE JANEIRO</t>
  </si>
  <si>
    <t>0DUD007037</t>
  </si>
  <si>
    <t>30012775</t>
  </si>
  <si>
    <t>15018219</t>
  </si>
  <si>
    <t>802094836</t>
  </si>
  <si>
    <t>43222199</t>
  </si>
  <si>
    <t>30012805</t>
  </si>
  <si>
    <t>15018203</t>
  </si>
  <si>
    <t>802094738</t>
  </si>
  <si>
    <t>SEROJA ENAM</t>
  </si>
  <si>
    <t>AEL0983678</t>
  </si>
  <si>
    <t>30012816</t>
  </si>
  <si>
    <t>15018192</t>
  </si>
  <si>
    <t>802094730</t>
  </si>
  <si>
    <t>4050279700</t>
  </si>
  <si>
    <t>HSBC ETA 10.09.2020</t>
  </si>
  <si>
    <t>15018196</t>
  </si>
  <si>
    <t>802094734</t>
  </si>
  <si>
    <t>4050279710</t>
  </si>
  <si>
    <t>30012855</t>
  </si>
  <si>
    <t>4450</t>
  </si>
  <si>
    <t>ALUMASA INDUSTRIA DE PLASTICOS E</t>
  </si>
  <si>
    <t>IDBBRASIL</t>
  </si>
  <si>
    <t>15018495</t>
  </si>
  <si>
    <t>802095181</t>
  </si>
  <si>
    <t>BRIBB</t>
  </si>
  <si>
    <t>PORT OF IMBITUBA, BRAZIL</t>
  </si>
  <si>
    <t>0BNE006881</t>
  </si>
  <si>
    <t>30012758</t>
  </si>
  <si>
    <t>15018176</t>
  </si>
  <si>
    <t>802094755</t>
  </si>
  <si>
    <t>EBKG00754363</t>
  </si>
  <si>
    <t>15018189</t>
  </si>
  <si>
    <t>802094757</t>
  </si>
  <si>
    <t>EBKG00748109</t>
  </si>
  <si>
    <t>ETA 21.09.2020</t>
  </si>
  <si>
    <t>15018326</t>
  </si>
  <si>
    <t>802094891</t>
  </si>
  <si>
    <t>EBKG00754323</t>
  </si>
  <si>
    <t>15018337</t>
  </si>
  <si>
    <t>802094902</t>
  </si>
  <si>
    <t>KRKAN</t>
  </si>
  <si>
    <t>GWANGYANG, KOREA</t>
  </si>
  <si>
    <t>EBKG00754402</t>
  </si>
  <si>
    <t>15018349</t>
  </si>
  <si>
    <t>802094910</t>
  </si>
  <si>
    <t>EBKG00766357</t>
  </si>
  <si>
    <t>15018357</t>
  </si>
  <si>
    <t>802094917</t>
  </si>
  <si>
    <t>EBKG00754341</t>
  </si>
  <si>
    <t>168</t>
  </si>
  <si>
    <t>15018358</t>
  </si>
  <si>
    <t>802094918</t>
  </si>
  <si>
    <t>EBKG00754331</t>
  </si>
  <si>
    <t>63</t>
  </si>
  <si>
    <t>15018372</t>
  </si>
  <si>
    <t>802094998</t>
  </si>
  <si>
    <t>EBKG00754369</t>
  </si>
  <si>
    <t>15018374</t>
  </si>
  <si>
    <t>802095000</t>
  </si>
  <si>
    <t>EBKG00754350</t>
  </si>
  <si>
    <t>15018423</t>
  </si>
  <si>
    <t>802095061</t>
  </si>
  <si>
    <t>BK 560 X 1630 S6014 5600 BS AB ANY N</t>
  </si>
  <si>
    <t>EBKG00754377</t>
  </si>
  <si>
    <t>15018424</t>
  </si>
  <si>
    <t>802095062</t>
  </si>
  <si>
    <t>BK 560 X 1350 S6451 5100 BS AB ANY N</t>
  </si>
  <si>
    <t>EBKG00754385</t>
  </si>
  <si>
    <t>15018425</t>
  </si>
  <si>
    <t>802095063</t>
  </si>
  <si>
    <t>BK 560 X 1520 S6451 5100 BS AB ANY N</t>
  </si>
  <si>
    <t>EBKG00754390</t>
  </si>
  <si>
    <t>15018502</t>
  </si>
  <si>
    <t>802095187</t>
  </si>
  <si>
    <t>30012836</t>
  </si>
  <si>
    <t>15018455</t>
  </si>
  <si>
    <t>802095134</t>
  </si>
  <si>
    <t>MAERSK INNOSHIMA</t>
  </si>
  <si>
    <t>034N</t>
  </si>
  <si>
    <t>0BNE006868</t>
  </si>
  <si>
    <t>15018456</t>
  </si>
  <si>
    <t>802095135</t>
  </si>
  <si>
    <t>0BNE006869</t>
  </si>
  <si>
    <t>30012822</t>
  </si>
  <si>
    <t>15018178</t>
  </si>
  <si>
    <t>802094774</t>
  </si>
  <si>
    <t>FC034R</t>
  </si>
  <si>
    <t>EBKG00752709</t>
  </si>
  <si>
    <t>ETA 28.09.20</t>
  </si>
  <si>
    <t>15018179</t>
  </si>
  <si>
    <t>802094775</t>
  </si>
  <si>
    <t>EBKG00752711</t>
  </si>
  <si>
    <t>15018234</t>
  </si>
  <si>
    <t>802094778</t>
  </si>
  <si>
    <t>EBKG00753123</t>
  </si>
  <si>
    <t>15018325</t>
  </si>
  <si>
    <t>802094890</t>
  </si>
  <si>
    <t>EBKG00753118</t>
  </si>
  <si>
    <t>15018459</t>
  </si>
  <si>
    <t>802095165</t>
  </si>
  <si>
    <t>BK 560 X 1230 P1050 5100 BS FQ ANY N</t>
  </si>
  <si>
    <t>EBKG00760985</t>
  </si>
  <si>
    <t>15018460</t>
  </si>
  <si>
    <t>802095164</t>
  </si>
  <si>
    <t>BK 560 X 1230 P1100 5100 BS FQ ANY N</t>
  </si>
  <si>
    <t>EBKG00702752</t>
  </si>
  <si>
    <t>30012757</t>
  </si>
  <si>
    <t>15018174</t>
  </si>
  <si>
    <t>802094771</t>
  </si>
  <si>
    <t>MERLIN ARROW</t>
  </si>
  <si>
    <t>15018175</t>
  </si>
  <si>
    <t>802094772</t>
  </si>
  <si>
    <t>15018177</t>
  </si>
  <si>
    <t>802094773</t>
  </si>
  <si>
    <t>15018240</t>
  </si>
  <si>
    <t>802094781</t>
  </si>
  <si>
    <t>15018252</t>
  </si>
  <si>
    <t>802094784</t>
  </si>
  <si>
    <t>15018253</t>
  </si>
  <si>
    <t>802094785</t>
  </si>
  <si>
    <t>15018254</t>
  </si>
  <si>
    <t>802094786</t>
  </si>
  <si>
    <t>15018255</t>
  </si>
  <si>
    <t>802094787</t>
  </si>
  <si>
    <t>15018256</t>
  </si>
  <si>
    <t>802094788</t>
  </si>
  <si>
    <t>15018268</t>
  </si>
  <si>
    <t>802094789</t>
  </si>
  <si>
    <t>47</t>
  </si>
  <si>
    <t>15018269</t>
  </si>
  <si>
    <t>802094790</t>
  </si>
  <si>
    <t>15018301</t>
  </si>
  <si>
    <t>802094861</t>
  </si>
  <si>
    <t>15018302</t>
  </si>
  <si>
    <t>802094862</t>
  </si>
  <si>
    <t>15018303</t>
  </si>
  <si>
    <t>802094863</t>
  </si>
  <si>
    <t>15018304</t>
  </si>
  <si>
    <t>802094864</t>
  </si>
  <si>
    <t>15018305</t>
  </si>
  <si>
    <t>802094865</t>
  </si>
  <si>
    <t>101</t>
  </si>
  <si>
    <t>15018306</t>
  </si>
  <si>
    <t>802094866</t>
  </si>
  <si>
    <t>BT 178 6063B 5500 4/4 H</t>
  </si>
  <si>
    <t>15018307</t>
  </si>
  <si>
    <t>802094867</t>
  </si>
  <si>
    <t>46</t>
  </si>
  <si>
    <t>15018308</t>
  </si>
  <si>
    <t>802094868</t>
  </si>
  <si>
    <t>15018309</t>
  </si>
  <si>
    <t>802094869</t>
  </si>
  <si>
    <t>15018310</t>
  </si>
  <si>
    <t>802094870</t>
  </si>
  <si>
    <t>15018311</t>
  </si>
  <si>
    <t>802094871</t>
  </si>
  <si>
    <t>39</t>
  </si>
  <si>
    <t>15018312</t>
  </si>
  <si>
    <t>802094872</t>
  </si>
  <si>
    <t>15018313</t>
  </si>
  <si>
    <t>802094873</t>
  </si>
  <si>
    <t>15018361</t>
  </si>
  <si>
    <t>802094921</t>
  </si>
  <si>
    <t>15018362</t>
  </si>
  <si>
    <t>802094922</t>
  </si>
  <si>
    <t>15018363</t>
  </si>
  <si>
    <t>802094923</t>
  </si>
  <si>
    <t>15018364</t>
  </si>
  <si>
    <t>802094924</t>
  </si>
  <si>
    <t>IH 23KG BA190S3 BULK 44 N</t>
  </si>
  <si>
    <t>IXMSANGO</t>
  </si>
  <si>
    <t>15018384</t>
  </si>
  <si>
    <t>802095007</t>
  </si>
  <si>
    <t>15018385</t>
  </si>
  <si>
    <t>802095060</t>
  </si>
  <si>
    <t>15018394</t>
  </si>
  <si>
    <t>802095008</t>
  </si>
  <si>
    <t>15018413</t>
  </si>
  <si>
    <t>802095028</t>
  </si>
  <si>
    <t>15018414</t>
  </si>
  <si>
    <t>802095029</t>
  </si>
  <si>
    <t>88</t>
  </si>
  <si>
    <t>15018415</t>
  </si>
  <si>
    <t>802095030</t>
  </si>
  <si>
    <t>15018429</t>
  </si>
  <si>
    <t>802095109</t>
  </si>
  <si>
    <t>15018430</t>
  </si>
  <si>
    <t>802095110</t>
  </si>
  <si>
    <t>15018431</t>
  </si>
  <si>
    <t>802095111</t>
  </si>
  <si>
    <t>15018437</t>
  </si>
  <si>
    <t>802095120</t>
  </si>
  <si>
    <t>BK 560 X 1230 S1235 5100 BS BULK N</t>
  </si>
  <si>
    <t>15018438</t>
  </si>
  <si>
    <t>802095121</t>
  </si>
  <si>
    <t>15018482</t>
  </si>
  <si>
    <t>802095173</t>
  </si>
  <si>
    <t>BK 560 X 1310 S1050 5100 US AQ BULK N</t>
  </si>
  <si>
    <t>30012780</t>
  </si>
  <si>
    <t>15018346</t>
  </si>
  <si>
    <t>802094909</t>
  </si>
  <si>
    <t>AEL0984676</t>
  </si>
  <si>
    <t>30012797</t>
  </si>
  <si>
    <t>15018294</t>
  </si>
  <si>
    <t>802094855</t>
  </si>
  <si>
    <t>278N</t>
  </si>
  <si>
    <t>47227741</t>
  </si>
  <si>
    <t>ETA 09.09.20</t>
  </si>
  <si>
    <t>30012834</t>
  </si>
  <si>
    <t>15018451</t>
  </si>
  <si>
    <t>802095130</t>
  </si>
  <si>
    <t>CMA CGM FIGARO</t>
  </si>
  <si>
    <t>MA034R</t>
  </si>
  <si>
    <t>MBE0336945</t>
  </si>
  <si>
    <t>15018452</t>
  </si>
  <si>
    <t>802095131</t>
  </si>
  <si>
    <t>MBE0337066</t>
  </si>
  <si>
    <t>30012860</t>
  </si>
  <si>
    <t>15018214</t>
  </si>
  <si>
    <t>802094832</t>
  </si>
  <si>
    <t>600000020697</t>
  </si>
  <si>
    <t>30012861</t>
  </si>
  <si>
    <t>15018353</t>
  </si>
  <si>
    <t>802094996</t>
  </si>
  <si>
    <t>RDO CONCORD</t>
  </si>
  <si>
    <t>0BNE007140</t>
  </si>
  <si>
    <t>15018359</t>
  </si>
  <si>
    <t>802094919</t>
  </si>
  <si>
    <t>0BNE007141</t>
  </si>
  <si>
    <t>15018360</t>
  </si>
  <si>
    <t>802094920</t>
  </si>
  <si>
    <t>0BNE007142</t>
  </si>
  <si>
    <t>30012811</t>
  </si>
  <si>
    <t>15018238</t>
  </si>
  <si>
    <t>802094751</t>
  </si>
  <si>
    <t>LONDON EXPRESS</t>
  </si>
  <si>
    <t>40227145</t>
  </si>
  <si>
    <t>15018239</t>
  </si>
  <si>
    <t>802094752</t>
  </si>
  <si>
    <t>42560273</t>
  </si>
  <si>
    <t>30012819</t>
  </si>
  <si>
    <t>15018225</t>
  </si>
  <si>
    <t>802094746</t>
  </si>
  <si>
    <t>119N</t>
  </si>
  <si>
    <t>4050279780</t>
  </si>
  <si>
    <t>15018226</t>
  </si>
  <si>
    <t>802094747</t>
  </si>
  <si>
    <t>4050279790</t>
  </si>
  <si>
    <t>15018264</t>
  </si>
  <si>
    <t>802094845</t>
  </si>
  <si>
    <t>4050311600</t>
  </si>
  <si>
    <t>30012825</t>
  </si>
  <si>
    <t>15018263</t>
  </si>
  <si>
    <t>802094844</t>
  </si>
  <si>
    <t>AEL0985755</t>
  </si>
  <si>
    <t>15018354</t>
  </si>
  <si>
    <t>802094914</t>
  </si>
  <si>
    <t>AEL0985786</t>
  </si>
  <si>
    <t>30012832</t>
  </si>
  <si>
    <t>15017737</t>
  </si>
  <si>
    <t>802094723</t>
  </si>
  <si>
    <t>AEL0983548</t>
  </si>
  <si>
    <t>O/ETA 10.09.2020</t>
  </si>
  <si>
    <t>15018261</t>
  </si>
  <si>
    <t>802094843</t>
  </si>
  <si>
    <t>AEL0985795</t>
  </si>
  <si>
    <t>O/ETA 15/09/2020</t>
  </si>
  <si>
    <t>30012760</t>
  </si>
  <si>
    <t>15018297</t>
  </si>
  <si>
    <t>802094858</t>
  </si>
  <si>
    <t>48561177</t>
  </si>
  <si>
    <t>30012766</t>
  </si>
  <si>
    <t>15018186</t>
  </si>
  <si>
    <t>802094827</t>
  </si>
  <si>
    <t>0BNE006579</t>
  </si>
  <si>
    <t>ETA 20.10.2020</t>
  </si>
  <si>
    <t>15018492</t>
  </si>
  <si>
    <t>802095179</t>
  </si>
  <si>
    <t>BT 204 SF6063 5800 5/5 SB CNTR H</t>
  </si>
  <si>
    <t>0BNE006580</t>
  </si>
  <si>
    <t>ETA 15.10.2020</t>
  </si>
  <si>
    <t>30012770</t>
  </si>
  <si>
    <t>15018213</t>
  </si>
  <si>
    <t>802094831</t>
  </si>
  <si>
    <t>0BNE006639</t>
  </si>
  <si>
    <t>15018216</t>
  </si>
  <si>
    <t>802094834</t>
  </si>
  <si>
    <t>0BNE006563</t>
  </si>
  <si>
    <t>15018221</t>
  </si>
  <si>
    <t>802094838</t>
  </si>
  <si>
    <t>0BNE006564</t>
  </si>
  <si>
    <t>30012782</t>
  </si>
  <si>
    <t>15018273</t>
  </si>
  <si>
    <t>802094846</t>
  </si>
  <si>
    <t>161N</t>
  </si>
  <si>
    <t>4050293180</t>
  </si>
  <si>
    <t>ETA 19 SEP 20</t>
  </si>
  <si>
    <t>15018296</t>
  </si>
  <si>
    <t>802094857</t>
  </si>
  <si>
    <t>4050293190</t>
  </si>
  <si>
    <t>80</t>
  </si>
  <si>
    <t>HSBC ETA END SEP</t>
  </si>
  <si>
    <t>30012826</t>
  </si>
  <si>
    <t>15018366</t>
  </si>
  <si>
    <t>802094926</t>
  </si>
  <si>
    <t>SEATRADE WHITE</t>
  </si>
  <si>
    <t>0528</t>
  </si>
  <si>
    <t>MBE0336816</t>
  </si>
  <si>
    <t>30012833</t>
  </si>
  <si>
    <t>15018162</t>
  </si>
  <si>
    <t>802094726</t>
  </si>
  <si>
    <t>BT 203 6063GP 5801 5/5 H3</t>
  </si>
  <si>
    <t>0BNE006440</t>
  </si>
  <si>
    <t>15018163</t>
  </si>
  <si>
    <t>802094727</t>
  </si>
  <si>
    <t>BT 178 6063GP 5801 6/6 H3</t>
  </si>
  <si>
    <t>0BNE006441</t>
  </si>
  <si>
    <t>30012784</t>
  </si>
  <si>
    <t>15018295</t>
  </si>
  <si>
    <t>802094856</t>
  </si>
  <si>
    <t>45561126</t>
  </si>
  <si>
    <t>ETA 16.09.20</t>
  </si>
  <si>
    <t>30012820</t>
  </si>
  <si>
    <t>15018229</t>
  </si>
  <si>
    <t>802094750</t>
  </si>
  <si>
    <t>152N</t>
  </si>
  <si>
    <t>4050279800</t>
  </si>
  <si>
    <t>30012776</t>
  </si>
  <si>
    <t>15018220</t>
  </si>
  <si>
    <t>802094837</t>
  </si>
  <si>
    <t>EVER ULYSSES</t>
  </si>
  <si>
    <t>131N</t>
  </si>
  <si>
    <t>47227395</t>
  </si>
  <si>
    <t>30012786</t>
  </si>
  <si>
    <t>15018318</t>
  </si>
  <si>
    <t>802094878</t>
  </si>
  <si>
    <t>KI033R</t>
  </si>
  <si>
    <t>EBKG00764229</t>
  </si>
  <si>
    <t>ETA 30.09.20</t>
  </si>
  <si>
    <t>15018323</t>
  </si>
  <si>
    <t>802094881</t>
  </si>
  <si>
    <t>EBKG00754890</t>
  </si>
  <si>
    <t>15018343</t>
  </si>
  <si>
    <t>802094906</t>
  </si>
  <si>
    <t>EBKG00754891</t>
  </si>
  <si>
    <t>15018461</t>
  </si>
  <si>
    <t>802095154</t>
  </si>
  <si>
    <t>EBKG00754893</t>
  </si>
  <si>
    <t>15018478</t>
  </si>
  <si>
    <t>802095171</t>
  </si>
  <si>
    <t>EBKG00768595</t>
  </si>
  <si>
    <t>15018479</t>
  </si>
  <si>
    <t>802095172</t>
  </si>
  <si>
    <t>EBKG00768605</t>
  </si>
  <si>
    <t>30012842</t>
  </si>
  <si>
    <t>15018472</t>
  </si>
  <si>
    <t>802095162</t>
  </si>
  <si>
    <t>0BNE006833</t>
  </si>
  <si>
    <t>15018473</t>
  </si>
  <si>
    <t>802095163</t>
  </si>
  <si>
    <t>BT 203 6063T 5801 5/5 H3</t>
  </si>
  <si>
    <t>0BNE006953</t>
  </si>
  <si>
    <t>30012858</t>
  </si>
  <si>
    <t>15018331</t>
  </si>
  <si>
    <t>802094896</t>
  </si>
  <si>
    <t>MP THE BELICHICK</t>
  </si>
  <si>
    <t>KE033R</t>
  </si>
  <si>
    <t>EBKG00750576</t>
  </si>
  <si>
    <t>ETA OCTOBER</t>
  </si>
  <si>
    <t>15018333</t>
  </si>
  <si>
    <t>802094898</t>
  </si>
  <si>
    <t>EBKG00750578</t>
  </si>
  <si>
    <t>15018503</t>
  </si>
  <si>
    <t>802095188</t>
  </si>
  <si>
    <t>EBKG00761909</t>
  </si>
  <si>
    <t>ETA 25.09.20</t>
  </si>
  <si>
    <t>30012759</t>
  </si>
  <si>
    <t>15018235</t>
  </si>
  <si>
    <t>802094779</t>
  </si>
  <si>
    <t>FC035R</t>
  </si>
  <si>
    <t>EBKG00753128</t>
  </si>
  <si>
    <t>15018236</t>
  </si>
  <si>
    <t>802094780</t>
  </si>
  <si>
    <t>EBKG00748926</t>
  </si>
  <si>
    <t>15018436</t>
  </si>
  <si>
    <t>802095119</t>
  </si>
  <si>
    <t>EBKG00760969</t>
  </si>
  <si>
    <t>15018474</t>
  </si>
  <si>
    <t>802095166</t>
  </si>
  <si>
    <t>EBKG00762395</t>
  </si>
  <si>
    <t>15018475</t>
  </si>
  <si>
    <t>802095167</t>
  </si>
  <si>
    <t>EBKG00762408</t>
  </si>
  <si>
    <t>30012835</t>
  </si>
  <si>
    <t>15018457</t>
  </si>
  <si>
    <t>802095136</t>
  </si>
  <si>
    <t>SPIRIT OF SYDNEY</t>
  </si>
  <si>
    <t>035N</t>
  </si>
  <si>
    <t>006SY0269709</t>
  </si>
  <si>
    <t>15018458</t>
  </si>
  <si>
    <t>802095137</t>
  </si>
  <si>
    <t>006SY0269711</t>
  </si>
  <si>
    <t>30012763</t>
  </si>
  <si>
    <t>15018340</t>
  </si>
  <si>
    <t>802094904</t>
  </si>
  <si>
    <t>15018376</t>
  </si>
  <si>
    <t>802095014</t>
  </si>
  <si>
    <t>15018407</t>
  </si>
  <si>
    <t>802095024</t>
  </si>
  <si>
    <t>15018408</t>
  </si>
  <si>
    <t>802095025</t>
  </si>
  <si>
    <t>15018409</t>
  </si>
  <si>
    <t>802095026</t>
  </si>
  <si>
    <t>15018411</t>
  </si>
  <si>
    <t>802095027</t>
  </si>
  <si>
    <t>15018416</t>
  </si>
  <si>
    <t>802095051</t>
  </si>
  <si>
    <t>15018417</t>
  </si>
  <si>
    <t>802095054</t>
  </si>
  <si>
    <t>15018418</t>
  </si>
  <si>
    <t>802095055</t>
  </si>
  <si>
    <t>15018419</t>
  </si>
  <si>
    <t>802095056</t>
  </si>
  <si>
    <t>15018420</t>
  </si>
  <si>
    <t>802095057</t>
  </si>
  <si>
    <t>15018421</t>
  </si>
  <si>
    <t>802095058</t>
  </si>
  <si>
    <t>30012781</t>
  </si>
  <si>
    <t>15018383</t>
  </si>
  <si>
    <t>802095015</t>
  </si>
  <si>
    <t>AEL0984698</t>
  </si>
  <si>
    <t>30012827</t>
  </si>
  <si>
    <t>15018274</t>
  </si>
  <si>
    <t>802094847</t>
  </si>
  <si>
    <t>KOTA LARIS</t>
  </si>
  <si>
    <t>4050311630</t>
  </si>
  <si>
    <t>O/HSBC ETA 10 SEP</t>
  </si>
  <si>
    <t>15018275</t>
  </si>
  <si>
    <t>802094848</t>
  </si>
  <si>
    <t>4050311640</t>
  </si>
  <si>
    <t>30012854</t>
  </si>
  <si>
    <t>15018486</t>
  </si>
  <si>
    <t>802095176</t>
  </si>
  <si>
    <t>229N</t>
  </si>
  <si>
    <t>4050333840</t>
  </si>
  <si>
    <t>30012864</t>
  </si>
  <si>
    <t>15018453</t>
  </si>
  <si>
    <t>802095132</t>
  </si>
  <si>
    <t>IRENES RELIANCE</t>
  </si>
  <si>
    <t>MA035R</t>
  </si>
  <si>
    <t>MBE0336951</t>
  </si>
  <si>
    <t>30012838</t>
  </si>
  <si>
    <t>15018259</t>
  </si>
  <si>
    <t>802094842</t>
  </si>
  <si>
    <t>046N</t>
  </si>
  <si>
    <t>4050311650</t>
  </si>
  <si>
    <t>O/ETA 15-25/09/2020</t>
  </si>
  <si>
    <t>30012767</t>
  </si>
  <si>
    <t>15018187</t>
  </si>
  <si>
    <t>802094828</t>
  </si>
  <si>
    <t>0BNE006581</t>
  </si>
  <si>
    <t>30012857</t>
  </si>
  <si>
    <t>15018498</t>
  </si>
  <si>
    <t>802095184</t>
  </si>
  <si>
    <t>4050357730</t>
  </si>
  <si>
    <t>15018499</t>
  </si>
  <si>
    <t>802095185</t>
  </si>
  <si>
    <t>4050357780</t>
  </si>
  <si>
    <t>30012863</t>
  </si>
  <si>
    <t>15018442</t>
  </si>
  <si>
    <t>802095160</t>
  </si>
  <si>
    <t>4050349220</t>
  </si>
  <si>
    <t>15018342</t>
  </si>
  <si>
    <t>802094905</t>
  </si>
  <si>
    <t>EBKG00754419</t>
  </si>
  <si>
    <t>15018344</t>
  </si>
  <si>
    <t>802094907</t>
  </si>
  <si>
    <t>EBKG00752421</t>
  </si>
  <si>
    <t>30012843</t>
  </si>
  <si>
    <t>15018471</t>
  </si>
  <si>
    <t>802095161</t>
  </si>
  <si>
    <t>0BNE006955</t>
  </si>
  <si>
    <t>updated_etd</t>
  </si>
  <si>
    <t>updated_eta</t>
  </si>
  <si>
    <t>No. of days delayed ETD</t>
  </si>
  <si>
    <t>No. of days delayed ETA</t>
  </si>
  <si>
    <t>Reason of Delay</t>
  </si>
  <si>
    <t>bad weather in Australia</t>
  </si>
  <si>
    <t>Bad weather issues in Australia</t>
  </si>
  <si>
    <t>Previous port delayed</t>
  </si>
  <si>
    <t>Sydney port congestion + severe wet weather</t>
  </si>
  <si>
    <t>delayed In Australian Coast due to bad weather</t>
  </si>
  <si>
    <t>Sydney port congestion + severe wet weather + change in transhipment ports</t>
  </si>
  <si>
    <t>Port congestion &amp; bad weather</t>
  </si>
  <si>
    <t>Schedule revision</t>
  </si>
  <si>
    <t>Loading expected to complete 3/8 late night and sailing early morning 4/8</t>
  </si>
  <si>
    <t>CONMETTW</t>
  </si>
  <si>
    <t>Port Kaohsiung, Taiwan</t>
  </si>
  <si>
    <t>SYDA03686900</t>
  </si>
  <si>
    <t>Port Klang or Kaohsiung</t>
  </si>
  <si>
    <t>SYDA03686901</t>
  </si>
  <si>
    <t>RELEASED 03/08</t>
  </si>
  <si>
    <t>MSC JOANNA</t>
  </si>
  <si>
    <t>RE-RELEASED 03/08</t>
  </si>
  <si>
    <t>APL DANUBE</t>
  </si>
  <si>
    <t>RDO CONCERT</t>
  </si>
  <si>
    <t>07/08/2020</t>
  </si>
  <si>
    <t>17/08/2020</t>
  </si>
  <si>
    <t>HAPAG</t>
  </si>
  <si>
    <t>05/08/2020</t>
  </si>
  <si>
    <t>13/08/2020</t>
  </si>
  <si>
    <t>EVERGREEN</t>
  </si>
  <si>
    <t>04/08/2020</t>
  </si>
  <si>
    <t>12/08/2020</t>
  </si>
  <si>
    <t>THBKK</t>
  </si>
  <si>
    <t>OOCL</t>
  </si>
  <si>
    <t>16/08/2020</t>
  </si>
  <si>
    <t>02/08/2020</t>
  </si>
  <si>
    <t>21/08/2020</t>
  </si>
  <si>
    <t>ONE</t>
  </si>
  <si>
    <t>30/08/2020</t>
  </si>
  <si>
    <t>02/09/2020</t>
  </si>
  <si>
    <t>06/08/2020</t>
  </si>
  <si>
    <t>15/08/2020</t>
  </si>
  <si>
    <t>28/08/2020</t>
  </si>
  <si>
    <t>03/08/2020</t>
  </si>
  <si>
    <t>11/09/2020</t>
  </si>
  <si>
    <t>CMA</t>
  </si>
  <si>
    <t>14/08/2020</t>
  </si>
  <si>
    <t>22/08/2020</t>
  </si>
  <si>
    <t>25/08/2020</t>
  </si>
  <si>
    <t>11/08/2020</t>
  </si>
  <si>
    <t>03/09/2020</t>
  </si>
  <si>
    <t>01/08/2020</t>
  </si>
  <si>
    <t>26/08/2020</t>
  </si>
  <si>
    <t>05/10/2020</t>
  </si>
  <si>
    <t>20/08/2020</t>
  </si>
  <si>
    <t>09/08/2020</t>
  </si>
  <si>
    <t>04/09/2020</t>
  </si>
  <si>
    <t>13/10/2020</t>
  </si>
  <si>
    <t>01/09/2020</t>
  </si>
  <si>
    <t>31/08/2020</t>
  </si>
  <si>
    <t>24/09/2020</t>
  </si>
  <si>
    <t>08/09/2020</t>
  </si>
  <si>
    <t>05/09/2020</t>
  </si>
  <si>
    <t>10/08/2020</t>
  </si>
  <si>
    <t>29/08/2020</t>
  </si>
  <si>
    <t>08/08/2020</t>
  </si>
  <si>
    <t>CNTXG</t>
  </si>
  <si>
    <t>18/08/2020</t>
  </si>
  <si>
    <t>24/08/2020</t>
  </si>
  <si>
    <t>19/08/2020</t>
  </si>
  <si>
    <t>25/09/2020</t>
  </si>
  <si>
    <t>11/10/2020</t>
  </si>
  <si>
    <t>06/10/2020</t>
  </si>
  <si>
    <t>10/09/2020</t>
  </si>
  <si>
    <t>09/09/2020</t>
  </si>
  <si>
    <t>12/09/2020</t>
  </si>
  <si>
    <t>15/09/2020</t>
  </si>
  <si>
    <t>06/09/2020</t>
  </si>
  <si>
    <t>07/09/2020</t>
  </si>
  <si>
    <t>28/09/2020</t>
  </si>
  <si>
    <t>14/09/2020</t>
  </si>
  <si>
    <t>16/09/2020</t>
  </si>
  <si>
    <t>23/09/2020</t>
  </si>
  <si>
    <t>17/09/2020</t>
  </si>
  <si>
    <t>07/10/2020</t>
  </si>
  <si>
    <t>04/10/2020</t>
  </si>
  <si>
    <t>09/10/2020</t>
  </si>
  <si>
    <t>10/10/2020</t>
  </si>
  <si>
    <t>18/09/2020</t>
  </si>
  <si>
    <t>01/10/2020</t>
  </si>
  <si>
    <t>30/09/2020</t>
  </si>
  <si>
    <t>19/09/2020</t>
  </si>
  <si>
    <t>14/10/2020</t>
  </si>
  <si>
    <t>27/09/2020</t>
  </si>
  <si>
    <t>13/09/2020</t>
  </si>
  <si>
    <t>20/10/2020</t>
  </si>
  <si>
    <t>22/09/2020</t>
  </si>
  <si>
    <t>23/08/2020</t>
  </si>
  <si>
    <t>26/09/2020</t>
  </si>
  <si>
    <t>12/10/2020</t>
  </si>
  <si>
    <t>20/09/2020</t>
  </si>
  <si>
    <t>27/10/2020</t>
  </si>
  <si>
    <t>21/10/2020</t>
  </si>
  <si>
    <t>21/09/2020</t>
  </si>
  <si>
    <t>Vsl loading completed and sailed slightly past midnight</t>
  </si>
  <si>
    <t>Sydney Port Congestion</t>
  </si>
  <si>
    <t xml:space="preserve">ETA TWKHH to be confirmed with ANL </t>
  </si>
  <si>
    <t>TBA</t>
  </si>
  <si>
    <t>Port congestion in Melbourne</t>
  </si>
  <si>
    <t>OOCL SHANGHAI</t>
  </si>
  <si>
    <t>053N</t>
  </si>
  <si>
    <t>AEL0974951</t>
  </si>
  <si>
    <t>AEL0974918</t>
  </si>
  <si>
    <t>SEASMILE</t>
  </si>
  <si>
    <t>29/09/2020</t>
  </si>
  <si>
    <t>bad weather issues in Australia</t>
  </si>
  <si>
    <t>&lt;roll over to MSC&gt; bad weather issues in Australia</t>
  </si>
  <si>
    <t>&lt;roll over to MSC&gt;</t>
  </si>
  <si>
    <t>Port congestion</t>
  </si>
  <si>
    <t>Vessel to complete loading operations at Auckland Point in Gladstone before berthing at BSL</t>
  </si>
  <si>
    <t>Revised schedule</t>
  </si>
  <si>
    <t>30012647</t>
  </si>
  <si>
    <t>15017964</t>
  </si>
  <si>
    <t>802093833</t>
  </si>
  <si>
    <t>15017965</t>
  </si>
  <si>
    <t>802093834</t>
  </si>
  <si>
    <t>225</t>
  </si>
  <si>
    <t>30012754</t>
  </si>
  <si>
    <t>15018197</t>
  </si>
  <si>
    <t>802094709</t>
  </si>
  <si>
    <t>15018198</t>
  </si>
  <si>
    <t>802094710</t>
  </si>
  <si>
    <t>30012865</t>
  </si>
  <si>
    <t>EBKG00781993</t>
  </si>
  <si>
    <t>EBKG00782009</t>
  </si>
  <si>
    <t>15018571</t>
  </si>
  <si>
    <t>802095712</t>
  </si>
  <si>
    <t>EBKG00782727</t>
  </si>
  <si>
    <t>170</t>
  </si>
  <si>
    <t>15018549</t>
  </si>
  <si>
    <t>802095697</t>
  </si>
  <si>
    <t>52</t>
  </si>
  <si>
    <t>49</t>
  </si>
  <si>
    <t>RE-RELEASED 05/08</t>
  </si>
  <si>
    <t>RELEASED 05/08</t>
  </si>
  <si>
    <t>15018545</t>
  </si>
  <si>
    <t>802095711</t>
  </si>
  <si>
    <t>BT 178 SF6005 5800 6/6 SB CNTR H</t>
  </si>
  <si>
    <t>EBKG00772999</t>
  </si>
  <si>
    <t>ETA 25.09.2020</t>
  </si>
  <si>
    <t>EBKG00782011</t>
  </si>
  <si>
    <t>EBKG00782027</t>
  </si>
  <si>
    <t>EBKG00782039</t>
  </si>
  <si>
    <t>EBKG00782047</t>
  </si>
  <si>
    <t>15018551</t>
  </si>
  <si>
    <t>802095702</t>
  </si>
  <si>
    <t>EBKG00779797</t>
  </si>
  <si>
    <t>264</t>
  </si>
  <si>
    <t>15018555</t>
  </si>
  <si>
    <t>802095704</t>
  </si>
  <si>
    <t>EBKG00779815</t>
  </si>
  <si>
    <t>30012866</t>
  </si>
  <si>
    <t>0BNE007342</t>
  </si>
  <si>
    <t>Berthing congestion in Melbourne</t>
  </si>
  <si>
    <t>Revised port rotation to reduce overall delays in Sydney</t>
  </si>
  <si>
    <t>EBKG00782720</t>
  </si>
  <si>
    <t>EBKG00782724</t>
  </si>
  <si>
    <t>EBKG00782726</t>
  </si>
  <si>
    <t>15018578</t>
  </si>
  <si>
    <t>802095720</t>
  </si>
  <si>
    <t>EBKG00784165</t>
  </si>
  <si>
    <t>85</t>
  </si>
  <si>
    <t>EBKG00782762</t>
  </si>
  <si>
    <t>102</t>
  </si>
  <si>
    <t>EBKG00779805</t>
  </si>
  <si>
    <t>30012885</t>
  </si>
  <si>
    <t>BNEA04839700</t>
  </si>
  <si>
    <t>EBKG00782776</t>
  </si>
  <si>
    <t>EBKG00782783</t>
  </si>
  <si>
    <t>EBKG00782790</t>
  </si>
  <si>
    <t>EBKG00782799</t>
  </si>
  <si>
    <t>15018579</t>
  </si>
  <si>
    <t>802095721</t>
  </si>
  <si>
    <t>IH 23KG AA197F BULK 44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</si>
</sst>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/mm/yyyy"/>
    <numFmt numFmtId="166" formatCode="yyyy\-mm\-dd\ hh:mm:ss"/>
  </numFmts>
  <fonts count="3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vertical="top"/>
    </xf>
    <xf numFmtId="0" fontId="0" fillId="0" borderId="0" xfId="0"/>
    <xf numFmtId="165" fontId="0" fillId="0" borderId="0" xfId="0" applyNumberFormat="1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0" fillId="3" borderId="0" xfId="0" applyNumberFormat="1" applyFill="1"/>
    <xf numFmtId="14" fontId="0" fillId="3" borderId="0" xfId="0" applyNumberFormat="1" applyFill="1" applyAlignment="1">
      <alignment vertical="top"/>
    </xf>
    <xf numFmtId="14" fontId="0" fillId="3" borderId="0" xfId="0" applyNumberFormat="1" applyFill="1" applyAlignment="1"/>
    <xf numFmtId="166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0" borderId="0" xfId="0" applyAlignment="1"/>
    <xf numFmtId="14" fontId="2" fillId="3" borderId="1" xfId="0" applyNumberFormat="1" applyFont="1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1" fillId="0" borderId="0" xfId="0" applyFont="1"/>
    <xf numFmtId="14" fontId="0" fillId="3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16" fontId="0" fillId="0" borderId="0" xfId="0" applyNumberFormat="1" applyAlignment="1">
      <alignment vertical="top"/>
    </xf>
    <xf numFmtId="14" fontId="0" fillId="3" borderId="0" xfId="0" applyNumberFormat="1" applyFill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6" fontId="0" fillId="3" borderId="0" xfId="0" applyNumberFormat="1" applyFill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E932-DDB5-4A63-A7A9-DA733DF9EE9A}">
  <sheetPr filterMode="1"/>
  <dimension ref="A1:AB303"/>
  <sheetViews>
    <sheetView tabSelected="1" topLeftCell="C1" workbookViewId="0">
      <pane ySplit="1" topLeftCell="A2" activePane="bottomLeft" state="frozen"/>
      <selection pane="bottomLeft" activeCell="W80" sqref="W80"/>
    </sheetView>
  </sheetViews>
  <sheetFormatPr defaultRowHeight="12.75" outlineLevelCol="1" x14ac:dyDescent="0.2"/>
  <cols>
    <col min="1" max="1" width="6.5703125" bestFit="1" customWidth="1"/>
    <col min="2" max="2" width="18.7109375" hidden="1" customWidth="1" outlineLevel="1"/>
    <col min="3" max="3" width="8.85546875" customWidth="1" collapsed="1"/>
    <col min="4" max="4" width="6.42578125" customWidth="1"/>
    <col min="5" max="5" width="16.140625" customWidth="1"/>
    <col min="6" max="6" width="14.28515625" bestFit="1" customWidth="1"/>
    <col min="7" max="7" width="12.140625" bestFit="1" customWidth="1"/>
    <col min="8" max="8" width="10" bestFit="1" customWidth="1"/>
    <col min="9" max="9" width="43" hidden="1" customWidth="1" outlineLevel="1"/>
    <col min="10" max="10" width="9.7109375" hidden="1" customWidth="1" outlineLevel="1"/>
    <col min="11" max="11" width="21.85546875" bestFit="1" customWidth="1" collapsed="1"/>
    <col min="12" max="12" width="9.5703125" bestFit="1" customWidth="1"/>
    <col min="13" max="13" width="11.28515625" bestFit="1" customWidth="1"/>
    <col min="14" max="14" width="13.28515625" bestFit="1" customWidth="1"/>
    <col min="15" max="15" width="14.7109375" hidden="1" customWidth="1" outlineLevel="1"/>
    <col min="16" max="16" width="9.7109375" bestFit="1" customWidth="1" collapsed="1"/>
    <col min="17" max="17" width="11.28515625" bestFit="1" customWidth="1"/>
    <col min="18" max="18" width="34.42578125" hidden="1" customWidth="1" outlineLevel="1"/>
    <col min="19" max="19" width="4.85546875" customWidth="1" collapsed="1"/>
    <col min="20" max="20" width="11.140625" hidden="1" customWidth="1" outlineLevel="1"/>
    <col min="21" max="21" width="19.5703125" hidden="1" customWidth="1" outlineLevel="1"/>
    <col min="22" max="22" width="13.85546875" bestFit="1" customWidth="1" collapsed="1"/>
    <col min="23" max="23" width="14.42578125" bestFit="1" customWidth="1"/>
    <col min="24" max="24" width="11.28515625" hidden="1" customWidth="1" outlineLevel="1"/>
    <col min="25" max="25" width="9.7109375" hidden="1" customWidth="1" outlineLevel="1"/>
    <col min="26" max="26" width="22.7109375" hidden="1" customWidth="1" outlineLevel="1"/>
    <col min="27" max="27" width="11.42578125" hidden="1" customWidth="1" outlineLevel="1"/>
    <col min="28" max="28" width="10.42578125" bestFit="1" customWidth="1" collapsed="1"/>
  </cols>
  <sheetData>
    <row r="1" spans="1:28" ht="38.2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7" t="s">
        <v>17</v>
      </c>
      <c r="S1" s="7" t="s">
        <v>18</v>
      </c>
      <c r="T1" s="5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7" t="s">
        <v>25</v>
      </c>
      <c r="AA1" s="5" t="s">
        <v>26</v>
      </c>
      <c r="AB1" s="5" t="s">
        <v>27</v>
      </c>
    </row>
    <row r="2" spans="1:28" hidden="1" x14ac:dyDescent="0.2">
      <c r="A2" s="2" t="s">
        <v>431</v>
      </c>
      <c r="B2" s="3">
        <v>44027</v>
      </c>
      <c r="C2" s="2" t="s">
        <v>599</v>
      </c>
      <c r="D2" s="2" t="s">
        <v>62</v>
      </c>
      <c r="E2" s="2" t="s">
        <v>217</v>
      </c>
      <c r="F2" s="2" t="s">
        <v>218</v>
      </c>
      <c r="G2" s="2" t="s">
        <v>600</v>
      </c>
      <c r="H2" s="2" t="s">
        <v>601</v>
      </c>
      <c r="I2" s="2" t="s">
        <v>31</v>
      </c>
      <c r="J2" s="2" t="s">
        <v>32</v>
      </c>
      <c r="K2" s="2" t="s">
        <v>240</v>
      </c>
      <c r="L2" s="2" t="s">
        <v>586</v>
      </c>
      <c r="M2" s="3">
        <v>44050</v>
      </c>
      <c r="N2" s="3">
        <v>44060</v>
      </c>
      <c r="O2" s="4">
        <v>509.70499999999998</v>
      </c>
      <c r="P2" s="2" t="s">
        <v>33</v>
      </c>
      <c r="Q2" s="2" t="s">
        <v>34</v>
      </c>
      <c r="R2" s="2" t="s">
        <v>35</v>
      </c>
      <c r="S2" s="2" t="s">
        <v>435</v>
      </c>
      <c r="T2" s="2" t="s">
        <v>36</v>
      </c>
      <c r="U2" s="2" t="s">
        <v>37</v>
      </c>
      <c r="V2" s="2" t="s">
        <v>43</v>
      </c>
      <c r="W2" s="2" t="s">
        <v>602</v>
      </c>
      <c r="X2" s="2" t="s">
        <v>412</v>
      </c>
      <c r="Y2" s="2" t="s">
        <v>436</v>
      </c>
      <c r="Z2" s="2" t="s">
        <v>412</v>
      </c>
      <c r="AA2" s="2" t="s">
        <v>39</v>
      </c>
      <c r="AB2" s="2" t="s">
        <v>414</v>
      </c>
    </row>
    <row r="3" spans="1:28" hidden="1" x14ac:dyDescent="0.2">
      <c r="A3" s="2" t="s">
        <v>431</v>
      </c>
      <c r="B3" s="3">
        <v>44027</v>
      </c>
      <c r="C3" s="2" t="s">
        <v>603</v>
      </c>
      <c r="D3" s="2" t="s">
        <v>62</v>
      </c>
      <c r="E3" s="2" t="s">
        <v>217</v>
      </c>
      <c r="F3" s="2" t="s">
        <v>218</v>
      </c>
      <c r="G3" s="2" t="s">
        <v>604</v>
      </c>
      <c r="H3" s="2" t="s">
        <v>605</v>
      </c>
      <c r="I3" s="2" t="s">
        <v>31</v>
      </c>
      <c r="J3" s="2" t="s">
        <v>32</v>
      </c>
      <c r="K3" s="2" t="s">
        <v>240</v>
      </c>
      <c r="L3" s="2" t="s">
        <v>586</v>
      </c>
      <c r="M3" s="3">
        <v>44050</v>
      </c>
      <c r="N3" s="3">
        <v>44060</v>
      </c>
      <c r="O3" s="4">
        <v>484.45100000000002</v>
      </c>
      <c r="P3" s="2" t="s">
        <v>33</v>
      </c>
      <c r="Q3" s="2" t="s">
        <v>34</v>
      </c>
      <c r="R3" s="2" t="s">
        <v>35</v>
      </c>
      <c r="S3" s="2" t="s">
        <v>428</v>
      </c>
      <c r="T3" s="2" t="s">
        <v>36</v>
      </c>
      <c r="U3" s="2" t="s">
        <v>37</v>
      </c>
      <c r="V3" s="2" t="s">
        <v>38</v>
      </c>
      <c r="W3" s="2" t="s">
        <v>606</v>
      </c>
      <c r="X3" s="2" t="s">
        <v>412</v>
      </c>
      <c r="Y3" s="2" t="s">
        <v>429</v>
      </c>
      <c r="Z3" s="2" t="s">
        <v>412</v>
      </c>
      <c r="AA3" s="2" t="s">
        <v>39</v>
      </c>
      <c r="AB3" s="2" t="s">
        <v>414</v>
      </c>
    </row>
    <row r="4" spans="1:28" hidden="1" x14ac:dyDescent="0.2">
      <c r="A4" s="2" t="s">
        <v>484</v>
      </c>
      <c r="B4" s="3">
        <v>44027</v>
      </c>
      <c r="C4" s="2" t="s">
        <v>1794</v>
      </c>
      <c r="D4" s="2" t="s">
        <v>178</v>
      </c>
      <c r="E4" s="2" t="s">
        <v>179</v>
      </c>
      <c r="F4" s="2" t="s">
        <v>180</v>
      </c>
      <c r="G4" s="2" t="s">
        <v>1795</v>
      </c>
      <c r="H4" s="2" t="s">
        <v>1796</v>
      </c>
      <c r="I4" s="2" t="s">
        <v>181</v>
      </c>
      <c r="J4" s="2" t="s">
        <v>95</v>
      </c>
      <c r="K4" s="2" t="s">
        <v>1782</v>
      </c>
      <c r="L4" s="2" t="s">
        <v>1783</v>
      </c>
      <c r="M4" s="3">
        <v>44044</v>
      </c>
      <c r="N4" s="3">
        <v>44063</v>
      </c>
      <c r="O4" s="4">
        <v>262.52300000000002</v>
      </c>
      <c r="P4" s="2" t="s">
        <v>492</v>
      </c>
      <c r="Q4" s="2" t="s">
        <v>182</v>
      </c>
      <c r="R4" s="2" t="s">
        <v>183</v>
      </c>
      <c r="S4" s="2" t="s">
        <v>456</v>
      </c>
      <c r="T4" s="2" t="s">
        <v>87</v>
      </c>
      <c r="U4" s="2" t="s">
        <v>37</v>
      </c>
      <c r="V4" s="2" t="s">
        <v>504</v>
      </c>
      <c r="W4" s="2" t="s">
        <v>1784</v>
      </c>
      <c r="X4" s="2" t="s">
        <v>412</v>
      </c>
      <c r="Y4" s="2" t="s">
        <v>485</v>
      </c>
      <c r="Z4" s="2" t="s">
        <v>412</v>
      </c>
      <c r="AA4" s="2" t="s">
        <v>184</v>
      </c>
      <c r="AB4" s="2" t="s">
        <v>414</v>
      </c>
    </row>
    <row r="5" spans="1:28" hidden="1" x14ac:dyDescent="0.2">
      <c r="A5" s="2" t="s">
        <v>484</v>
      </c>
      <c r="B5" s="3">
        <v>44027</v>
      </c>
      <c r="C5" s="2" t="s">
        <v>1794</v>
      </c>
      <c r="D5" s="2" t="s">
        <v>178</v>
      </c>
      <c r="E5" s="2" t="s">
        <v>179</v>
      </c>
      <c r="F5" s="2" t="s">
        <v>180</v>
      </c>
      <c r="G5" s="2" t="s">
        <v>1797</v>
      </c>
      <c r="H5" s="2" t="s">
        <v>1798</v>
      </c>
      <c r="I5" s="2" t="s">
        <v>181</v>
      </c>
      <c r="J5" s="2" t="s">
        <v>95</v>
      </c>
      <c r="K5" s="2" t="s">
        <v>1782</v>
      </c>
      <c r="L5" s="2" t="s">
        <v>1783</v>
      </c>
      <c r="M5" s="3">
        <v>44044</v>
      </c>
      <c r="N5" s="3">
        <v>44061</v>
      </c>
      <c r="O5" s="4">
        <v>214.673</v>
      </c>
      <c r="P5" s="2" t="s">
        <v>492</v>
      </c>
      <c r="Q5" s="2" t="s">
        <v>131</v>
      </c>
      <c r="R5" s="2" t="s">
        <v>185</v>
      </c>
      <c r="S5" s="2" t="s">
        <v>422</v>
      </c>
      <c r="T5" s="2" t="s">
        <v>87</v>
      </c>
      <c r="U5" s="2" t="s">
        <v>37</v>
      </c>
      <c r="V5" s="2" t="s">
        <v>504</v>
      </c>
      <c r="W5" s="2" t="s">
        <v>1785</v>
      </c>
      <c r="X5" s="2" t="s">
        <v>412</v>
      </c>
      <c r="Y5" s="2" t="s">
        <v>1799</v>
      </c>
      <c r="Z5" s="2" t="s">
        <v>412</v>
      </c>
      <c r="AA5" s="2" t="s">
        <v>184</v>
      </c>
      <c r="AB5" s="2" t="s">
        <v>414</v>
      </c>
    </row>
    <row r="6" spans="1:28" hidden="1" x14ac:dyDescent="0.2">
      <c r="A6" s="2" t="s">
        <v>431</v>
      </c>
      <c r="B6" s="3">
        <v>44043</v>
      </c>
      <c r="C6" s="2" t="s">
        <v>637</v>
      </c>
      <c r="D6" s="2" t="s">
        <v>54</v>
      </c>
      <c r="E6" s="2" t="s">
        <v>55</v>
      </c>
      <c r="F6" s="2" t="s">
        <v>56</v>
      </c>
      <c r="G6" s="2" t="s">
        <v>638</v>
      </c>
      <c r="H6" s="2" t="s">
        <v>639</v>
      </c>
      <c r="I6" s="2" t="s">
        <v>57</v>
      </c>
      <c r="J6" s="2" t="s">
        <v>58</v>
      </c>
      <c r="K6" s="2" t="s">
        <v>293</v>
      </c>
      <c r="L6" s="2" t="s">
        <v>512</v>
      </c>
      <c r="M6" s="3">
        <v>44047</v>
      </c>
      <c r="N6" s="3">
        <v>44065</v>
      </c>
      <c r="O6" s="4">
        <v>93.787999999999997</v>
      </c>
      <c r="P6" s="2" t="s">
        <v>33</v>
      </c>
      <c r="Q6" s="2" t="s">
        <v>59</v>
      </c>
      <c r="R6" s="2" t="s">
        <v>60</v>
      </c>
      <c r="S6" s="2" t="s">
        <v>419</v>
      </c>
      <c r="T6" s="2" t="s">
        <v>61</v>
      </c>
      <c r="U6" s="2" t="s">
        <v>37</v>
      </c>
      <c r="V6" s="2" t="s">
        <v>52</v>
      </c>
      <c r="W6" s="2" t="s">
        <v>640</v>
      </c>
      <c r="X6" s="2" t="s">
        <v>412</v>
      </c>
      <c r="Y6" s="2" t="s">
        <v>433</v>
      </c>
      <c r="Z6" s="2" t="s">
        <v>615</v>
      </c>
      <c r="AA6" s="2" t="s">
        <v>39</v>
      </c>
      <c r="AB6" s="2" t="s">
        <v>414</v>
      </c>
    </row>
    <row r="7" spans="1:28" hidden="1" x14ac:dyDescent="0.2">
      <c r="A7" s="2" t="s">
        <v>431</v>
      </c>
      <c r="B7" s="3">
        <v>44043</v>
      </c>
      <c r="C7" s="2" t="s">
        <v>637</v>
      </c>
      <c r="D7" s="2" t="s">
        <v>62</v>
      </c>
      <c r="E7" s="2" t="s">
        <v>641</v>
      </c>
      <c r="F7" s="2" t="s">
        <v>642</v>
      </c>
      <c r="G7" s="2" t="s">
        <v>643</v>
      </c>
      <c r="H7" s="2" t="s">
        <v>644</v>
      </c>
      <c r="I7" s="2" t="s">
        <v>63</v>
      </c>
      <c r="J7" s="2" t="s">
        <v>64</v>
      </c>
      <c r="K7" s="2" t="s">
        <v>293</v>
      </c>
      <c r="L7" s="2" t="s">
        <v>512</v>
      </c>
      <c r="M7" s="3">
        <v>44047</v>
      </c>
      <c r="N7" s="3">
        <v>44065</v>
      </c>
      <c r="O7" s="4">
        <v>193.55</v>
      </c>
      <c r="P7" s="2" t="s">
        <v>33</v>
      </c>
      <c r="Q7" s="2" t="s">
        <v>59</v>
      </c>
      <c r="R7" s="2" t="s">
        <v>60</v>
      </c>
      <c r="S7" s="2" t="s">
        <v>420</v>
      </c>
      <c r="T7" s="2" t="s">
        <v>36</v>
      </c>
      <c r="U7" s="2" t="s">
        <v>37</v>
      </c>
      <c r="V7" s="2" t="s">
        <v>52</v>
      </c>
      <c r="W7" s="2" t="s">
        <v>645</v>
      </c>
      <c r="X7" s="2" t="s">
        <v>412</v>
      </c>
      <c r="Y7" s="2" t="s">
        <v>421</v>
      </c>
      <c r="Z7" s="2" t="s">
        <v>615</v>
      </c>
      <c r="AA7" s="2" t="s">
        <v>39</v>
      </c>
      <c r="AB7" s="2" t="s">
        <v>414</v>
      </c>
    </row>
    <row r="8" spans="1:28" hidden="1" x14ac:dyDescent="0.2">
      <c r="A8" s="2" t="s">
        <v>431</v>
      </c>
      <c r="B8" s="3">
        <v>44043</v>
      </c>
      <c r="C8" s="2" t="s">
        <v>637</v>
      </c>
      <c r="D8" s="2" t="s">
        <v>54</v>
      </c>
      <c r="E8" s="2" t="s">
        <v>369</v>
      </c>
      <c r="F8" s="2" t="s">
        <v>370</v>
      </c>
      <c r="G8" s="2" t="s">
        <v>646</v>
      </c>
      <c r="H8" s="2" t="s">
        <v>647</v>
      </c>
      <c r="I8" s="2" t="s">
        <v>63</v>
      </c>
      <c r="J8" s="2" t="s">
        <v>64</v>
      </c>
      <c r="K8" s="2" t="s">
        <v>293</v>
      </c>
      <c r="L8" s="2" t="s">
        <v>512</v>
      </c>
      <c r="M8" s="3">
        <v>44047</v>
      </c>
      <c r="N8" s="3">
        <v>44065</v>
      </c>
      <c r="O8" s="4">
        <v>290.15199999999999</v>
      </c>
      <c r="P8" s="2" t="s">
        <v>33</v>
      </c>
      <c r="Q8" s="2" t="s">
        <v>59</v>
      </c>
      <c r="R8" s="2" t="s">
        <v>60</v>
      </c>
      <c r="S8" s="2" t="s">
        <v>425</v>
      </c>
      <c r="T8" s="2" t="s">
        <v>36</v>
      </c>
      <c r="U8" s="2" t="s">
        <v>37</v>
      </c>
      <c r="V8" s="2" t="s">
        <v>52</v>
      </c>
      <c r="W8" s="2" t="s">
        <v>648</v>
      </c>
      <c r="X8" s="2" t="s">
        <v>412</v>
      </c>
      <c r="Y8" s="2" t="s">
        <v>426</v>
      </c>
      <c r="Z8" s="2" t="s">
        <v>649</v>
      </c>
      <c r="AA8" s="2" t="s">
        <v>39</v>
      </c>
      <c r="AB8" s="2" t="s">
        <v>414</v>
      </c>
    </row>
    <row r="9" spans="1:28" hidden="1" x14ac:dyDescent="0.2">
      <c r="A9" s="2" t="s">
        <v>431</v>
      </c>
      <c r="B9" s="3">
        <v>44043</v>
      </c>
      <c r="C9" s="2" t="s">
        <v>637</v>
      </c>
      <c r="D9" s="2" t="s">
        <v>54</v>
      </c>
      <c r="E9" s="2" t="s">
        <v>369</v>
      </c>
      <c r="F9" s="2" t="s">
        <v>370</v>
      </c>
      <c r="G9" s="2" t="s">
        <v>650</v>
      </c>
      <c r="H9" s="2" t="s">
        <v>651</v>
      </c>
      <c r="I9" s="2" t="s">
        <v>63</v>
      </c>
      <c r="J9" s="2" t="s">
        <v>64</v>
      </c>
      <c r="K9" s="2" t="s">
        <v>293</v>
      </c>
      <c r="L9" s="2" t="s">
        <v>512</v>
      </c>
      <c r="M9" s="3">
        <v>44047</v>
      </c>
      <c r="N9" s="3">
        <v>44065</v>
      </c>
      <c r="O9" s="4">
        <v>290.20699999999999</v>
      </c>
      <c r="P9" s="2" t="s">
        <v>33</v>
      </c>
      <c r="Q9" s="2" t="s">
        <v>59</v>
      </c>
      <c r="R9" s="2" t="s">
        <v>60</v>
      </c>
      <c r="S9" s="2" t="s">
        <v>425</v>
      </c>
      <c r="T9" s="2" t="s">
        <v>36</v>
      </c>
      <c r="U9" s="2" t="s">
        <v>37</v>
      </c>
      <c r="V9" s="2" t="s">
        <v>52</v>
      </c>
      <c r="W9" s="2" t="s">
        <v>652</v>
      </c>
      <c r="X9" s="2" t="s">
        <v>412</v>
      </c>
      <c r="Y9" s="2" t="s">
        <v>426</v>
      </c>
      <c r="Z9" s="2" t="s">
        <v>649</v>
      </c>
      <c r="AA9" s="2" t="s">
        <v>39</v>
      </c>
      <c r="AB9" s="2" t="s">
        <v>414</v>
      </c>
    </row>
    <row r="10" spans="1:28" x14ac:dyDescent="0.2">
      <c r="A10" s="2" t="s">
        <v>427</v>
      </c>
      <c r="B10" s="3">
        <v>44027</v>
      </c>
      <c r="C10" s="2" t="s">
        <v>1800</v>
      </c>
      <c r="D10" s="2" t="s">
        <v>91</v>
      </c>
      <c r="E10" s="2" t="s">
        <v>258</v>
      </c>
      <c r="F10" s="2" t="s">
        <v>1687</v>
      </c>
      <c r="G10" s="2" t="s">
        <v>1801</v>
      </c>
      <c r="H10" s="2" t="s">
        <v>1802</v>
      </c>
      <c r="I10" s="2" t="s">
        <v>77</v>
      </c>
      <c r="J10" s="2" t="s">
        <v>32</v>
      </c>
      <c r="K10" s="2" t="s">
        <v>743</v>
      </c>
      <c r="L10" s="2" t="s">
        <v>744</v>
      </c>
      <c r="M10" s="3">
        <v>44045</v>
      </c>
      <c r="N10" s="3">
        <v>44064</v>
      </c>
      <c r="O10" s="4">
        <v>498.36099999999999</v>
      </c>
      <c r="P10" s="2" t="s">
        <v>48</v>
      </c>
      <c r="Q10" s="2" t="s">
        <v>100</v>
      </c>
      <c r="R10" s="2" t="s">
        <v>1688</v>
      </c>
      <c r="S10" s="2" t="s">
        <v>428</v>
      </c>
      <c r="T10" s="2" t="s">
        <v>36</v>
      </c>
      <c r="U10" s="2" t="s">
        <v>37</v>
      </c>
      <c r="V10" s="2" t="s">
        <v>241</v>
      </c>
      <c r="W10" s="2" t="s">
        <v>1689</v>
      </c>
      <c r="X10" s="2" t="s">
        <v>412</v>
      </c>
      <c r="Y10" s="2" t="s">
        <v>429</v>
      </c>
      <c r="Z10" s="2" t="s">
        <v>412</v>
      </c>
      <c r="AA10" s="2" t="s">
        <v>39</v>
      </c>
      <c r="AB10" s="2" t="s">
        <v>414</v>
      </c>
    </row>
    <row r="11" spans="1:28" x14ac:dyDescent="0.2">
      <c r="A11" s="2" t="s">
        <v>427</v>
      </c>
      <c r="B11" s="3">
        <v>44027</v>
      </c>
      <c r="C11" s="2" t="s">
        <v>1800</v>
      </c>
      <c r="D11" s="2" t="s">
        <v>91</v>
      </c>
      <c r="E11" s="2" t="s">
        <v>258</v>
      </c>
      <c r="F11" s="2" t="s">
        <v>1687</v>
      </c>
      <c r="G11" s="2" t="s">
        <v>1803</v>
      </c>
      <c r="H11" s="2" t="s">
        <v>1804</v>
      </c>
      <c r="I11" s="2" t="s">
        <v>77</v>
      </c>
      <c r="J11" s="2" t="s">
        <v>32</v>
      </c>
      <c r="K11" s="2" t="s">
        <v>743</v>
      </c>
      <c r="L11" s="2" t="s">
        <v>744</v>
      </c>
      <c r="M11" s="3">
        <v>44045</v>
      </c>
      <c r="N11" s="3">
        <v>44064</v>
      </c>
      <c r="O11" s="4">
        <v>497.79500000000002</v>
      </c>
      <c r="P11" s="2" t="s">
        <v>48</v>
      </c>
      <c r="Q11" s="2" t="s">
        <v>100</v>
      </c>
      <c r="R11" s="2" t="s">
        <v>1690</v>
      </c>
      <c r="S11" s="2" t="s">
        <v>428</v>
      </c>
      <c r="T11" s="2" t="s">
        <v>36</v>
      </c>
      <c r="U11" s="2" t="s">
        <v>37</v>
      </c>
      <c r="V11" s="2" t="s">
        <v>241</v>
      </c>
      <c r="W11" s="2" t="s">
        <v>1691</v>
      </c>
      <c r="X11" s="2" t="s">
        <v>412</v>
      </c>
      <c r="Y11" s="2" t="s">
        <v>429</v>
      </c>
      <c r="Z11" s="2" t="s">
        <v>412</v>
      </c>
      <c r="AA11" s="2" t="s">
        <v>39</v>
      </c>
      <c r="AB11" s="2" t="s">
        <v>414</v>
      </c>
    </row>
    <row r="12" spans="1:28" x14ac:dyDescent="0.2">
      <c r="A12" s="2" t="s">
        <v>427</v>
      </c>
      <c r="B12" s="3">
        <v>44043</v>
      </c>
      <c r="C12" s="2" t="s">
        <v>607</v>
      </c>
      <c r="D12" s="2" t="s">
        <v>62</v>
      </c>
      <c r="E12" s="2" t="s">
        <v>294</v>
      </c>
      <c r="F12" s="2" t="s">
        <v>295</v>
      </c>
      <c r="G12" s="2" t="s">
        <v>612</v>
      </c>
      <c r="H12" s="2" t="s">
        <v>613</v>
      </c>
      <c r="I12" s="2" t="s">
        <v>77</v>
      </c>
      <c r="J12" s="2" t="s">
        <v>32</v>
      </c>
      <c r="K12" s="2" t="s">
        <v>293</v>
      </c>
      <c r="L12" s="2" t="s">
        <v>512</v>
      </c>
      <c r="M12" s="3">
        <v>44045</v>
      </c>
      <c r="N12" s="3">
        <v>44063</v>
      </c>
      <c r="O12" s="4">
        <v>99.563999999999993</v>
      </c>
      <c r="P12" s="2" t="s">
        <v>48</v>
      </c>
      <c r="Q12" s="2" t="s">
        <v>59</v>
      </c>
      <c r="R12" s="2" t="s">
        <v>60</v>
      </c>
      <c r="S12" s="2" t="s">
        <v>419</v>
      </c>
      <c r="T12" s="2" t="s">
        <v>36</v>
      </c>
      <c r="U12" s="2" t="s">
        <v>37</v>
      </c>
      <c r="V12" s="2" t="s">
        <v>52</v>
      </c>
      <c r="W12" s="2" t="s">
        <v>614</v>
      </c>
      <c r="X12" s="2" t="s">
        <v>412</v>
      </c>
      <c r="Y12" s="2" t="s">
        <v>437</v>
      </c>
      <c r="Z12" s="2" t="s">
        <v>615</v>
      </c>
      <c r="AA12" s="2" t="s">
        <v>39</v>
      </c>
      <c r="AB12" s="2" t="s">
        <v>414</v>
      </c>
    </row>
    <row r="13" spans="1:28" x14ac:dyDescent="0.2">
      <c r="A13" s="2" t="s">
        <v>427</v>
      </c>
      <c r="B13" s="3">
        <v>44043</v>
      </c>
      <c r="C13" s="2" t="s">
        <v>607</v>
      </c>
      <c r="D13" s="2" t="s">
        <v>62</v>
      </c>
      <c r="E13" s="2" t="s">
        <v>296</v>
      </c>
      <c r="F13" s="2" t="s">
        <v>297</v>
      </c>
      <c r="G13" s="2" t="s">
        <v>616</v>
      </c>
      <c r="H13" s="2" t="s">
        <v>617</v>
      </c>
      <c r="I13" s="2" t="s">
        <v>298</v>
      </c>
      <c r="J13" s="2" t="s">
        <v>58</v>
      </c>
      <c r="K13" s="2" t="s">
        <v>293</v>
      </c>
      <c r="L13" s="2" t="s">
        <v>512</v>
      </c>
      <c r="M13" s="3">
        <v>44045</v>
      </c>
      <c r="N13" s="3">
        <v>44063</v>
      </c>
      <c r="O13" s="4">
        <v>47.188000000000002</v>
      </c>
      <c r="P13" s="2" t="s">
        <v>48</v>
      </c>
      <c r="Q13" s="2" t="s">
        <v>59</v>
      </c>
      <c r="R13" s="2" t="s">
        <v>60</v>
      </c>
      <c r="S13" s="2" t="s">
        <v>449</v>
      </c>
      <c r="T13" s="2" t="s">
        <v>61</v>
      </c>
      <c r="U13" s="2" t="s">
        <v>37</v>
      </c>
      <c r="V13" s="2" t="s">
        <v>52</v>
      </c>
      <c r="W13" s="2" t="s">
        <v>618</v>
      </c>
      <c r="X13" s="2" t="s">
        <v>412</v>
      </c>
      <c r="Y13" s="2" t="s">
        <v>462</v>
      </c>
      <c r="Z13" s="2" t="s">
        <v>619</v>
      </c>
      <c r="AA13" s="2" t="s">
        <v>39</v>
      </c>
      <c r="AB13" s="2" t="s">
        <v>414</v>
      </c>
    </row>
    <row r="14" spans="1:28" hidden="1" x14ac:dyDescent="0.2">
      <c r="A14" s="2" t="s">
        <v>431</v>
      </c>
      <c r="B14" s="3">
        <v>44037</v>
      </c>
      <c r="C14" s="2" t="s">
        <v>723</v>
      </c>
      <c r="D14" s="2" t="s">
        <v>365</v>
      </c>
      <c r="E14" s="2" t="s">
        <v>620</v>
      </c>
      <c r="F14" s="2" t="s">
        <v>621</v>
      </c>
      <c r="G14" s="2" t="s">
        <v>724</v>
      </c>
      <c r="H14" s="2" t="s">
        <v>725</v>
      </c>
      <c r="I14" s="2" t="s">
        <v>31</v>
      </c>
      <c r="J14" s="2" t="s">
        <v>32</v>
      </c>
      <c r="K14" s="2" t="s">
        <v>260</v>
      </c>
      <c r="L14" s="2" t="s">
        <v>518</v>
      </c>
      <c r="M14" s="3">
        <v>44049</v>
      </c>
      <c r="N14" s="3">
        <v>44058</v>
      </c>
      <c r="O14" s="4">
        <v>288.238</v>
      </c>
      <c r="P14" s="2" t="s">
        <v>33</v>
      </c>
      <c r="Q14" s="2" t="s">
        <v>159</v>
      </c>
      <c r="R14" s="2" t="s">
        <v>160</v>
      </c>
      <c r="S14" s="2" t="s">
        <v>456</v>
      </c>
      <c r="T14" s="2" t="s">
        <v>362</v>
      </c>
      <c r="U14" s="2" t="s">
        <v>37</v>
      </c>
      <c r="V14" s="2" t="s">
        <v>155</v>
      </c>
      <c r="W14" s="2" t="s">
        <v>726</v>
      </c>
      <c r="X14" s="2" t="s">
        <v>412</v>
      </c>
      <c r="Y14" s="2" t="s">
        <v>480</v>
      </c>
      <c r="Z14" s="2" t="s">
        <v>412</v>
      </c>
      <c r="AA14" s="2" t="s">
        <v>39</v>
      </c>
      <c r="AB14" s="2" t="s">
        <v>414</v>
      </c>
    </row>
    <row r="15" spans="1:28" x14ac:dyDescent="0.2">
      <c r="A15" s="2" t="s">
        <v>427</v>
      </c>
      <c r="B15" s="3">
        <v>44042</v>
      </c>
      <c r="C15" s="2" t="s">
        <v>630</v>
      </c>
      <c r="D15" s="2" t="s">
        <v>74</v>
      </c>
      <c r="E15" s="2" t="s">
        <v>75</v>
      </c>
      <c r="F15" s="2" t="s">
        <v>76</v>
      </c>
      <c r="G15" s="2" t="s">
        <v>631</v>
      </c>
      <c r="H15" s="2" t="s">
        <v>632</v>
      </c>
      <c r="I15" s="2" t="s">
        <v>77</v>
      </c>
      <c r="J15" s="2" t="s">
        <v>32</v>
      </c>
      <c r="K15" s="2" t="s">
        <v>761</v>
      </c>
      <c r="L15" s="2" t="s">
        <v>762</v>
      </c>
      <c r="M15" s="3">
        <v>44046</v>
      </c>
      <c r="N15" s="3">
        <v>44085</v>
      </c>
      <c r="O15" s="4">
        <v>299.22000000000003</v>
      </c>
      <c r="P15" s="2" t="s">
        <v>48</v>
      </c>
      <c r="Q15" s="2" t="s">
        <v>78</v>
      </c>
      <c r="R15" s="2" t="s">
        <v>79</v>
      </c>
      <c r="S15" s="2" t="s">
        <v>425</v>
      </c>
      <c r="T15" s="2" t="s">
        <v>36</v>
      </c>
      <c r="U15" s="2" t="s">
        <v>37</v>
      </c>
      <c r="V15" s="2" t="s">
        <v>73</v>
      </c>
      <c r="W15" s="2" t="s">
        <v>633</v>
      </c>
      <c r="X15" s="2" t="s">
        <v>412</v>
      </c>
      <c r="Y15" s="2" t="s">
        <v>426</v>
      </c>
      <c r="Z15" s="2" t="s">
        <v>412</v>
      </c>
      <c r="AA15" s="2" t="s">
        <v>39</v>
      </c>
      <c r="AB15" s="2" t="s">
        <v>414</v>
      </c>
    </row>
    <row r="16" spans="1:28" x14ac:dyDescent="0.2">
      <c r="A16" s="2" t="s">
        <v>427</v>
      </c>
      <c r="B16" s="3">
        <v>44042</v>
      </c>
      <c r="C16" s="2" t="s">
        <v>630</v>
      </c>
      <c r="D16" s="2" t="s">
        <v>74</v>
      </c>
      <c r="E16" s="2" t="s">
        <v>75</v>
      </c>
      <c r="F16" s="2" t="s">
        <v>76</v>
      </c>
      <c r="G16" s="2" t="s">
        <v>634</v>
      </c>
      <c r="H16" s="2" t="s">
        <v>635</v>
      </c>
      <c r="I16" s="2" t="s">
        <v>77</v>
      </c>
      <c r="J16" s="2" t="s">
        <v>32</v>
      </c>
      <c r="K16" s="2" t="s">
        <v>761</v>
      </c>
      <c r="L16" s="2" t="s">
        <v>762</v>
      </c>
      <c r="M16" s="3">
        <v>44046</v>
      </c>
      <c r="N16" s="3">
        <v>44085</v>
      </c>
      <c r="O16" s="4">
        <v>223.82599999999999</v>
      </c>
      <c r="P16" s="2" t="s">
        <v>48</v>
      </c>
      <c r="Q16" s="2" t="s">
        <v>78</v>
      </c>
      <c r="R16" s="2" t="s">
        <v>79</v>
      </c>
      <c r="S16" s="2" t="s">
        <v>422</v>
      </c>
      <c r="T16" s="2" t="s">
        <v>36</v>
      </c>
      <c r="U16" s="2" t="s">
        <v>37</v>
      </c>
      <c r="V16" s="2" t="s">
        <v>73</v>
      </c>
      <c r="W16" s="2" t="s">
        <v>636</v>
      </c>
      <c r="X16" s="2" t="s">
        <v>412</v>
      </c>
      <c r="Y16" s="2" t="s">
        <v>423</v>
      </c>
      <c r="Z16" s="2" t="s">
        <v>412</v>
      </c>
      <c r="AA16" s="2" t="s">
        <v>39</v>
      </c>
      <c r="AB16" s="2" t="s">
        <v>414</v>
      </c>
    </row>
    <row r="17" spans="1:28" x14ac:dyDescent="0.2">
      <c r="A17" s="2" t="s">
        <v>427</v>
      </c>
      <c r="B17" s="3">
        <v>44042</v>
      </c>
      <c r="C17" s="2" t="s">
        <v>544</v>
      </c>
      <c r="D17" s="2" t="s">
        <v>91</v>
      </c>
      <c r="E17" s="2" t="s">
        <v>347</v>
      </c>
      <c r="F17" s="2" t="s">
        <v>348</v>
      </c>
      <c r="G17" s="2" t="s">
        <v>545</v>
      </c>
      <c r="H17" s="2" t="s">
        <v>546</v>
      </c>
      <c r="I17" s="2" t="s">
        <v>349</v>
      </c>
      <c r="J17" s="2" t="s">
        <v>58</v>
      </c>
      <c r="K17" s="2" t="s">
        <v>245</v>
      </c>
      <c r="L17" s="2" t="s">
        <v>547</v>
      </c>
      <c r="M17" s="3">
        <v>44046</v>
      </c>
      <c r="N17" s="3">
        <v>44057</v>
      </c>
      <c r="O17" s="4">
        <v>103.4</v>
      </c>
      <c r="P17" s="2" t="s">
        <v>48</v>
      </c>
      <c r="Q17" s="2" t="s">
        <v>100</v>
      </c>
      <c r="R17" s="2" t="s">
        <v>101</v>
      </c>
      <c r="S17" s="2" t="s">
        <v>419</v>
      </c>
      <c r="T17" s="2" t="s">
        <v>72</v>
      </c>
      <c r="U17" s="2" t="s">
        <v>37</v>
      </c>
      <c r="V17" s="2" t="s">
        <v>155</v>
      </c>
      <c r="W17" s="2" t="s">
        <v>548</v>
      </c>
      <c r="X17" s="2" t="s">
        <v>412</v>
      </c>
      <c r="Y17" s="2" t="s">
        <v>454</v>
      </c>
      <c r="Z17" s="2" t="s">
        <v>549</v>
      </c>
      <c r="AA17" s="2" t="s">
        <v>39</v>
      </c>
      <c r="AB17" s="2" t="s">
        <v>414</v>
      </c>
    </row>
    <row r="18" spans="1:28" x14ac:dyDescent="0.2">
      <c r="A18" s="2" t="s">
        <v>427</v>
      </c>
      <c r="B18" s="3">
        <v>44027</v>
      </c>
      <c r="C18" s="2" t="s">
        <v>544</v>
      </c>
      <c r="D18" s="2" t="s">
        <v>91</v>
      </c>
      <c r="E18" s="2" t="s">
        <v>350</v>
      </c>
      <c r="F18" s="2" t="s">
        <v>351</v>
      </c>
      <c r="G18" s="2" t="s">
        <v>550</v>
      </c>
      <c r="H18" s="2" t="s">
        <v>551</v>
      </c>
      <c r="I18" s="2" t="s">
        <v>77</v>
      </c>
      <c r="J18" s="2" t="s">
        <v>32</v>
      </c>
      <c r="K18" s="2" t="s">
        <v>245</v>
      </c>
      <c r="L18" s="2" t="s">
        <v>547</v>
      </c>
      <c r="M18" s="3">
        <v>44046</v>
      </c>
      <c r="N18" s="3">
        <v>44057</v>
      </c>
      <c r="O18" s="4">
        <v>99.679000000000002</v>
      </c>
      <c r="P18" s="2" t="s">
        <v>48</v>
      </c>
      <c r="Q18" s="2" t="s">
        <v>100</v>
      </c>
      <c r="R18" s="2" t="s">
        <v>101</v>
      </c>
      <c r="S18" s="2" t="s">
        <v>419</v>
      </c>
      <c r="T18" s="2" t="s">
        <v>36</v>
      </c>
      <c r="U18" s="2" t="s">
        <v>37</v>
      </c>
      <c r="V18" s="2" t="s">
        <v>155</v>
      </c>
      <c r="W18" s="2" t="s">
        <v>552</v>
      </c>
      <c r="X18" s="2" t="s">
        <v>412</v>
      </c>
      <c r="Y18" s="2" t="s">
        <v>437</v>
      </c>
      <c r="Z18" s="2" t="s">
        <v>412</v>
      </c>
      <c r="AA18" s="2" t="s">
        <v>39</v>
      </c>
      <c r="AB18" s="2" t="s">
        <v>414</v>
      </c>
    </row>
    <row r="19" spans="1:28" x14ac:dyDescent="0.2">
      <c r="A19" s="2" t="s">
        <v>427</v>
      </c>
      <c r="B19" s="3">
        <v>44032</v>
      </c>
      <c r="C19" s="2" t="s">
        <v>544</v>
      </c>
      <c r="D19" s="2" t="s">
        <v>91</v>
      </c>
      <c r="E19" s="2" t="s">
        <v>553</v>
      </c>
      <c r="F19" s="2" t="s">
        <v>554</v>
      </c>
      <c r="G19" s="2" t="s">
        <v>555</v>
      </c>
      <c r="H19" s="2" t="s">
        <v>556</v>
      </c>
      <c r="I19" s="2" t="s">
        <v>77</v>
      </c>
      <c r="J19" s="2" t="s">
        <v>32</v>
      </c>
      <c r="K19" s="2" t="s">
        <v>245</v>
      </c>
      <c r="L19" s="2" t="s">
        <v>547</v>
      </c>
      <c r="M19" s="3">
        <v>44046</v>
      </c>
      <c r="N19" s="3">
        <v>44057</v>
      </c>
      <c r="O19" s="4">
        <v>299.24599999999998</v>
      </c>
      <c r="P19" s="2" t="s">
        <v>48</v>
      </c>
      <c r="Q19" s="2" t="s">
        <v>100</v>
      </c>
      <c r="R19" s="2" t="s">
        <v>101</v>
      </c>
      <c r="S19" s="2" t="s">
        <v>425</v>
      </c>
      <c r="T19" s="2" t="s">
        <v>36</v>
      </c>
      <c r="U19" s="2" t="s">
        <v>37</v>
      </c>
      <c r="V19" s="2" t="s">
        <v>155</v>
      </c>
      <c r="W19" s="2" t="s">
        <v>557</v>
      </c>
      <c r="X19" s="2" t="s">
        <v>412</v>
      </c>
      <c r="Y19" s="2" t="s">
        <v>426</v>
      </c>
      <c r="Z19" s="2" t="s">
        <v>412</v>
      </c>
      <c r="AA19" s="2" t="s">
        <v>39</v>
      </c>
      <c r="AB19" s="2" t="s">
        <v>414</v>
      </c>
    </row>
    <row r="20" spans="1:28" x14ac:dyDescent="0.2">
      <c r="A20" s="2" t="s">
        <v>427</v>
      </c>
      <c r="B20" s="3">
        <v>44032</v>
      </c>
      <c r="C20" s="2" t="s">
        <v>544</v>
      </c>
      <c r="D20" s="2" t="s">
        <v>102</v>
      </c>
      <c r="E20" s="2" t="s">
        <v>398</v>
      </c>
      <c r="F20" s="2" t="s">
        <v>399</v>
      </c>
      <c r="G20" s="2" t="s">
        <v>558</v>
      </c>
      <c r="H20" s="2" t="s">
        <v>559</v>
      </c>
      <c r="I20" s="2" t="s">
        <v>400</v>
      </c>
      <c r="J20" s="2" t="s">
        <v>58</v>
      </c>
      <c r="K20" s="2" t="s">
        <v>245</v>
      </c>
      <c r="L20" s="2" t="s">
        <v>547</v>
      </c>
      <c r="M20" s="3">
        <v>44046</v>
      </c>
      <c r="N20" s="3">
        <v>44065</v>
      </c>
      <c r="O20" s="4">
        <v>76.841999999999999</v>
      </c>
      <c r="P20" s="2" t="s">
        <v>48</v>
      </c>
      <c r="Q20" s="2" t="s">
        <v>401</v>
      </c>
      <c r="R20" s="2" t="s">
        <v>402</v>
      </c>
      <c r="S20" s="2" t="s">
        <v>419</v>
      </c>
      <c r="T20" s="2" t="s">
        <v>140</v>
      </c>
      <c r="U20" s="2" t="s">
        <v>37</v>
      </c>
      <c r="V20" s="2" t="s">
        <v>155</v>
      </c>
      <c r="W20" s="2" t="s">
        <v>560</v>
      </c>
      <c r="X20" s="2" t="s">
        <v>412</v>
      </c>
      <c r="Y20" s="2" t="s">
        <v>433</v>
      </c>
      <c r="Z20" s="2" t="s">
        <v>561</v>
      </c>
      <c r="AA20" s="2" t="s">
        <v>39</v>
      </c>
      <c r="AB20" s="2" t="s">
        <v>414</v>
      </c>
    </row>
    <row r="21" spans="1:28" x14ac:dyDescent="0.2">
      <c r="A21" s="2" t="s">
        <v>427</v>
      </c>
      <c r="B21" s="3">
        <v>44017</v>
      </c>
      <c r="C21" s="2" t="s">
        <v>544</v>
      </c>
      <c r="D21" s="2" t="s">
        <v>44</v>
      </c>
      <c r="E21" s="2" t="s">
        <v>45</v>
      </c>
      <c r="F21" s="2" t="s">
        <v>299</v>
      </c>
      <c r="G21" s="2" t="s">
        <v>562</v>
      </c>
      <c r="H21" s="2" t="s">
        <v>563</v>
      </c>
      <c r="I21" s="2" t="s">
        <v>300</v>
      </c>
      <c r="J21" s="2" t="s">
        <v>58</v>
      </c>
      <c r="K21" s="2" t="s">
        <v>245</v>
      </c>
      <c r="L21" s="2" t="s">
        <v>547</v>
      </c>
      <c r="M21" s="3">
        <v>44046</v>
      </c>
      <c r="N21" s="3">
        <v>44068</v>
      </c>
      <c r="O21" s="4">
        <v>20.347999999999999</v>
      </c>
      <c r="P21" s="2" t="s">
        <v>48</v>
      </c>
      <c r="Q21" s="2" t="s">
        <v>85</v>
      </c>
      <c r="R21" s="2" t="s">
        <v>301</v>
      </c>
      <c r="S21" s="2" t="s">
        <v>450</v>
      </c>
      <c r="T21" s="2" t="s">
        <v>42</v>
      </c>
      <c r="U21" s="2" t="s">
        <v>37</v>
      </c>
      <c r="V21" s="2" t="s">
        <v>155</v>
      </c>
      <c r="W21" s="2" t="s">
        <v>564</v>
      </c>
      <c r="X21" s="2" t="s">
        <v>412</v>
      </c>
      <c r="Y21" s="2" t="s">
        <v>420</v>
      </c>
      <c r="Z21" s="2" t="s">
        <v>53</v>
      </c>
      <c r="AA21" s="2" t="s">
        <v>39</v>
      </c>
      <c r="AB21" s="2" t="s">
        <v>414</v>
      </c>
    </row>
    <row r="22" spans="1:28" x14ac:dyDescent="0.2">
      <c r="A22" s="2" t="s">
        <v>427</v>
      </c>
      <c r="B22" s="3">
        <v>44017</v>
      </c>
      <c r="C22" s="2" t="s">
        <v>544</v>
      </c>
      <c r="D22" s="2" t="s">
        <v>44</v>
      </c>
      <c r="E22" s="2" t="s">
        <v>45</v>
      </c>
      <c r="F22" s="2" t="s">
        <v>299</v>
      </c>
      <c r="G22" s="2" t="s">
        <v>565</v>
      </c>
      <c r="H22" s="2" t="s">
        <v>566</v>
      </c>
      <c r="I22" s="2" t="s">
        <v>567</v>
      </c>
      <c r="J22" s="2" t="s">
        <v>58</v>
      </c>
      <c r="K22" s="2" t="s">
        <v>245</v>
      </c>
      <c r="L22" s="2" t="s">
        <v>547</v>
      </c>
      <c r="M22" s="3">
        <v>44046</v>
      </c>
      <c r="N22" s="3">
        <v>44068</v>
      </c>
      <c r="O22" s="4">
        <v>102.004</v>
      </c>
      <c r="P22" s="2" t="s">
        <v>48</v>
      </c>
      <c r="Q22" s="2" t="s">
        <v>85</v>
      </c>
      <c r="R22" s="2" t="s">
        <v>301</v>
      </c>
      <c r="S22" s="2" t="s">
        <v>415</v>
      </c>
      <c r="T22" s="2" t="s">
        <v>42</v>
      </c>
      <c r="U22" s="2" t="s">
        <v>37</v>
      </c>
      <c r="V22" s="2" t="s">
        <v>155</v>
      </c>
      <c r="W22" s="2" t="s">
        <v>568</v>
      </c>
      <c r="X22" s="2" t="s">
        <v>412</v>
      </c>
      <c r="Y22" s="2" t="s">
        <v>467</v>
      </c>
      <c r="Z22" s="2" t="s">
        <v>53</v>
      </c>
      <c r="AA22" s="2" t="s">
        <v>39</v>
      </c>
      <c r="AB22" s="2" t="s">
        <v>414</v>
      </c>
    </row>
    <row r="23" spans="1:28" hidden="1" x14ac:dyDescent="0.2">
      <c r="A23" s="2" t="s">
        <v>431</v>
      </c>
      <c r="B23" s="3">
        <v>44027</v>
      </c>
      <c r="C23" s="2" t="s">
        <v>661</v>
      </c>
      <c r="D23" s="2" t="s">
        <v>102</v>
      </c>
      <c r="E23" s="2" t="s">
        <v>662</v>
      </c>
      <c r="F23" s="2" t="s">
        <v>663</v>
      </c>
      <c r="G23" s="2" t="s">
        <v>664</v>
      </c>
      <c r="H23" s="2" t="s">
        <v>665</v>
      </c>
      <c r="I23" s="2" t="s">
        <v>112</v>
      </c>
      <c r="J23" s="2" t="s">
        <v>32</v>
      </c>
      <c r="K23" s="2" t="s">
        <v>526</v>
      </c>
      <c r="L23" s="2" t="s">
        <v>527</v>
      </c>
      <c r="M23" s="3">
        <v>44047</v>
      </c>
      <c r="N23" s="3">
        <v>44054</v>
      </c>
      <c r="O23" s="4">
        <v>400.12299999999999</v>
      </c>
      <c r="P23" s="2" t="s">
        <v>114</v>
      </c>
      <c r="Q23" s="2" t="s">
        <v>131</v>
      </c>
      <c r="R23" s="2" t="s">
        <v>132</v>
      </c>
      <c r="S23" s="2" t="s">
        <v>439</v>
      </c>
      <c r="T23" s="2" t="s">
        <v>117</v>
      </c>
      <c r="U23" s="2" t="s">
        <v>37</v>
      </c>
      <c r="V23" s="2" t="s">
        <v>118</v>
      </c>
      <c r="W23" s="2" t="s">
        <v>412</v>
      </c>
      <c r="X23" s="2" t="s">
        <v>412</v>
      </c>
      <c r="Y23" s="2" t="s">
        <v>766</v>
      </c>
      <c r="Z23" s="2" t="s">
        <v>412</v>
      </c>
      <c r="AA23" s="2" t="s">
        <v>39</v>
      </c>
      <c r="AB23" s="2" t="s">
        <v>441</v>
      </c>
    </row>
    <row r="24" spans="1:28" hidden="1" x14ac:dyDescent="0.2">
      <c r="A24" s="2" t="s">
        <v>431</v>
      </c>
      <c r="B24" s="3">
        <v>44042</v>
      </c>
      <c r="C24" s="2" t="s">
        <v>661</v>
      </c>
      <c r="D24" s="2" t="s">
        <v>28</v>
      </c>
      <c r="E24" s="2" t="s">
        <v>29</v>
      </c>
      <c r="F24" s="2" t="s">
        <v>30</v>
      </c>
      <c r="G24" s="2" t="s">
        <v>666</v>
      </c>
      <c r="H24" s="2" t="s">
        <v>667</v>
      </c>
      <c r="I24" s="2" t="s">
        <v>112</v>
      </c>
      <c r="J24" s="2" t="s">
        <v>32</v>
      </c>
      <c r="K24" s="2" t="s">
        <v>526</v>
      </c>
      <c r="L24" s="2" t="s">
        <v>527</v>
      </c>
      <c r="M24" s="3">
        <v>44047</v>
      </c>
      <c r="N24" s="3">
        <v>44077</v>
      </c>
      <c r="O24" s="4">
        <v>498.71499999999997</v>
      </c>
      <c r="P24" s="2" t="s">
        <v>114</v>
      </c>
      <c r="Q24" s="2" t="s">
        <v>115</v>
      </c>
      <c r="R24" s="2" t="s">
        <v>332</v>
      </c>
      <c r="S24" s="2" t="s">
        <v>439</v>
      </c>
      <c r="T24" s="2" t="s">
        <v>117</v>
      </c>
      <c r="U24" s="2" t="s">
        <v>37</v>
      </c>
      <c r="V24" s="2" t="s">
        <v>118</v>
      </c>
      <c r="W24" s="2" t="s">
        <v>412</v>
      </c>
      <c r="X24" s="2" t="s">
        <v>412</v>
      </c>
      <c r="Y24" s="2" t="s">
        <v>767</v>
      </c>
      <c r="Z24" s="2" t="s">
        <v>412</v>
      </c>
      <c r="AA24" s="2" t="s">
        <v>39</v>
      </c>
      <c r="AB24" s="2" t="s">
        <v>441</v>
      </c>
    </row>
    <row r="25" spans="1:28" hidden="1" x14ac:dyDescent="0.2">
      <c r="A25" s="2" t="s">
        <v>431</v>
      </c>
      <c r="B25" s="3">
        <v>44042</v>
      </c>
      <c r="C25" s="2" t="s">
        <v>661</v>
      </c>
      <c r="D25" s="2" t="s">
        <v>28</v>
      </c>
      <c r="E25" s="2" t="s">
        <v>29</v>
      </c>
      <c r="F25" s="2" t="s">
        <v>30</v>
      </c>
      <c r="G25" s="2" t="s">
        <v>668</v>
      </c>
      <c r="H25" s="2" t="s">
        <v>669</v>
      </c>
      <c r="I25" s="2" t="s">
        <v>112</v>
      </c>
      <c r="J25" s="2" t="s">
        <v>32</v>
      </c>
      <c r="K25" s="2" t="s">
        <v>526</v>
      </c>
      <c r="L25" s="2" t="s">
        <v>527</v>
      </c>
      <c r="M25" s="3">
        <v>44047</v>
      </c>
      <c r="N25" s="3">
        <v>44077</v>
      </c>
      <c r="O25" s="4">
        <v>501.11</v>
      </c>
      <c r="P25" s="2" t="s">
        <v>114</v>
      </c>
      <c r="Q25" s="2" t="s">
        <v>115</v>
      </c>
      <c r="R25" s="2" t="s">
        <v>332</v>
      </c>
      <c r="S25" s="2" t="s">
        <v>439</v>
      </c>
      <c r="T25" s="2" t="s">
        <v>117</v>
      </c>
      <c r="U25" s="2" t="s">
        <v>37</v>
      </c>
      <c r="V25" s="2" t="s">
        <v>118</v>
      </c>
      <c r="W25" s="2" t="s">
        <v>412</v>
      </c>
      <c r="X25" s="2" t="s">
        <v>412</v>
      </c>
      <c r="Y25" s="2" t="s">
        <v>767</v>
      </c>
      <c r="Z25" s="2" t="s">
        <v>412</v>
      </c>
      <c r="AA25" s="2" t="s">
        <v>39</v>
      </c>
      <c r="AB25" s="2" t="s">
        <v>441</v>
      </c>
    </row>
    <row r="26" spans="1:28" hidden="1" x14ac:dyDescent="0.2">
      <c r="A26" s="2" t="s">
        <v>431</v>
      </c>
      <c r="B26" s="3">
        <v>44042</v>
      </c>
      <c r="C26" s="2" t="s">
        <v>661</v>
      </c>
      <c r="D26" s="2" t="s">
        <v>28</v>
      </c>
      <c r="E26" s="2" t="s">
        <v>29</v>
      </c>
      <c r="F26" s="2" t="s">
        <v>30</v>
      </c>
      <c r="G26" s="2" t="s">
        <v>670</v>
      </c>
      <c r="H26" s="2" t="s">
        <v>671</v>
      </c>
      <c r="I26" s="2" t="s">
        <v>112</v>
      </c>
      <c r="J26" s="2" t="s">
        <v>32</v>
      </c>
      <c r="K26" s="2" t="s">
        <v>526</v>
      </c>
      <c r="L26" s="2" t="s">
        <v>527</v>
      </c>
      <c r="M26" s="3">
        <v>44047</v>
      </c>
      <c r="N26" s="3">
        <v>44077</v>
      </c>
      <c r="O26" s="4">
        <v>501.09300000000002</v>
      </c>
      <c r="P26" s="2" t="s">
        <v>114</v>
      </c>
      <c r="Q26" s="2" t="s">
        <v>115</v>
      </c>
      <c r="R26" s="2" t="s">
        <v>332</v>
      </c>
      <c r="S26" s="2" t="s">
        <v>439</v>
      </c>
      <c r="T26" s="2" t="s">
        <v>117</v>
      </c>
      <c r="U26" s="2" t="s">
        <v>37</v>
      </c>
      <c r="V26" s="2" t="s">
        <v>118</v>
      </c>
      <c r="W26" s="2" t="s">
        <v>412</v>
      </c>
      <c r="X26" s="2" t="s">
        <v>412</v>
      </c>
      <c r="Y26" s="2" t="s">
        <v>767</v>
      </c>
      <c r="Z26" s="2" t="s">
        <v>412</v>
      </c>
      <c r="AA26" s="2" t="s">
        <v>39</v>
      </c>
      <c r="AB26" s="2" t="s">
        <v>441</v>
      </c>
    </row>
    <row r="27" spans="1:28" hidden="1" x14ac:dyDescent="0.2">
      <c r="A27" s="2" t="s">
        <v>431</v>
      </c>
      <c r="B27" s="3">
        <v>44042</v>
      </c>
      <c r="C27" s="2" t="s">
        <v>661</v>
      </c>
      <c r="D27" s="2" t="s">
        <v>28</v>
      </c>
      <c r="E27" s="2" t="s">
        <v>29</v>
      </c>
      <c r="F27" s="2" t="s">
        <v>30</v>
      </c>
      <c r="G27" s="2" t="s">
        <v>672</v>
      </c>
      <c r="H27" s="2" t="s">
        <v>673</v>
      </c>
      <c r="I27" s="2" t="s">
        <v>112</v>
      </c>
      <c r="J27" s="2" t="s">
        <v>32</v>
      </c>
      <c r="K27" s="2" t="s">
        <v>526</v>
      </c>
      <c r="L27" s="2" t="s">
        <v>527</v>
      </c>
      <c r="M27" s="3">
        <v>44047</v>
      </c>
      <c r="N27" s="3">
        <v>44077</v>
      </c>
      <c r="O27" s="4">
        <v>501.178</v>
      </c>
      <c r="P27" s="2" t="s">
        <v>114</v>
      </c>
      <c r="Q27" s="2" t="s">
        <v>115</v>
      </c>
      <c r="R27" s="2" t="s">
        <v>332</v>
      </c>
      <c r="S27" s="2" t="s">
        <v>439</v>
      </c>
      <c r="T27" s="2" t="s">
        <v>117</v>
      </c>
      <c r="U27" s="2" t="s">
        <v>37</v>
      </c>
      <c r="V27" s="2" t="s">
        <v>118</v>
      </c>
      <c r="W27" s="2" t="s">
        <v>412</v>
      </c>
      <c r="X27" s="2" t="s">
        <v>412</v>
      </c>
      <c r="Y27" s="2" t="s">
        <v>767</v>
      </c>
      <c r="Z27" s="2" t="s">
        <v>412</v>
      </c>
      <c r="AA27" s="2" t="s">
        <v>39</v>
      </c>
      <c r="AB27" s="2" t="s">
        <v>441</v>
      </c>
    </row>
    <row r="28" spans="1:28" hidden="1" x14ac:dyDescent="0.2">
      <c r="A28" s="2" t="s">
        <v>431</v>
      </c>
      <c r="B28" s="3">
        <v>44017</v>
      </c>
      <c r="C28" s="2" t="s">
        <v>661</v>
      </c>
      <c r="D28" s="2" t="s">
        <v>91</v>
      </c>
      <c r="E28" s="2" t="s">
        <v>191</v>
      </c>
      <c r="F28" s="2" t="s">
        <v>192</v>
      </c>
      <c r="G28" s="2" t="s">
        <v>674</v>
      </c>
      <c r="H28" s="2" t="s">
        <v>675</v>
      </c>
      <c r="I28" s="2" t="s">
        <v>112</v>
      </c>
      <c r="J28" s="2" t="s">
        <v>32</v>
      </c>
      <c r="K28" s="2" t="s">
        <v>526</v>
      </c>
      <c r="L28" s="2" t="s">
        <v>527</v>
      </c>
      <c r="M28" s="3">
        <v>44047</v>
      </c>
      <c r="N28" s="3">
        <v>44058</v>
      </c>
      <c r="O28" s="4">
        <v>259.34500000000003</v>
      </c>
      <c r="P28" s="2" t="s">
        <v>114</v>
      </c>
      <c r="Q28" s="2" t="s">
        <v>182</v>
      </c>
      <c r="R28" s="2" t="s">
        <v>183</v>
      </c>
      <c r="S28" s="2" t="s">
        <v>439</v>
      </c>
      <c r="T28" s="2" t="s">
        <v>117</v>
      </c>
      <c r="U28" s="2" t="s">
        <v>37</v>
      </c>
      <c r="V28" s="2" t="s">
        <v>118</v>
      </c>
      <c r="W28" s="2" t="s">
        <v>412</v>
      </c>
      <c r="X28" s="2" t="s">
        <v>412</v>
      </c>
      <c r="Y28" s="2" t="s">
        <v>768</v>
      </c>
      <c r="Z28" s="2" t="s">
        <v>412</v>
      </c>
      <c r="AA28" s="2" t="s">
        <v>39</v>
      </c>
      <c r="AB28" s="2" t="s">
        <v>441</v>
      </c>
    </row>
    <row r="29" spans="1:28" hidden="1" x14ac:dyDescent="0.2">
      <c r="A29" s="2" t="s">
        <v>431</v>
      </c>
      <c r="B29" s="3">
        <v>44027</v>
      </c>
      <c r="C29" s="2" t="s">
        <v>661</v>
      </c>
      <c r="D29" s="2" t="s">
        <v>102</v>
      </c>
      <c r="E29" s="2" t="s">
        <v>322</v>
      </c>
      <c r="F29" s="2" t="s">
        <v>331</v>
      </c>
      <c r="G29" s="2" t="s">
        <v>677</v>
      </c>
      <c r="H29" s="2" t="s">
        <v>678</v>
      </c>
      <c r="I29" s="2" t="s">
        <v>112</v>
      </c>
      <c r="J29" s="2" t="s">
        <v>32</v>
      </c>
      <c r="K29" s="2" t="s">
        <v>526</v>
      </c>
      <c r="L29" s="2" t="s">
        <v>527</v>
      </c>
      <c r="M29" s="3">
        <v>44047</v>
      </c>
      <c r="N29" s="3">
        <v>44054</v>
      </c>
      <c r="O29" s="4">
        <v>48.584000000000003</v>
      </c>
      <c r="P29" s="2" t="s">
        <v>114</v>
      </c>
      <c r="Q29" s="2" t="s">
        <v>131</v>
      </c>
      <c r="R29" s="2" t="s">
        <v>132</v>
      </c>
      <c r="S29" s="2" t="s">
        <v>439</v>
      </c>
      <c r="T29" s="2" t="s">
        <v>117</v>
      </c>
      <c r="U29" s="2" t="s">
        <v>37</v>
      </c>
      <c r="V29" s="2" t="s">
        <v>118</v>
      </c>
      <c r="W29" s="2" t="s">
        <v>412</v>
      </c>
      <c r="X29" s="2" t="s">
        <v>412</v>
      </c>
      <c r="Y29" s="2" t="s">
        <v>457</v>
      </c>
      <c r="Z29" s="2" t="s">
        <v>412</v>
      </c>
      <c r="AA29" s="2" t="s">
        <v>39</v>
      </c>
      <c r="AB29" s="2" t="s">
        <v>441</v>
      </c>
    </row>
    <row r="30" spans="1:28" hidden="1" x14ac:dyDescent="0.2">
      <c r="A30" s="2" t="s">
        <v>431</v>
      </c>
      <c r="B30" s="3">
        <v>44042</v>
      </c>
      <c r="C30" s="2" t="s">
        <v>661</v>
      </c>
      <c r="D30" s="2" t="s">
        <v>28</v>
      </c>
      <c r="E30" s="2" t="s">
        <v>129</v>
      </c>
      <c r="F30" s="2" t="s">
        <v>130</v>
      </c>
      <c r="G30" s="2" t="s">
        <v>679</v>
      </c>
      <c r="H30" s="2" t="s">
        <v>680</v>
      </c>
      <c r="I30" s="2" t="s">
        <v>112</v>
      </c>
      <c r="J30" s="2" t="s">
        <v>32</v>
      </c>
      <c r="K30" s="2" t="s">
        <v>526</v>
      </c>
      <c r="L30" s="2" t="s">
        <v>527</v>
      </c>
      <c r="M30" s="3">
        <v>44047</v>
      </c>
      <c r="N30" s="3">
        <v>44057</v>
      </c>
      <c r="O30" s="4">
        <v>499.06299999999999</v>
      </c>
      <c r="P30" s="2" t="s">
        <v>114</v>
      </c>
      <c r="Q30" s="2" t="s">
        <v>85</v>
      </c>
      <c r="R30" s="2" t="s">
        <v>86</v>
      </c>
      <c r="S30" s="2" t="s">
        <v>439</v>
      </c>
      <c r="T30" s="2" t="s">
        <v>117</v>
      </c>
      <c r="U30" s="2" t="s">
        <v>37</v>
      </c>
      <c r="V30" s="2" t="s">
        <v>118</v>
      </c>
      <c r="W30" s="2" t="s">
        <v>412</v>
      </c>
      <c r="X30" s="2" t="s">
        <v>412</v>
      </c>
      <c r="Y30" s="2" t="s">
        <v>767</v>
      </c>
      <c r="Z30" s="2" t="s">
        <v>412</v>
      </c>
      <c r="AA30" s="2" t="s">
        <v>39</v>
      </c>
      <c r="AB30" s="2" t="s">
        <v>441</v>
      </c>
    </row>
    <row r="31" spans="1:28" hidden="1" x14ac:dyDescent="0.2">
      <c r="A31" s="2" t="s">
        <v>431</v>
      </c>
      <c r="B31" s="3">
        <v>44042</v>
      </c>
      <c r="C31" s="2" t="s">
        <v>661</v>
      </c>
      <c r="D31" s="2" t="s">
        <v>28</v>
      </c>
      <c r="E31" s="2" t="s">
        <v>129</v>
      </c>
      <c r="F31" s="2" t="s">
        <v>130</v>
      </c>
      <c r="G31" s="2" t="s">
        <v>681</v>
      </c>
      <c r="H31" s="2" t="s">
        <v>682</v>
      </c>
      <c r="I31" s="2" t="s">
        <v>112</v>
      </c>
      <c r="J31" s="2" t="s">
        <v>32</v>
      </c>
      <c r="K31" s="2" t="s">
        <v>526</v>
      </c>
      <c r="L31" s="2" t="s">
        <v>527</v>
      </c>
      <c r="M31" s="3">
        <v>44047</v>
      </c>
      <c r="N31" s="3">
        <v>44057</v>
      </c>
      <c r="O31" s="4">
        <v>498.70499999999998</v>
      </c>
      <c r="P31" s="2" t="s">
        <v>114</v>
      </c>
      <c r="Q31" s="2" t="s">
        <v>85</v>
      </c>
      <c r="R31" s="2" t="s">
        <v>86</v>
      </c>
      <c r="S31" s="2" t="s">
        <v>439</v>
      </c>
      <c r="T31" s="2" t="s">
        <v>117</v>
      </c>
      <c r="U31" s="2" t="s">
        <v>37</v>
      </c>
      <c r="V31" s="2" t="s">
        <v>118</v>
      </c>
      <c r="W31" s="2" t="s">
        <v>412</v>
      </c>
      <c r="X31" s="2" t="s">
        <v>412</v>
      </c>
      <c r="Y31" s="2" t="s">
        <v>767</v>
      </c>
      <c r="Z31" s="2" t="s">
        <v>412</v>
      </c>
      <c r="AA31" s="2" t="s">
        <v>39</v>
      </c>
      <c r="AB31" s="2" t="s">
        <v>441</v>
      </c>
    </row>
    <row r="32" spans="1:28" hidden="1" x14ac:dyDescent="0.2">
      <c r="A32" s="2" t="s">
        <v>431</v>
      </c>
      <c r="B32" s="3">
        <v>44042</v>
      </c>
      <c r="C32" s="2" t="s">
        <v>661</v>
      </c>
      <c r="D32" s="2" t="s">
        <v>28</v>
      </c>
      <c r="E32" s="2" t="s">
        <v>129</v>
      </c>
      <c r="F32" s="2" t="s">
        <v>130</v>
      </c>
      <c r="G32" s="2" t="s">
        <v>683</v>
      </c>
      <c r="H32" s="2" t="s">
        <v>684</v>
      </c>
      <c r="I32" s="2" t="s">
        <v>112</v>
      </c>
      <c r="J32" s="2" t="s">
        <v>32</v>
      </c>
      <c r="K32" s="2" t="s">
        <v>526</v>
      </c>
      <c r="L32" s="2" t="s">
        <v>527</v>
      </c>
      <c r="M32" s="3">
        <v>44047</v>
      </c>
      <c r="N32" s="3">
        <v>44057</v>
      </c>
      <c r="O32" s="4">
        <v>498.762</v>
      </c>
      <c r="P32" s="2" t="s">
        <v>114</v>
      </c>
      <c r="Q32" s="2" t="s">
        <v>85</v>
      </c>
      <c r="R32" s="2" t="s">
        <v>86</v>
      </c>
      <c r="S32" s="2" t="s">
        <v>439</v>
      </c>
      <c r="T32" s="2" t="s">
        <v>117</v>
      </c>
      <c r="U32" s="2" t="s">
        <v>37</v>
      </c>
      <c r="V32" s="2" t="s">
        <v>118</v>
      </c>
      <c r="W32" s="2" t="s">
        <v>412</v>
      </c>
      <c r="X32" s="2" t="s">
        <v>412</v>
      </c>
      <c r="Y32" s="2" t="s">
        <v>767</v>
      </c>
      <c r="Z32" s="2" t="s">
        <v>412</v>
      </c>
      <c r="AA32" s="2" t="s">
        <v>39</v>
      </c>
      <c r="AB32" s="2" t="s">
        <v>441</v>
      </c>
    </row>
    <row r="33" spans="1:28" hidden="1" x14ac:dyDescent="0.2">
      <c r="A33" s="2" t="s">
        <v>431</v>
      </c>
      <c r="B33" s="3">
        <v>44042</v>
      </c>
      <c r="C33" s="2" t="s">
        <v>661</v>
      </c>
      <c r="D33" s="2" t="s">
        <v>28</v>
      </c>
      <c r="E33" s="2" t="s">
        <v>129</v>
      </c>
      <c r="F33" s="2" t="s">
        <v>130</v>
      </c>
      <c r="G33" s="2" t="s">
        <v>685</v>
      </c>
      <c r="H33" s="2" t="s">
        <v>686</v>
      </c>
      <c r="I33" s="2" t="s">
        <v>112</v>
      </c>
      <c r="J33" s="2" t="s">
        <v>32</v>
      </c>
      <c r="K33" s="2" t="s">
        <v>526</v>
      </c>
      <c r="L33" s="2" t="s">
        <v>527</v>
      </c>
      <c r="M33" s="3">
        <v>44047</v>
      </c>
      <c r="N33" s="3">
        <v>44057</v>
      </c>
      <c r="O33" s="4">
        <v>498.73500000000001</v>
      </c>
      <c r="P33" s="2" t="s">
        <v>114</v>
      </c>
      <c r="Q33" s="2" t="s">
        <v>85</v>
      </c>
      <c r="R33" s="2" t="s">
        <v>86</v>
      </c>
      <c r="S33" s="2" t="s">
        <v>439</v>
      </c>
      <c r="T33" s="2" t="s">
        <v>117</v>
      </c>
      <c r="U33" s="2" t="s">
        <v>37</v>
      </c>
      <c r="V33" s="2" t="s">
        <v>118</v>
      </c>
      <c r="W33" s="2" t="s">
        <v>412</v>
      </c>
      <c r="X33" s="2" t="s">
        <v>412</v>
      </c>
      <c r="Y33" s="2" t="s">
        <v>767</v>
      </c>
      <c r="Z33" s="2" t="s">
        <v>412</v>
      </c>
      <c r="AA33" s="2" t="s">
        <v>39</v>
      </c>
      <c r="AB33" s="2" t="s">
        <v>441</v>
      </c>
    </row>
    <row r="34" spans="1:28" hidden="1" x14ac:dyDescent="0.2">
      <c r="A34" s="2" t="s">
        <v>431</v>
      </c>
      <c r="B34" s="3">
        <v>44027</v>
      </c>
      <c r="C34" s="2" t="s">
        <v>661</v>
      </c>
      <c r="D34" s="2" t="s">
        <v>102</v>
      </c>
      <c r="E34" s="2" t="s">
        <v>322</v>
      </c>
      <c r="F34" s="2" t="s">
        <v>687</v>
      </c>
      <c r="G34" s="2" t="s">
        <v>688</v>
      </c>
      <c r="H34" s="2" t="s">
        <v>689</v>
      </c>
      <c r="I34" s="2" t="s">
        <v>112</v>
      </c>
      <c r="J34" s="2" t="s">
        <v>32</v>
      </c>
      <c r="K34" s="2" t="s">
        <v>526</v>
      </c>
      <c r="L34" s="2" t="s">
        <v>527</v>
      </c>
      <c r="M34" s="3">
        <v>44047</v>
      </c>
      <c r="N34" s="3">
        <v>44054</v>
      </c>
      <c r="O34" s="4">
        <v>202.03700000000001</v>
      </c>
      <c r="P34" s="2" t="s">
        <v>114</v>
      </c>
      <c r="Q34" s="2" t="s">
        <v>131</v>
      </c>
      <c r="R34" s="2" t="s">
        <v>132</v>
      </c>
      <c r="S34" s="2" t="s">
        <v>439</v>
      </c>
      <c r="T34" s="2" t="s">
        <v>117</v>
      </c>
      <c r="U34" s="2" t="s">
        <v>37</v>
      </c>
      <c r="V34" s="2" t="s">
        <v>118</v>
      </c>
      <c r="W34" s="2" t="s">
        <v>412</v>
      </c>
      <c r="X34" s="2" t="s">
        <v>412</v>
      </c>
      <c r="Y34" s="2" t="s">
        <v>769</v>
      </c>
      <c r="Z34" s="2" t="s">
        <v>412</v>
      </c>
      <c r="AA34" s="2" t="s">
        <v>39</v>
      </c>
      <c r="AB34" s="2" t="s">
        <v>441</v>
      </c>
    </row>
    <row r="35" spans="1:28" hidden="1" x14ac:dyDescent="0.2">
      <c r="A35" s="2" t="s">
        <v>470</v>
      </c>
      <c r="B35" s="3">
        <v>44048</v>
      </c>
      <c r="C35" s="2" t="s">
        <v>770</v>
      </c>
      <c r="D35" s="2" t="s">
        <v>74</v>
      </c>
      <c r="E35" s="2" t="s">
        <v>75</v>
      </c>
      <c r="F35" s="2" t="s">
        <v>285</v>
      </c>
      <c r="G35" s="2" t="s">
        <v>771</v>
      </c>
      <c r="H35" s="2" t="s">
        <v>772</v>
      </c>
      <c r="I35" s="2" t="s">
        <v>491</v>
      </c>
      <c r="J35" s="2" t="s">
        <v>286</v>
      </c>
      <c r="K35" s="2" t="s">
        <v>773</v>
      </c>
      <c r="L35" s="2" t="s">
        <v>622</v>
      </c>
      <c r="M35" s="3">
        <v>44044</v>
      </c>
      <c r="N35" s="3">
        <v>44069</v>
      </c>
      <c r="O35" s="4">
        <v>19.577000000000002</v>
      </c>
      <c r="P35" s="2" t="s">
        <v>287</v>
      </c>
      <c r="Q35" s="2" t="s">
        <v>288</v>
      </c>
      <c r="R35" s="2" t="s">
        <v>289</v>
      </c>
      <c r="S35" s="2" t="s">
        <v>450</v>
      </c>
      <c r="T35" s="2" t="s">
        <v>87</v>
      </c>
      <c r="U35" s="2" t="s">
        <v>37</v>
      </c>
      <c r="V35" s="2" t="s">
        <v>65</v>
      </c>
      <c r="W35" s="2" t="s">
        <v>774</v>
      </c>
      <c r="X35" s="2" t="s">
        <v>412</v>
      </c>
      <c r="Y35" s="2" t="s">
        <v>477</v>
      </c>
      <c r="Z35" s="2" t="s">
        <v>592</v>
      </c>
      <c r="AA35" s="2" t="s">
        <v>109</v>
      </c>
      <c r="AB35" s="2" t="s">
        <v>414</v>
      </c>
    </row>
    <row r="36" spans="1:28" hidden="1" x14ac:dyDescent="0.2">
      <c r="A36" s="2" t="s">
        <v>470</v>
      </c>
      <c r="B36" s="3">
        <v>44048</v>
      </c>
      <c r="C36" s="2" t="s">
        <v>770</v>
      </c>
      <c r="D36" s="2" t="s">
        <v>74</v>
      </c>
      <c r="E36" s="2" t="s">
        <v>75</v>
      </c>
      <c r="F36" s="2" t="s">
        <v>285</v>
      </c>
      <c r="G36" s="2" t="s">
        <v>775</v>
      </c>
      <c r="H36" s="2" t="s">
        <v>776</v>
      </c>
      <c r="I36" s="2" t="s">
        <v>222</v>
      </c>
      <c r="J36" s="2" t="s">
        <v>223</v>
      </c>
      <c r="K36" s="2" t="s">
        <v>773</v>
      </c>
      <c r="L36" s="2" t="s">
        <v>622</v>
      </c>
      <c r="M36" s="3">
        <v>44044</v>
      </c>
      <c r="N36" s="3">
        <v>44069</v>
      </c>
      <c r="O36" s="4">
        <v>19.617000000000001</v>
      </c>
      <c r="P36" s="2" t="s">
        <v>287</v>
      </c>
      <c r="Q36" s="2" t="s">
        <v>288</v>
      </c>
      <c r="R36" s="2" t="s">
        <v>289</v>
      </c>
      <c r="S36" s="2" t="s">
        <v>450</v>
      </c>
      <c r="T36" s="2" t="s">
        <v>87</v>
      </c>
      <c r="U36" s="2" t="s">
        <v>37</v>
      </c>
      <c r="V36" s="2" t="s">
        <v>65</v>
      </c>
      <c r="W36" s="2" t="s">
        <v>777</v>
      </c>
      <c r="X36" s="2" t="s">
        <v>412</v>
      </c>
      <c r="Y36" s="2" t="s">
        <v>477</v>
      </c>
      <c r="Z36" s="2" t="s">
        <v>592</v>
      </c>
      <c r="AA36" s="2" t="s">
        <v>109</v>
      </c>
      <c r="AB36" s="2" t="s">
        <v>414</v>
      </c>
    </row>
    <row r="37" spans="1:28" hidden="1" x14ac:dyDescent="0.2">
      <c r="A37" s="2" t="s">
        <v>470</v>
      </c>
      <c r="B37" s="3">
        <v>44042</v>
      </c>
      <c r="C37" s="2" t="s">
        <v>691</v>
      </c>
      <c r="D37" s="2" t="s">
        <v>28</v>
      </c>
      <c r="E37" s="2" t="s">
        <v>98</v>
      </c>
      <c r="F37" s="2" t="s">
        <v>205</v>
      </c>
      <c r="G37" s="2" t="s">
        <v>692</v>
      </c>
      <c r="H37" s="2" t="s">
        <v>693</v>
      </c>
      <c r="I37" s="2" t="s">
        <v>31</v>
      </c>
      <c r="J37" s="2" t="s">
        <v>32</v>
      </c>
      <c r="K37" s="2" t="s">
        <v>752</v>
      </c>
      <c r="L37" s="2" t="s">
        <v>694</v>
      </c>
      <c r="M37" s="3">
        <v>44045</v>
      </c>
      <c r="N37" s="3">
        <v>44076</v>
      </c>
      <c r="O37" s="4">
        <v>494.37799999999999</v>
      </c>
      <c r="P37" s="2" t="s">
        <v>224</v>
      </c>
      <c r="Q37" s="2" t="s">
        <v>34</v>
      </c>
      <c r="R37" s="2" t="s">
        <v>35</v>
      </c>
      <c r="S37" s="2" t="s">
        <v>428</v>
      </c>
      <c r="T37" s="2" t="s">
        <v>87</v>
      </c>
      <c r="U37" s="2" t="s">
        <v>37</v>
      </c>
      <c r="V37" s="2" t="s">
        <v>88</v>
      </c>
      <c r="W37" s="2" t="s">
        <v>695</v>
      </c>
      <c r="X37" s="2" t="s">
        <v>412</v>
      </c>
      <c r="Y37" s="2" t="s">
        <v>429</v>
      </c>
      <c r="Z37" s="2" t="s">
        <v>412</v>
      </c>
      <c r="AA37" s="2" t="s">
        <v>39</v>
      </c>
      <c r="AB37" s="2" t="s">
        <v>414</v>
      </c>
    </row>
    <row r="38" spans="1:28" hidden="1" x14ac:dyDescent="0.2">
      <c r="A38" s="2" t="s">
        <v>470</v>
      </c>
      <c r="B38" s="3">
        <v>44042</v>
      </c>
      <c r="C38" s="2" t="s">
        <v>691</v>
      </c>
      <c r="D38" s="2" t="s">
        <v>28</v>
      </c>
      <c r="E38" s="2" t="s">
        <v>98</v>
      </c>
      <c r="F38" s="2" t="s">
        <v>205</v>
      </c>
      <c r="G38" s="2" t="s">
        <v>696</v>
      </c>
      <c r="H38" s="2" t="s">
        <v>697</v>
      </c>
      <c r="I38" s="2" t="s">
        <v>31</v>
      </c>
      <c r="J38" s="2" t="s">
        <v>32</v>
      </c>
      <c r="K38" s="2" t="s">
        <v>752</v>
      </c>
      <c r="L38" s="2" t="s">
        <v>694</v>
      </c>
      <c r="M38" s="3">
        <v>44045</v>
      </c>
      <c r="N38" s="3">
        <v>44076</v>
      </c>
      <c r="O38" s="4">
        <v>494.75799999999998</v>
      </c>
      <c r="P38" s="2" t="s">
        <v>224</v>
      </c>
      <c r="Q38" s="2" t="s">
        <v>34</v>
      </c>
      <c r="R38" s="2" t="s">
        <v>35</v>
      </c>
      <c r="S38" s="2" t="s">
        <v>428</v>
      </c>
      <c r="T38" s="2" t="s">
        <v>87</v>
      </c>
      <c r="U38" s="2" t="s">
        <v>37</v>
      </c>
      <c r="V38" s="2" t="s">
        <v>88</v>
      </c>
      <c r="W38" s="2" t="s">
        <v>698</v>
      </c>
      <c r="X38" s="2" t="s">
        <v>412</v>
      </c>
      <c r="Y38" s="2" t="s">
        <v>429</v>
      </c>
      <c r="Z38" s="2" t="s">
        <v>412</v>
      </c>
      <c r="AA38" s="2" t="s">
        <v>39</v>
      </c>
      <c r="AB38" s="2" t="s">
        <v>414</v>
      </c>
    </row>
    <row r="39" spans="1:28" hidden="1" x14ac:dyDescent="0.2">
      <c r="A39" s="2" t="s">
        <v>470</v>
      </c>
      <c r="B39" s="3">
        <v>44042</v>
      </c>
      <c r="C39" s="2" t="s">
        <v>691</v>
      </c>
      <c r="D39" s="2" t="s">
        <v>28</v>
      </c>
      <c r="E39" s="2" t="s">
        <v>98</v>
      </c>
      <c r="F39" s="2" t="s">
        <v>205</v>
      </c>
      <c r="G39" s="2" t="s">
        <v>699</v>
      </c>
      <c r="H39" s="2" t="s">
        <v>700</v>
      </c>
      <c r="I39" s="2" t="s">
        <v>31</v>
      </c>
      <c r="J39" s="2" t="s">
        <v>32</v>
      </c>
      <c r="K39" s="2" t="s">
        <v>752</v>
      </c>
      <c r="L39" s="2" t="s">
        <v>694</v>
      </c>
      <c r="M39" s="3">
        <v>44045</v>
      </c>
      <c r="N39" s="3">
        <v>44076</v>
      </c>
      <c r="O39" s="4">
        <v>494.24299999999999</v>
      </c>
      <c r="P39" s="2" t="s">
        <v>224</v>
      </c>
      <c r="Q39" s="2" t="s">
        <v>34</v>
      </c>
      <c r="R39" s="2" t="s">
        <v>35</v>
      </c>
      <c r="S39" s="2" t="s">
        <v>428</v>
      </c>
      <c r="T39" s="2" t="s">
        <v>87</v>
      </c>
      <c r="U39" s="2" t="s">
        <v>37</v>
      </c>
      <c r="V39" s="2" t="s">
        <v>88</v>
      </c>
      <c r="W39" s="2" t="s">
        <v>701</v>
      </c>
      <c r="X39" s="2" t="s">
        <v>412</v>
      </c>
      <c r="Y39" s="2" t="s">
        <v>429</v>
      </c>
      <c r="Z39" s="2" t="s">
        <v>412</v>
      </c>
      <c r="AA39" s="2" t="s">
        <v>39</v>
      </c>
      <c r="AB39" s="2" t="s">
        <v>414</v>
      </c>
    </row>
    <row r="40" spans="1:28" hidden="1" x14ac:dyDescent="0.2">
      <c r="A40" s="2" t="s">
        <v>470</v>
      </c>
      <c r="B40" s="3">
        <v>44042</v>
      </c>
      <c r="C40" s="2" t="s">
        <v>691</v>
      </c>
      <c r="D40" s="2" t="s">
        <v>28</v>
      </c>
      <c r="E40" s="2" t="s">
        <v>98</v>
      </c>
      <c r="F40" s="2" t="s">
        <v>205</v>
      </c>
      <c r="G40" s="2" t="s">
        <v>702</v>
      </c>
      <c r="H40" s="2" t="s">
        <v>703</v>
      </c>
      <c r="I40" s="2" t="s">
        <v>31</v>
      </c>
      <c r="J40" s="2" t="s">
        <v>32</v>
      </c>
      <c r="K40" s="2" t="s">
        <v>752</v>
      </c>
      <c r="L40" s="2" t="s">
        <v>694</v>
      </c>
      <c r="M40" s="3">
        <v>44045</v>
      </c>
      <c r="N40" s="3">
        <v>44076</v>
      </c>
      <c r="O40" s="4">
        <v>495.041</v>
      </c>
      <c r="P40" s="2" t="s">
        <v>224</v>
      </c>
      <c r="Q40" s="2" t="s">
        <v>34</v>
      </c>
      <c r="R40" s="2" t="s">
        <v>35</v>
      </c>
      <c r="S40" s="2" t="s">
        <v>428</v>
      </c>
      <c r="T40" s="2" t="s">
        <v>87</v>
      </c>
      <c r="U40" s="2" t="s">
        <v>37</v>
      </c>
      <c r="V40" s="2" t="s">
        <v>88</v>
      </c>
      <c r="W40" s="2" t="s">
        <v>704</v>
      </c>
      <c r="X40" s="2" t="s">
        <v>412</v>
      </c>
      <c r="Y40" s="2" t="s">
        <v>429</v>
      </c>
      <c r="Z40" s="2" t="s">
        <v>412</v>
      </c>
      <c r="AA40" s="2" t="s">
        <v>39</v>
      </c>
      <c r="AB40" s="2" t="s">
        <v>414</v>
      </c>
    </row>
    <row r="41" spans="1:28" hidden="1" x14ac:dyDescent="0.2">
      <c r="A41" s="2" t="s">
        <v>470</v>
      </c>
      <c r="B41" s="3">
        <v>44042</v>
      </c>
      <c r="C41" s="2" t="s">
        <v>691</v>
      </c>
      <c r="D41" s="2" t="s">
        <v>91</v>
      </c>
      <c r="E41" s="2" t="s">
        <v>745</v>
      </c>
      <c r="F41" s="2" t="s">
        <v>746</v>
      </c>
      <c r="G41" s="2" t="s">
        <v>778</v>
      </c>
      <c r="H41" s="2" t="s">
        <v>779</v>
      </c>
      <c r="I41" s="2" t="s">
        <v>747</v>
      </c>
      <c r="J41" s="2" t="s">
        <v>223</v>
      </c>
      <c r="K41" s="2" t="s">
        <v>752</v>
      </c>
      <c r="L41" s="2" t="s">
        <v>694</v>
      </c>
      <c r="M41" s="3">
        <v>44045</v>
      </c>
      <c r="N41" s="3">
        <v>44109</v>
      </c>
      <c r="O41" s="4">
        <v>429.04500000000002</v>
      </c>
      <c r="P41" s="2" t="s">
        <v>224</v>
      </c>
      <c r="Q41" s="2" t="s">
        <v>748</v>
      </c>
      <c r="R41" s="2" t="s">
        <v>749</v>
      </c>
      <c r="S41" s="2" t="s">
        <v>451</v>
      </c>
      <c r="T41" s="2" t="s">
        <v>87</v>
      </c>
      <c r="U41" s="2" t="s">
        <v>37</v>
      </c>
      <c r="V41" s="2" t="s">
        <v>88</v>
      </c>
      <c r="W41" s="2" t="s">
        <v>750</v>
      </c>
      <c r="X41" s="2" t="s">
        <v>412</v>
      </c>
      <c r="Y41" s="2" t="s">
        <v>780</v>
      </c>
      <c r="Z41" s="2" t="s">
        <v>412</v>
      </c>
      <c r="AA41" s="2" t="s">
        <v>39</v>
      </c>
      <c r="AB41" s="2" t="s">
        <v>414</v>
      </c>
    </row>
    <row r="42" spans="1:28" x14ac:dyDescent="0.2">
      <c r="A42" s="2" t="s">
        <v>427</v>
      </c>
      <c r="B42" s="3">
        <v>44042</v>
      </c>
      <c r="C42" s="2" t="s">
        <v>654</v>
      </c>
      <c r="D42" s="2" t="s">
        <v>28</v>
      </c>
      <c r="E42" s="2" t="s">
        <v>29</v>
      </c>
      <c r="F42" s="2" t="s">
        <v>397</v>
      </c>
      <c r="G42" s="2" t="s">
        <v>655</v>
      </c>
      <c r="H42" s="2" t="s">
        <v>656</v>
      </c>
      <c r="I42" s="2" t="s">
        <v>77</v>
      </c>
      <c r="J42" s="2" t="s">
        <v>32</v>
      </c>
      <c r="K42" s="2" t="s">
        <v>260</v>
      </c>
      <c r="L42" s="2" t="s">
        <v>518</v>
      </c>
      <c r="M42" s="3">
        <v>44046</v>
      </c>
      <c r="N42" s="3">
        <v>44059</v>
      </c>
      <c r="O42" s="4">
        <v>498.19200000000001</v>
      </c>
      <c r="P42" s="2" t="s">
        <v>48</v>
      </c>
      <c r="Q42" s="2" t="s">
        <v>405</v>
      </c>
      <c r="R42" s="2" t="s">
        <v>406</v>
      </c>
      <c r="S42" s="2" t="s">
        <v>428</v>
      </c>
      <c r="T42" s="2" t="s">
        <v>36</v>
      </c>
      <c r="U42" s="2" t="s">
        <v>37</v>
      </c>
      <c r="V42" s="2" t="s">
        <v>241</v>
      </c>
      <c r="W42" s="2" t="s">
        <v>657</v>
      </c>
      <c r="X42" s="2" t="s">
        <v>412</v>
      </c>
      <c r="Y42" s="2" t="s">
        <v>429</v>
      </c>
      <c r="Z42" s="2" t="s">
        <v>412</v>
      </c>
      <c r="AA42" s="2" t="s">
        <v>39</v>
      </c>
      <c r="AB42" s="2" t="s">
        <v>414</v>
      </c>
    </row>
    <row r="43" spans="1:28" x14ac:dyDescent="0.2">
      <c r="A43" s="2" t="s">
        <v>427</v>
      </c>
      <c r="B43" s="3">
        <v>44042</v>
      </c>
      <c r="C43" s="2" t="s">
        <v>654</v>
      </c>
      <c r="D43" s="2" t="s">
        <v>28</v>
      </c>
      <c r="E43" s="2" t="s">
        <v>29</v>
      </c>
      <c r="F43" s="2" t="s">
        <v>397</v>
      </c>
      <c r="G43" s="2" t="s">
        <v>658</v>
      </c>
      <c r="H43" s="2" t="s">
        <v>659</v>
      </c>
      <c r="I43" s="2" t="s">
        <v>77</v>
      </c>
      <c r="J43" s="2" t="s">
        <v>32</v>
      </c>
      <c r="K43" s="2" t="s">
        <v>260</v>
      </c>
      <c r="L43" s="2" t="s">
        <v>518</v>
      </c>
      <c r="M43" s="3">
        <v>44046</v>
      </c>
      <c r="N43" s="3">
        <v>44059</v>
      </c>
      <c r="O43" s="4">
        <v>497.62299999999999</v>
      </c>
      <c r="P43" s="2" t="s">
        <v>48</v>
      </c>
      <c r="Q43" s="2" t="s">
        <v>405</v>
      </c>
      <c r="R43" s="2" t="s">
        <v>406</v>
      </c>
      <c r="S43" s="2" t="s">
        <v>428</v>
      </c>
      <c r="T43" s="2" t="s">
        <v>36</v>
      </c>
      <c r="U43" s="2" t="s">
        <v>37</v>
      </c>
      <c r="V43" s="2" t="s">
        <v>241</v>
      </c>
      <c r="W43" s="2" t="s">
        <v>660</v>
      </c>
      <c r="X43" s="2" t="s">
        <v>412</v>
      </c>
      <c r="Y43" s="2" t="s">
        <v>429</v>
      </c>
      <c r="Z43" s="2" t="s">
        <v>412</v>
      </c>
      <c r="AA43" s="2" t="s">
        <v>39</v>
      </c>
      <c r="AB43" s="2" t="s">
        <v>414</v>
      </c>
    </row>
    <row r="44" spans="1:28" x14ac:dyDescent="0.2">
      <c r="A44" s="2" t="s">
        <v>427</v>
      </c>
      <c r="B44" s="3">
        <v>44055</v>
      </c>
      <c r="C44" s="2" t="s">
        <v>793</v>
      </c>
      <c r="D44" s="2" t="s">
        <v>62</v>
      </c>
      <c r="E44" s="2" t="s">
        <v>167</v>
      </c>
      <c r="F44" s="2" t="s">
        <v>168</v>
      </c>
      <c r="G44" s="2" t="s">
        <v>794</v>
      </c>
      <c r="H44" s="2" t="s">
        <v>795</v>
      </c>
      <c r="I44" s="2" t="s">
        <v>77</v>
      </c>
      <c r="J44" s="2" t="s">
        <v>32</v>
      </c>
      <c r="K44" s="2" t="s">
        <v>796</v>
      </c>
      <c r="L44" s="2" t="s">
        <v>797</v>
      </c>
      <c r="M44" s="3">
        <v>44047</v>
      </c>
      <c r="N44" s="3">
        <v>44076</v>
      </c>
      <c r="O44" s="4">
        <v>199.375</v>
      </c>
      <c r="P44" s="2" t="s">
        <v>48</v>
      </c>
      <c r="Q44" s="2" t="s">
        <v>166</v>
      </c>
      <c r="R44" s="2" t="s">
        <v>169</v>
      </c>
      <c r="S44" s="2" t="s">
        <v>420</v>
      </c>
      <c r="T44" s="2" t="s">
        <v>36</v>
      </c>
      <c r="U44" s="2" t="s">
        <v>37</v>
      </c>
      <c r="V44" s="2" t="s">
        <v>52</v>
      </c>
      <c r="W44" s="2" t="s">
        <v>798</v>
      </c>
      <c r="X44" s="2" t="s">
        <v>412</v>
      </c>
      <c r="Y44" s="2" t="s">
        <v>421</v>
      </c>
      <c r="Z44" s="2" t="s">
        <v>799</v>
      </c>
      <c r="AA44" s="2" t="s">
        <v>39</v>
      </c>
      <c r="AB44" s="2" t="s">
        <v>414</v>
      </c>
    </row>
    <row r="45" spans="1:28" x14ac:dyDescent="0.2">
      <c r="A45" s="2" t="s">
        <v>427</v>
      </c>
      <c r="B45" s="3">
        <v>44073</v>
      </c>
      <c r="C45" s="2" t="s">
        <v>793</v>
      </c>
      <c r="D45" s="2" t="s">
        <v>91</v>
      </c>
      <c r="E45" s="2" t="s">
        <v>164</v>
      </c>
      <c r="F45" s="2" t="s">
        <v>165</v>
      </c>
      <c r="G45" s="2" t="s">
        <v>800</v>
      </c>
      <c r="H45" s="2" t="s">
        <v>801</v>
      </c>
      <c r="I45" s="2" t="s">
        <v>77</v>
      </c>
      <c r="J45" s="2" t="s">
        <v>32</v>
      </c>
      <c r="K45" s="2" t="s">
        <v>796</v>
      </c>
      <c r="L45" s="2" t="s">
        <v>797</v>
      </c>
      <c r="M45" s="3">
        <v>44047</v>
      </c>
      <c r="N45" s="3">
        <v>44076</v>
      </c>
      <c r="O45" s="4">
        <v>311.67500000000001</v>
      </c>
      <c r="P45" s="2" t="s">
        <v>48</v>
      </c>
      <c r="Q45" s="2" t="s">
        <v>166</v>
      </c>
      <c r="R45" s="2" t="s">
        <v>169</v>
      </c>
      <c r="S45" s="2" t="s">
        <v>417</v>
      </c>
      <c r="T45" s="2" t="s">
        <v>42</v>
      </c>
      <c r="U45" s="2" t="s">
        <v>37</v>
      </c>
      <c r="V45" s="2" t="s">
        <v>52</v>
      </c>
      <c r="W45" s="2" t="s">
        <v>802</v>
      </c>
      <c r="X45" s="2" t="s">
        <v>412</v>
      </c>
      <c r="Y45" s="2" t="s">
        <v>458</v>
      </c>
      <c r="Z45" s="2" t="s">
        <v>594</v>
      </c>
      <c r="AA45" s="2" t="s">
        <v>39</v>
      </c>
      <c r="AB45" s="2" t="s">
        <v>414</v>
      </c>
    </row>
    <row r="46" spans="1:28" hidden="1" x14ac:dyDescent="0.2">
      <c r="A46" s="2" t="s">
        <v>431</v>
      </c>
      <c r="B46" s="3">
        <v>44048</v>
      </c>
      <c r="C46" s="2" t="s">
        <v>781</v>
      </c>
      <c r="D46" s="2" t="s">
        <v>170</v>
      </c>
      <c r="E46" s="2" t="s">
        <v>171</v>
      </c>
      <c r="F46" s="2" t="s">
        <v>172</v>
      </c>
      <c r="G46" s="2" t="s">
        <v>782</v>
      </c>
      <c r="H46" s="2" t="s">
        <v>783</v>
      </c>
      <c r="I46" s="2" t="s">
        <v>176</v>
      </c>
      <c r="J46" s="2" t="s">
        <v>58</v>
      </c>
      <c r="K46" s="2" t="s">
        <v>784</v>
      </c>
      <c r="L46" s="2" t="s">
        <v>785</v>
      </c>
      <c r="M46" s="3">
        <v>44046</v>
      </c>
      <c r="N46" s="3">
        <v>44052</v>
      </c>
      <c r="O46" s="4">
        <v>135.16</v>
      </c>
      <c r="P46" s="2" t="s">
        <v>33</v>
      </c>
      <c r="Q46" s="2" t="s">
        <v>173</v>
      </c>
      <c r="R46" s="2" t="s">
        <v>174</v>
      </c>
      <c r="S46" s="2" t="s">
        <v>465</v>
      </c>
      <c r="T46" s="2" t="s">
        <v>61</v>
      </c>
      <c r="U46" s="2" t="s">
        <v>37</v>
      </c>
      <c r="V46" s="2" t="s">
        <v>65</v>
      </c>
      <c r="W46" s="2" t="s">
        <v>786</v>
      </c>
      <c r="X46" s="2" t="s">
        <v>412</v>
      </c>
      <c r="Y46" s="2" t="s">
        <v>438</v>
      </c>
      <c r="Z46" s="2" t="s">
        <v>412</v>
      </c>
      <c r="AA46" s="2" t="s">
        <v>175</v>
      </c>
      <c r="AB46" s="2" t="s">
        <v>414</v>
      </c>
    </row>
    <row r="47" spans="1:28" hidden="1" x14ac:dyDescent="0.2">
      <c r="A47" s="2" t="s">
        <v>431</v>
      </c>
      <c r="B47" s="3">
        <v>44073</v>
      </c>
      <c r="C47" s="2" t="s">
        <v>787</v>
      </c>
      <c r="D47" s="2" t="s">
        <v>28</v>
      </c>
      <c r="E47" s="2" t="s">
        <v>129</v>
      </c>
      <c r="F47" s="2" t="s">
        <v>363</v>
      </c>
      <c r="G47" s="2" t="s">
        <v>788</v>
      </c>
      <c r="H47" s="2" t="s">
        <v>789</v>
      </c>
      <c r="I47" s="2" t="s">
        <v>357</v>
      </c>
      <c r="J47" s="2" t="s">
        <v>58</v>
      </c>
      <c r="K47" s="2" t="s">
        <v>790</v>
      </c>
      <c r="L47" s="2" t="s">
        <v>791</v>
      </c>
      <c r="M47" s="3">
        <v>44046</v>
      </c>
      <c r="N47" s="3">
        <v>44077</v>
      </c>
      <c r="O47" s="4">
        <v>257.58600000000001</v>
      </c>
      <c r="P47" s="2" t="s">
        <v>33</v>
      </c>
      <c r="Q47" s="2" t="s">
        <v>263</v>
      </c>
      <c r="R47" s="2" t="s">
        <v>360</v>
      </c>
      <c r="S47" s="2" t="s">
        <v>416</v>
      </c>
      <c r="T47" s="2" t="s">
        <v>72</v>
      </c>
      <c r="U47" s="2" t="s">
        <v>37</v>
      </c>
      <c r="V47" s="2" t="s">
        <v>88</v>
      </c>
      <c r="W47" s="2" t="s">
        <v>792</v>
      </c>
      <c r="X47" s="2" t="s">
        <v>412</v>
      </c>
      <c r="Y47" s="2" t="s">
        <v>595</v>
      </c>
      <c r="Z47" s="2" t="s">
        <v>596</v>
      </c>
      <c r="AA47" s="2" t="s">
        <v>39</v>
      </c>
      <c r="AB47" s="2" t="s">
        <v>414</v>
      </c>
    </row>
    <row r="48" spans="1:28" x14ac:dyDescent="0.2">
      <c r="A48" s="2" t="s">
        <v>427</v>
      </c>
      <c r="B48" s="3">
        <v>44017</v>
      </c>
      <c r="C48" s="2" t="s">
        <v>705</v>
      </c>
      <c r="D48" s="2" t="s">
        <v>44</v>
      </c>
      <c r="E48" s="2" t="s">
        <v>45</v>
      </c>
      <c r="F48" s="2" t="s">
        <v>46</v>
      </c>
      <c r="G48" s="2" t="s">
        <v>706</v>
      </c>
      <c r="H48" s="2" t="s">
        <v>707</v>
      </c>
      <c r="I48" s="2" t="s">
        <v>708</v>
      </c>
      <c r="J48" s="2" t="s">
        <v>47</v>
      </c>
      <c r="K48" s="2" t="s">
        <v>257</v>
      </c>
      <c r="L48" s="2" t="s">
        <v>622</v>
      </c>
      <c r="M48" s="3">
        <v>44048</v>
      </c>
      <c r="N48" s="3">
        <v>44074</v>
      </c>
      <c r="O48" s="4">
        <v>30.38</v>
      </c>
      <c r="P48" s="2" t="s">
        <v>48</v>
      </c>
      <c r="Q48" s="2" t="s">
        <v>49</v>
      </c>
      <c r="R48" s="2" t="s">
        <v>50</v>
      </c>
      <c r="S48" s="2" t="s">
        <v>446</v>
      </c>
      <c r="T48" s="2" t="s">
        <v>51</v>
      </c>
      <c r="U48" s="2" t="s">
        <v>37</v>
      </c>
      <c r="V48" s="2" t="s">
        <v>43</v>
      </c>
      <c r="W48" s="2" t="s">
        <v>709</v>
      </c>
      <c r="X48" s="2" t="s">
        <v>412</v>
      </c>
      <c r="Y48" s="2" t="s">
        <v>446</v>
      </c>
      <c r="Z48" s="2" t="s">
        <v>53</v>
      </c>
      <c r="AA48" s="2" t="s">
        <v>39</v>
      </c>
      <c r="AB48" s="2" t="s">
        <v>414</v>
      </c>
    </row>
    <row r="49" spans="1:28" x14ac:dyDescent="0.2">
      <c r="A49" s="2" t="s">
        <v>427</v>
      </c>
      <c r="B49" s="3">
        <v>44017</v>
      </c>
      <c r="C49" s="2" t="s">
        <v>705</v>
      </c>
      <c r="D49" s="2" t="s">
        <v>44</v>
      </c>
      <c r="E49" s="2" t="s">
        <v>45</v>
      </c>
      <c r="F49" s="2" t="s">
        <v>46</v>
      </c>
      <c r="G49" s="2" t="s">
        <v>710</v>
      </c>
      <c r="H49" s="2" t="s">
        <v>711</v>
      </c>
      <c r="I49" s="2" t="s">
        <v>712</v>
      </c>
      <c r="J49" s="2" t="s">
        <v>47</v>
      </c>
      <c r="K49" s="2" t="s">
        <v>257</v>
      </c>
      <c r="L49" s="2" t="s">
        <v>622</v>
      </c>
      <c r="M49" s="3">
        <v>44048</v>
      </c>
      <c r="N49" s="3">
        <v>44074</v>
      </c>
      <c r="O49" s="4">
        <v>30.36</v>
      </c>
      <c r="P49" s="2" t="s">
        <v>48</v>
      </c>
      <c r="Q49" s="2" t="s">
        <v>49</v>
      </c>
      <c r="R49" s="2" t="s">
        <v>50</v>
      </c>
      <c r="S49" s="2" t="s">
        <v>446</v>
      </c>
      <c r="T49" s="2" t="s">
        <v>51</v>
      </c>
      <c r="U49" s="2" t="s">
        <v>37</v>
      </c>
      <c r="V49" s="2" t="s">
        <v>43</v>
      </c>
      <c r="W49" s="2" t="s">
        <v>709</v>
      </c>
      <c r="X49" s="2" t="s">
        <v>412</v>
      </c>
      <c r="Y49" s="2" t="s">
        <v>446</v>
      </c>
      <c r="Z49" s="2" t="s">
        <v>53</v>
      </c>
      <c r="AA49" s="2" t="s">
        <v>39</v>
      </c>
      <c r="AB49" s="2" t="s">
        <v>414</v>
      </c>
    </row>
    <row r="50" spans="1:28" x14ac:dyDescent="0.2">
      <c r="A50" s="2" t="s">
        <v>427</v>
      </c>
      <c r="B50" s="3">
        <v>44042</v>
      </c>
      <c r="C50" s="2" t="s">
        <v>583</v>
      </c>
      <c r="D50" s="2" t="s">
        <v>28</v>
      </c>
      <c r="E50" s="2" t="s">
        <v>29</v>
      </c>
      <c r="F50" s="2" t="s">
        <v>397</v>
      </c>
      <c r="G50" s="2" t="s">
        <v>584</v>
      </c>
      <c r="H50" s="2" t="s">
        <v>585</v>
      </c>
      <c r="I50" s="2" t="s">
        <v>77</v>
      </c>
      <c r="J50" s="2" t="s">
        <v>32</v>
      </c>
      <c r="K50" s="2" t="s">
        <v>240</v>
      </c>
      <c r="L50" s="2" t="s">
        <v>586</v>
      </c>
      <c r="M50" s="3">
        <v>44048</v>
      </c>
      <c r="N50" s="3">
        <v>44078</v>
      </c>
      <c r="O50" s="4">
        <v>499.36500000000001</v>
      </c>
      <c r="P50" s="2" t="s">
        <v>48</v>
      </c>
      <c r="Q50" s="2" t="s">
        <v>405</v>
      </c>
      <c r="R50" s="2" t="s">
        <v>406</v>
      </c>
      <c r="S50" s="2" t="s">
        <v>428</v>
      </c>
      <c r="T50" s="2" t="s">
        <v>36</v>
      </c>
      <c r="U50" s="2" t="s">
        <v>37</v>
      </c>
      <c r="V50" s="2" t="s">
        <v>38</v>
      </c>
      <c r="W50" s="2" t="s">
        <v>587</v>
      </c>
      <c r="X50" s="2" t="s">
        <v>412</v>
      </c>
      <c r="Y50" s="2" t="s">
        <v>429</v>
      </c>
      <c r="Z50" s="2" t="s">
        <v>412</v>
      </c>
      <c r="AA50" s="2" t="s">
        <v>39</v>
      </c>
      <c r="AB50" s="2" t="s">
        <v>414</v>
      </c>
    </row>
    <row r="51" spans="1:28" x14ac:dyDescent="0.2">
      <c r="A51" s="2" t="s">
        <v>427</v>
      </c>
      <c r="B51" s="3">
        <v>44042</v>
      </c>
      <c r="C51" s="2" t="s">
        <v>583</v>
      </c>
      <c r="D51" s="2" t="s">
        <v>28</v>
      </c>
      <c r="E51" s="2" t="s">
        <v>29</v>
      </c>
      <c r="F51" s="2" t="s">
        <v>397</v>
      </c>
      <c r="G51" s="2" t="s">
        <v>588</v>
      </c>
      <c r="H51" s="2" t="s">
        <v>589</v>
      </c>
      <c r="I51" s="2" t="s">
        <v>77</v>
      </c>
      <c r="J51" s="2" t="s">
        <v>32</v>
      </c>
      <c r="K51" s="2" t="s">
        <v>240</v>
      </c>
      <c r="L51" s="2" t="s">
        <v>586</v>
      </c>
      <c r="M51" s="3">
        <v>44048</v>
      </c>
      <c r="N51" s="3">
        <v>44078</v>
      </c>
      <c r="O51" s="4">
        <v>497.935</v>
      </c>
      <c r="P51" s="2" t="s">
        <v>48</v>
      </c>
      <c r="Q51" s="2" t="s">
        <v>405</v>
      </c>
      <c r="R51" s="2" t="s">
        <v>406</v>
      </c>
      <c r="S51" s="2" t="s">
        <v>428</v>
      </c>
      <c r="T51" s="2" t="s">
        <v>36</v>
      </c>
      <c r="U51" s="2" t="s">
        <v>37</v>
      </c>
      <c r="V51" s="2" t="s">
        <v>38</v>
      </c>
      <c r="W51" s="2" t="s">
        <v>590</v>
      </c>
      <c r="X51" s="2" t="s">
        <v>412</v>
      </c>
      <c r="Y51" s="2" t="s">
        <v>429</v>
      </c>
      <c r="Z51" s="2" t="s">
        <v>412</v>
      </c>
      <c r="AA51" s="2" t="s">
        <v>39</v>
      </c>
      <c r="AB51" s="2" t="s">
        <v>414</v>
      </c>
    </row>
    <row r="52" spans="1:28" x14ac:dyDescent="0.2">
      <c r="A52" s="2" t="s">
        <v>427</v>
      </c>
      <c r="B52" s="3">
        <v>44048</v>
      </c>
      <c r="C52" s="2" t="s">
        <v>828</v>
      </c>
      <c r="D52" s="2" t="s">
        <v>62</v>
      </c>
      <c r="E52" s="2" t="s">
        <v>212</v>
      </c>
      <c r="F52" s="2" t="s">
        <v>213</v>
      </c>
      <c r="G52" s="2" t="s">
        <v>829</v>
      </c>
      <c r="H52" s="2" t="s">
        <v>830</v>
      </c>
      <c r="I52" s="2" t="s">
        <v>77</v>
      </c>
      <c r="J52" s="2" t="s">
        <v>32</v>
      </c>
      <c r="K52" s="2" t="s">
        <v>388</v>
      </c>
      <c r="L52" s="2" t="s">
        <v>831</v>
      </c>
      <c r="M52" s="3">
        <v>44048</v>
      </c>
      <c r="N52" s="3">
        <v>44073</v>
      </c>
      <c r="O52" s="4">
        <v>494.41</v>
      </c>
      <c r="P52" s="2" t="s">
        <v>48</v>
      </c>
      <c r="Q52" s="2" t="s">
        <v>115</v>
      </c>
      <c r="R52" s="2" t="s">
        <v>116</v>
      </c>
      <c r="S52" s="2" t="s">
        <v>432</v>
      </c>
      <c r="T52" s="2" t="s">
        <v>140</v>
      </c>
      <c r="U52" s="2" t="s">
        <v>37</v>
      </c>
      <c r="V52" s="2" t="s">
        <v>43</v>
      </c>
      <c r="W52" s="2" t="s">
        <v>832</v>
      </c>
      <c r="X52" s="2" t="s">
        <v>412</v>
      </c>
      <c r="Y52" s="2" t="s">
        <v>478</v>
      </c>
      <c r="Z52" s="2" t="s">
        <v>833</v>
      </c>
      <c r="AA52" s="2" t="s">
        <v>39</v>
      </c>
      <c r="AB52" s="2" t="s">
        <v>414</v>
      </c>
    </row>
    <row r="53" spans="1:28" x14ac:dyDescent="0.2">
      <c r="A53" s="2" t="s">
        <v>427</v>
      </c>
      <c r="B53" s="3">
        <v>44042</v>
      </c>
      <c r="C53" s="2" t="s">
        <v>803</v>
      </c>
      <c r="D53" s="2" t="s">
        <v>91</v>
      </c>
      <c r="E53" s="2" t="s">
        <v>728</v>
      </c>
      <c r="F53" s="2" t="s">
        <v>729</v>
      </c>
      <c r="G53" s="2" t="s">
        <v>804</v>
      </c>
      <c r="H53" s="2" t="s">
        <v>805</v>
      </c>
      <c r="I53" s="2" t="s">
        <v>730</v>
      </c>
      <c r="J53" s="2" t="s">
        <v>58</v>
      </c>
      <c r="K53" s="2" t="s">
        <v>739</v>
      </c>
      <c r="L53" s="2" t="s">
        <v>740</v>
      </c>
      <c r="M53" s="3">
        <v>44049</v>
      </c>
      <c r="N53" s="3">
        <v>44117</v>
      </c>
      <c r="O53" s="4">
        <v>103.37</v>
      </c>
      <c r="P53" s="2" t="s">
        <v>48</v>
      </c>
      <c r="Q53" s="2" t="s">
        <v>731</v>
      </c>
      <c r="R53" s="2" t="s">
        <v>732</v>
      </c>
      <c r="S53" s="2" t="s">
        <v>419</v>
      </c>
      <c r="T53" s="2" t="s">
        <v>72</v>
      </c>
      <c r="U53" s="2" t="s">
        <v>37</v>
      </c>
      <c r="V53" s="2" t="s">
        <v>65</v>
      </c>
      <c r="W53" s="2" t="s">
        <v>735</v>
      </c>
      <c r="X53" s="2" t="s">
        <v>412</v>
      </c>
      <c r="Y53" s="2" t="s">
        <v>454</v>
      </c>
      <c r="Z53" s="2" t="s">
        <v>53</v>
      </c>
      <c r="AA53" s="2" t="s">
        <v>733</v>
      </c>
      <c r="AB53" s="2" t="s">
        <v>414</v>
      </c>
    </row>
    <row r="54" spans="1:28" x14ac:dyDescent="0.2">
      <c r="A54" s="2" t="s">
        <v>427</v>
      </c>
      <c r="B54" s="3">
        <v>44042</v>
      </c>
      <c r="C54" s="2" t="s">
        <v>803</v>
      </c>
      <c r="D54" s="2" t="s">
        <v>91</v>
      </c>
      <c r="E54" s="2" t="s">
        <v>728</v>
      </c>
      <c r="F54" s="2" t="s">
        <v>729</v>
      </c>
      <c r="G54" s="2" t="s">
        <v>806</v>
      </c>
      <c r="H54" s="2" t="s">
        <v>807</v>
      </c>
      <c r="I54" s="2" t="s">
        <v>730</v>
      </c>
      <c r="J54" s="2" t="s">
        <v>58</v>
      </c>
      <c r="K54" s="2" t="s">
        <v>739</v>
      </c>
      <c r="L54" s="2" t="s">
        <v>740</v>
      </c>
      <c r="M54" s="3">
        <v>44049</v>
      </c>
      <c r="N54" s="3">
        <v>44117</v>
      </c>
      <c r="O54" s="4">
        <v>103.45</v>
      </c>
      <c r="P54" s="2" t="s">
        <v>48</v>
      </c>
      <c r="Q54" s="2" t="s">
        <v>731</v>
      </c>
      <c r="R54" s="2" t="s">
        <v>732</v>
      </c>
      <c r="S54" s="2" t="s">
        <v>419</v>
      </c>
      <c r="T54" s="2" t="s">
        <v>72</v>
      </c>
      <c r="U54" s="2" t="s">
        <v>37</v>
      </c>
      <c r="V54" s="2" t="s">
        <v>65</v>
      </c>
      <c r="W54" s="2" t="s">
        <v>736</v>
      </c>
      <c r="X54" s="2" t="s">
        <v>412</v>
      </c>
      <c r="Y54" s="2" t="s">
        <v>454</v>
      </c>
      <c r="Z54" s="2" t="s">
        <v>53</v>
      </c>
      <c r="AA54" s="2" t="s">
        <v>733</v>
      </c>
      <c r="AB54" s="2" t="s">
        <v>414</v>
      </c>
    </row>
    <row r="55" spans="1:28" x14ac:dyDescent="0.2">
      <c r="A55" s="2" t="s">
        <v>427</v>
      </c>
      <c r="B55" s="3">
        <v>44042</v>
      </c>
      <c r="C55" s="2" t="s">
        <v>803</v>
      </c>
      <c r="D55" s="2" t="s">
        <v>91</v>
      </c>
      <c r="E55" s="2" t="s">
        <v>728</v>
      </c>
      <c r="F55" s="2" t="s">
        <v>729</v>
      </c>
      <c r="G55" s="2" t="s">
        <v>808</v>
      </c>
      <c r="H55" s="2" t="s">
        <v>809</v>
      </c>
      <c r="I55" s="2" t="s">
        <v>730</v>
      </c>
      <c r="J55" s="2" t="s">
        <v>58</v>
      </c>
      <c r="K55" s="2" t="s">
        <v>739</v>
      </c>
      <c r="L55" s="2" t="s">
        <v>740</v>
      </c>
      <c r="M55" s="3">
        <v>44049</v>
      </c>
      <c r="N55" s="3">
        <v>44117</v>
      </c>
      <c r="O55" s="4">
        <v>103.402</v>
      </c>
      <c r="P55" s="2" t="s">
        <v>48</v>
      </c>
      <c r="Q55" s="2" t="s">
        <v>731</v>
      </c>
      <c r="R55" s="2" t="s">
        <v>732</v>
      </c>
      <c r="S55" s="2" t="s">
        <v>419</v>
      </c>
      <c r="T55" s="2" t="s">
        <v>72</v>
      </c>
      <c r="U55" s="2" t="s">
        <v>37</v>
      </c>
      <c r="V55" s="2" t="s">
        <v>65</v>
      </c>
      <c r="W55" s="2" t="s">
        <v>737</v>
      </c>
      <c r="X55" s="2" t="s">
        <v>412</v>
      </c>
      <c r="Y55" s="2" t="s">
        <v>454</v>
      </c>
      <c r="Z55" s="2" t="s">
        <v>53</v>
      </c>
      <c r="AA55" s="2" t="s">
        <v>733</v>
      </c>
      <c r="AB55" s="2" t="s">
        <v>414</v>
      </c>
    </row>
    <row r="56" spans="1:28" x14ac:dyDescent="0.2">
      <c r="A56" s="2" t="s">
        <v>427</v>
      </c>
      <c r="B56" s="3">
        <v>44042</v>
      </c>
      <c r="C56" s="2" t="s">
        <v>803</v>
      </c>
      <c r="D56" s="2" t="s">
        <v>91</v>
      </c>
      <c r="E56" s="2" t="s">
        <v>728</v>
      </c>
      <c r="F56" s="2" t="s">
        <v>729</v>
      </c>
      <c r="G56" s="2" t="s">
        <v>810</v>
      </c>
      <c r="H56" s="2" t="s">
        <v>811</v>
      </c>
      <c r="I56" s="2" t="s">
        <v>730</v>
      </c>
      <c r="J56" s="2" t="s">
        <v>58</v>
      </c>
      <c r="K56" s="2" t="s">
        <v>739</v>
      </c>
      <c r="L56" s="2" t="s">
        <v>740</v>
      </c>
      <c r="M56" s="3">
        <v>44049</v>
      </c>
      <c r="N56" s="3">
        <v>44117</v>
      </c>
      <c r="O56" s="4">
        <v>103.44199999999999</v>
      </c>
      <c r="P56" s="2" t="s">
        <v>48</v>
      </c>
      <c r="Q56" s="2" t="s">
        <v>731</v>
      </c>
      <c r="R56" s="2" t="s">
        <v>732</v>
      </c>
      <c r="S56" s="2" t="s">
        <v>419</v>
      </c>
      <c r="T56" s="2" t="s">
        <v>72</v>
      </c>
      <c r="U56" s="2" t="s">
        <v>37</v>
      </c>
      <c r="V56" s="2" t="s">
        <v>65</v>
      </c>
      <c r="W56" s="2" t="s">
        <v>738</v>
      </c>
      <c r="X56" s="2" t="s">
        <v>412</v>
      </c>
      <c r="Y56" s="2" t="s">
        <v>454</v>
      </c>
      <c r="Z56" s="2" t="s">
        <v>53</v>
      </c>
      <c r="AA56" s="2" t="s">
        <v>733</v>
      </c>
      <c r="AB56" s="2" t="s">
        <v>414</v>
      </c>
    </row>
    <row r="57" spans="1:28" x14ac:dyDescent="0.2">
      <c r="A57" s="2" t="s">
        <v>427</v>
      </c>
      <c r="B57" s="3">
        <v>44042</v>
      </c>
      <c r="C57" s="2" t="s">
        <v>803</v>
      </c>
      <c r="D57" s="2" t="s">
        <v>91</v>
      </c>
      <c r="E57" s="2" t="s">
        <v>728</v>
      </c>
      <c r="F57" s="2" t="s">
        <v>729</v>
      </c>
      <c r="G57" s="2" t="s">
        <v>812</v>
      </c>
      <c r="H57" s="2" t="s">
        <v>813</v>
      </c>
      <c r="I57" s="2" t="s">
        <v>730</v>
      </c>
      <c r="J57" s="2" t="s">
        <v>58</v>
      </c>
      <c r="K57" s="2" t="s">
        <v>739</v>
      </c>
      <c r="L57" s="2" t="s">
        <v>740</v>
      </c>
      <c r="M57" s="3">
        <v>44049</v>
      </c>
      <c r="N57" s="3">
        <v>44117</v>
      </c>
      <c r="O57" s="4">
        <v>103.44199999999999</v>
      </c>
      <c r="P57" s="2" t="s">
        <v>48</v>
      </c>
      <c r="Q57" s="2" t="s">
        <v>731</v>
      </c>
      <c r="R57" s="2" t="s">
        <v>732</v>
      </c>
      <c r="S57" s="2" t="s">
        <v>419</v>
      </c>
      <c r="T57" s="2" t="s">
        <v>72</v>
      </c>
      <c r="U57" s="2" t="s">
        <v>37</v>
      </c>
      <c r="V57" s="2" t="s">
        <v>65</v>
      </c>
      <c r="W57" s="2" t="s">
        <v>741</v>
      </c>
      <c r="X57" s="2" t="s">
        <v>412</v>
      </c>
      <c r="Y57" s="2" t="s">
        <v>454</v>
      </c>
      <c r="Z57" s="2" t="s">
        <v>53</v>
      </c>
      <c r="AA57" s="2" t="s">
        <v>733</v>
      </c>
      <c r="AB57" s="2" t="s">
        <v>414</v>
      </c>
    </row>
    <row r="58" spans="1:28" x14ac:dyDescent="0.2">
      <c r="A58" s="2" t="s">
        <v>427</v>
      </c>
      <c r="B58" s="3">
        <v>44042</v>
      </c>
      <c r="C58" s="2" t="s">
        <v>803</v>
      </c>
      <c r="D58" s="2" t="s">
        <v>91</v>
      </c>
      <c r="E58" s="2" t="s">
        <v>728</v>
      </c>
      <c r="F58" s="2" t="s">
        <v>729</v>
      </c>
      <c r="G58" s="2" t="s">
        <v>814</v>
      </c>
      <c r="H58" s="2" t="s">
        <v>815</v>
      </c>
      <c r="I58" s="2" t="s">
        <v>730</v>
      </c>
      <c r="J58" s="2" t="s">
        <v>58</v>
      </c>
      <c r="K58" s="2" t="s">
        <v>739</v>
      </c>
      <c r="L58" s="2" t="s">
        <v>740</v>
      </c>
      <c r="M58" s="3">
        <v>44049</v>
      </c>
      <c r="N58" s="3">
        <v>44117</v>
      </c>
      <c r="O58" s="4">
        <v>103.446</v>
      </c>
      <c r="P58" s="2" t="s">
        <v>48</v>
      </c>
      <c r="Q58" s="2" t="s">
        <v>731</v>
      </c>
      <c r="R58" s="2" t="s">
        <v>732</v>
      </c>
      <c r="S58" s="2" t="s">
        <v>419</v>
      </c>
      <c r="T58" s="2" t="s">
        <v>72</v>
      </c>
      <c r="U58" s="2" t="s">
        <v>37</v>
      </c>
      <c r="V58" s="2" t="s">
        <v>65</v>
      </c>
      <c r="W58" s="2" t="s">
        <v>742</v>
      </c>
      <c r="X58" s="2" t="s">
        <v>412</v>
      </c>
      <c r="Y58" s="2" t="s">
        <v>454</v>
      </c>
      <c r="Z58" s="2" t="s">
        <v>53</v>
      </c>
      <c r="AA58" s="2" t="s">
        <v>733</v>
      </c>
      <c r="AB58" s="2" t="s">
        <v>414</v>
      </c>
    </row>
    <row r="59" spans="1:28" x14ac:dyDescent="0.2">
      <c r="A59" s="2" t="s">
        <v>427</v>
      </c>
      <c r="B59" s="3">
        <v>44024</v>
      </c>
      <c r="C59" s="2" t="s">
        <v>834</v>
      </c>
      <c r="D59" s="2" t="s">
        <v>62</v>
      </c>
      <c r="E59" s="2" t="s">
        <v>167</v>
      </c>
      <c r="F59" s="2" t="s">
        <v>168</v>
      </c>
      <c r="G59" s="2" t="s">
        <v>608</v>
      </c>
      <c r="H59" s="2" t="s">
        <v>609</v>
      </c>
      <c r="I59" s="2" t="s">
        <v>77</v>
      </c>
      <c r="J59" s="2" t="s">
        <v>32</v>
      </c>
      <c r="K59" s="2" t="s">
        <v>759</v>
      </c>
      <c r="L59" s="2" t="s">
        <v>760</v>
      </c>
      <c r="M59" s="3">
        <v>44050</v>
      </c>
      <c r="N59" s="3">
        <v>44074</v>
      </c>
      <c r="O59" s="4">
        <v>199.77500000000001</v>
      </c>
      <c r="P59" s="2" t="s">
        <v>48</v>
      </c>
      <c r="Q59" s="2" t="s">
        <v>166</v>
      </c>
      <c r="R59" s="2" t="s">
        <v>169</v>
      </c>
      <c r="S59" s="2" t="s">
        <v>420</v>
      </c>
      <c r="T59" s="2" t="s">
        <v>36</v>
      </c>
      <c r="U59" s="2" t="s">
        <v>37</v>
      </c>
      <c r="V59" s="2" t="s">
        <v>52</v>
      </c>
      <c r="W59" s="2" t="s">
        <v>610</v>
      </c>
      <c r="X59" s="2" t="s">
        <v>412</v>
      </c>
      <c r="Y59" s="2" t="s">
        <v>421</v>
      </c>
      <c r="Z59" s="2" t="s">
        <v>611</v>
      </c>
      <c r="AA59" s="2" t="s">
        <v>39</v>
      </c>
      <c r="AB59" s="2" t="s">
        <v>414</v>
      </c>
    </row>
    <row r="60" spans="1:28" x14ac:dyDescent="0.2">
      <c r="A60" s="2" t="s">
        <v>427</v>
      </c>
      <c r="B60" s="3">
        <v>44043</v>
      </c>
      <c r="C60" s="2" t="s">
        <v>834</v>
      </c>
      <c r="D60" s="2" t="s">
        <v>137</v>
      </c>
      <c r="E60" s="2" t="s">
        <v>392</v>
      </c>
      <c r="F60" s="2" t="s">
        <v>393</v>
      </c>
      <c r="G60" s="2" t="s">
        <v>719</v>
      </c>
      <c r="H60" s="2" t="s">
        <v>720</v>
      </c>
      <c r="I60" s="2" t="s">
        <v>394</v>
      </c>
      <c r="J60" s="2" t="s">
        <v>58</v>
      </c>
      <c r="K60" s="2" t="s">
        <v>759</v>
      </c>
      <c r="L60" s="2" t="s">
        <v>760</v>
      </c>
      <c r="M60" s="3">
        <v>44050</v>
      </c>
      <c r="N60" s="3">
        <v>44074</v>
      </c>
      <c r="O60" s="4">
        <v>146.59200000000001</v>
      </c>
      <c r="P60" s="2" t="s">
        <v>48</v>
      </c>
      <c r="Q60" s="2" t="s">
        <v>166</v>
      </c>
      <c r="R60" s="2" t="s">
        <v>395</v>
      </c>
      <c r="S60" s="2" t="s">
        <v>465</v>
      </c>
      <c r="T60" s="2" t="s">
        <v>36</v>
      </c>
      <c r="U60" s="2" t="s">
        <v>37</v>
      </c>
      <c r="V60" s="2" t="s">
        <v>52</v>
      </c>
      <c r="W60" s="2" t="s">
        <v>721</v>
      </c>
      <c r="X60" s="2" t="s">
        <v>412</v>
      </c>
      <c r="Y60" s="2" t="s">
        <v>471</v>
      </c>
      <c r="Z60" s="2" t="s">
        <v>722</v>
      </c>
      <c r="AA60" s="2" t="s">
        <v>39</v>
      </c>
      <c r="AB60" s="2" t="s">
        <v>414</v>
      </c>
    </row>
    <row r="61" spans="1:28" hidden="1" x14ac:dyDescent="0.2">
      <c r="A61" s="2" t="s">
        <v>470</v>
      </c>
      <c r="B61" s="3">
        <v>44048</v>
      </c>
      <c r="C61" s="2" t="s">
        <v>835</v>
      </c>
      <c r="D61" s="2" t="s">
        <v>219</v>
      </c>
      <c r="E61" s="2" t="s">
        <v>220</v>
      </c>
      <c r="F61" s="2" t="s">
        <v>221</v>
      </c>
      <c r="G61" s="2" t="s">
        <v>836</v>
      </c>
      <c r="H61" s="2" t="s">
        <v>837</v>
      </c>
      <c r="I61" s="2" t="s">
        <v>222</v>
      </c>
      <c r="J61" s="2" t="s">
        <v>223</v>
      </c>
      <c r="K61" s="2" t="s">
        <v>734</v>
      </c>
      <c r="L61" s="2" t="s">
        <v>838</v>
      </c>
      <c r="M61" s="3">
        <v>44048</v>
      </c>
      <c r="N61" s="3">
        <v>44098</v>
      </c>
      <c r="O61" s="4">
        <v>128.55000000000001</v>
      </c>
      <c r="P61" s="2" t="s">
        <v>224</v>
      </c>
      <c r="Q61" s="2" t="s">
        <v>225</v>
      </c>
      <c r="R61" s="2" t="s">
        <v>226</v>
      </c>
      <c r="S61" s="2" t="s">
        <v>415</v>
      </c>
      <c r="T61" s="2" t="s">
        <v>87</v>
      </c>
      <c r="U61" s="2" t="s">
        <v>37</v>
      </c>
      <c r="V61" s="2" t="s">
        <v>88</v>
      </c>
      <c r="W61" s="2" t="s">
        <v>839</v>
      </c>
      <c r="X61" s="2" t="s">
        <v>412</v>
      </c>
      <c r="Y61" s="2" t="s">
        <v>840</v>
      </c>
      <c r="Z61" s="2" t="s">
        <v>412</v>
      </c>
      <c r="AA61" s="2" t="s">
        <v>227</v>
      </c>
      <c r="AB61" s="2" t="s">
        <v>414</v>
      </c>
    </row>
    <row r="62" spans="1:28" hidden="1" x14ac:dyDescent="0.2">
      <c r="A62" s="2" t="s">
        <v>470</v>
      </c>
      <c r="B62" s="3">
        <v>44073</v>
      </c>
      <c r="C62" s="2" t="s">
        <v>835</v>
      </c>
      <c r="D62" s="2" t="s">
        <v>91</v>
      </c>
      <c r="E62" s="2" t="s">
        <v>228</v>
      </c>
      <c r="F62" s="2" t="s">
        <v>229</v>
      </c>
      <c r="G62" s="2" t="s">
        <v>841</v>
      </c>
      <c r="H62" s="2" t="s">
        <v>842</v>
      </c>
      <c r="I62" s="2" t="s">
        <v>230</v>
      </c>
      <c r="J62" s="2" t="s">
        <v>223</v>
      </c>
      <c r="K62" s="2" t="s">
        <v>734</v>
      </c>
      <c r="L62" s="2" t="s">
        <v>838</v>
      </c>
      <c r="M62" s="3">
        <v>44048</v>
      </c>
      <c r="N62" s="3">
        <v>44082</v>
      </c>
      <c r="O62" s="4">
        <v>102.93</v>
      </c>
      <c r="P62" s="2" t="s">
        <v>224</v>
      </c>
      <c r="Q62" s="2" t="s">
        <v>231</v>
      </c>
      <c r="R62" s="2" t="s">
        <v>232</v>
      </c>
      <c r="S62" s="2" t="s">
        <v>419</v>
      </c>
      <c r="T62" s="2" t="s">
        <v>87</v>
      </c>
      <c r="U62" s="2" t="s">
        <v>37</v>
      </c>
      <c r="V62" s="2" t="s">
        <v>88</v>
      </c>
      <c r="W62" s="2" t="s">
        <v>843</v>
      </c>
      <c r="X62" s="2" t="s">
        <v>412</v>
      </c>
      <c r="Y62" s="2" t="s">
        <v>468</v>
      </c>
      <c r="Z62" s="2" t="s">
        <v>519</v>
      </c>
      <c r="AA62" s="2" t="s">
        <v>39</v>
      </c>
      <c r="AB62" s="2" t="s">
        <v>414</v>
      </c>
    </row>
    <row r="63" spans="1:28" hidden="1" x14ac:dyDescent="0.2">
      <c r="A63" s="2" t="s">
        <v>470</v>
      </c>
      <c r="B63" s="3">
        <v>44048</v>
      </c>
      <c r="C63" s="2" t="s">
        <v>835</v>
      </c>
      <c r="D63" s="2" t="s">
        <v>137</v>
      </c>
      <c r="E63" s="2" t="s">
        <v>138</v>
      </c>
      <c r="F63" s="2" t="s">
        <v>139</v>
      </c>
      <c r="G63" s="2" t="s">
        <v>844</v>
      </c>
      <c r="H63" s="2" t="s">
        <v>845</v>
      </c>
      <c r="I63" s="2" t="s">
        <v>846</v>
      </c>
      <c r="J63" s="2" t="s">
        <v>32</v>
      </c>
      <c r="K63" s="2" t="s">
        <v>734</v>
      </c>
      <c r="L63" s="2" t="s">
        <v>838</v>
      </c>
      <c r="M63" s="3">
        <v>44048</v>
      </c>
      <c r="N63" s="3">
        <v>44079</v>
      </c>
      <c r="O63" s="4">
        <v>488.863</v>
      </c>
      <c r="P63" s="2" t="s">
        <v>224</v>
      </c>
      <c r="Q63" s="2" t="s">
        <v>34</v>
      </c>
      <c r="R63" s="2" t="s">
        <v>35</v>
      </c>
      <c r="S63" s="2" t="s">
        <v>432</v>
      </c>
      <c r="T63" s="2" t="s">
        <v>87</v>
      </c>
      <c r="U63" s="2" t="s">
        <v>37</v>
      </c>
      <c r="V63" s="2" t="s">
        <v>88</v>
      </c>
      <c r="W63" s="2" t="s">
        <v>847</v>
      </c>
      <c r="X63" s="2" t="s">
        <v>412</v>
      </c>
      <c r="Y63" s="2" t="s">
        <v>478</v>
      </c>
      <c r="Z63" s="2" t="s">
        <v>412</v>
      </c>
      <c r="AA63" s="2" t="s">
        <v>39</v>
      </c>
      <c r="AB63" s="2" t="s">
        <v>414</v>
      </c>
    </row>
    <row r="64" spans="1:28" hidden="1" x14ac:dyDescent="0.2">
      <c r="A64" s="2" t="s">
        <v>470</v>
      </c>
      <c r="B64" s="3">
        <v>44053</v>
      </c>
      <c r="C64" s="2" t="s">
        <v>835</v>
      </c>
      <c r="D64" s="2" t="s">
        <v>137</v>
      </c>
      <c r="E64" s="2" t="s">
        <v>138</v>
      </c>
      <c r="F64" s="2" t="s">
        <v>139</v>
      </c>
      <c r="G64" s="2" t="s">
        <v>848</v>
      </c>
      <c r="H64" s="2" t="s">
        <v>849</v>
      </c>
      <c r="I64" s="2" t="s">
        <v>846</v>
      </c>
      <c r="J64" s="2" t="s">
        <v>32</v>
      </c>
      <c r="K64" s="2" t="s">
        <v>734</v>
      </c>
      <c r="L64" s="2" t="s">
        <v>838</v>
      </c>
      <c r="M64" s="3">
        <v>44048</v>
      </c>
      <c r="N64" s="3">
        <v>44079</v>
      </c>
      <c r="O64" s="4">
        <v>508.589</v>
      </c>
      <c r="P64" s="2" t="s">
        <v>224</v>
      </c>
      <c r="Q64" s="2" t="s">
        <v>34</v>
      </c>
      <c r="R64" s="2" t="s">
        <v>35</v>
      </c>
      <c r="S64" s="2" t="s">
        <v>447</v>
      </c>
      <c r="T64" s="2" t="s">
        <v>87</v>
      </c>
      <c r="U64" s="2" t="s">
        <v>37</v>
      </c>
      <c r="V64" s="2" t="s">
        <v>88</v>
      </c>
      <c r="W64" s="2" t="s">
        <v>850</v>
      </c>
      <c r="X64" s="2" t="s">
        <v>412</v>
      </c>
      <c r="Y64" s="2" t="s">
        <v>448</v>
      </c>
      <c r="Z64" s="2" t="s">
        <v>412</v>
      </c>
      <c r="AA64" s="2" t="s">
        <v>39</v>
      </c>
      <c r="AB64" s="2" t="s">
        <v>414</v>
      </c>
    </row>
    <row r="65" spans="1:28" hidden="1" x14ac:dyDescent="0.2">
      <c r="A65" s="2" t="s">
        <v>410</v>
      </c>
      <c r="B65" s="3">
        <v>44042</v>
      </c>
      <c r="C65" s="2" t="s">
        <v>851</v>
      </c>
      <c r="D65" s="2" t="s">
        <v>28</v>
      </c>
      <c r="E65" s="2" t="s">
        <v>29</v>
      </c>
      <c r="F65" s="2" t="s">
        <v>397</v>
      </c>
      <c r="G65" s="2" t="s">
        <v>715</v>
      </c>
      <c r="H65" s="2" t="s">
        <v>716</v>
      </c>
      <c r="I65" s="2" t="s">
        <v>89</v>
      </c>
      <c r="J65" s="2" t="s">
        <v>90</v>
      </c>
      <c r="K65" s="2" t="s">
        <v>487</v>
      </c>
      <c r="L65" s="2" t="s">
        <v>751</v>
      </c>
      <c r="M65" s="3">
        <v>44048</v>
      </c>
      <c r="N65" s="3">
        <v>44079</v>
      </c>
      <c r="O65" s="4">
        <v>494.30099999999999</v>
      </c>
      <c r="P65" s="2" t="s">
        <v>84</v>
      </c>
      <c r="Q65" s="2" t="s">
        <v>405</v>
      </c>
      <c r="R65" s="2" t="s">
        <v>717</v>
      </c>
      <c r="S65" s="2" t="s">
        <v>428</v>
      </c>
      <c r="T65" s="2" t="s">
        <v>87</v>
      </c>
      <c r="U65" s="2" t="s">
        <v>37</v>
      </c>
      <c r="V65" s="2" t="s">
        <v>88</v>
      </c>
      <c r="W65" s="2" t="s">
        <v>718</v>
      </c>
      <c r="X65" s="2" t="s">
        <v>412</v>
      </c>
      <c r="Y65" s="2" t="s">
        <v>852</v>
      </c>
      <c r="Z65" s="2" t="s">
        <v>412</v>
      </c>
      <c r="AA65" s="2" t="s">
        <v>39</v>
      </c>
      <c r="AB65" s="2" t="s">
        <v>414</v>
      </c>
    </row>
    <row r="66" spans="1:28" hidden="1" x14ac:dyDescent="0.2">
      <c r="A66" s="2" t="s">
        <v>410</v>
      </c>
      <c r="B66" s="3">
        <v>44079</v>
      </c>
      <c r="C66" s="2" t="s">
        <v>851</v>
      </c>
      <c r="D66" s="2" t="s">
        <v>152</v>
      </c>
      <c r="E66" s="2" t="s">
        <v>138</v>
      </c>
      <c r="F66" s="2" t="s">
        <v>265</v>
      </c>
      <c r="G66" s="2" t="s">
        <v>853</v>
      </c>
      <c r="H66" s="2" t="s">
        <v>854</v>
      </c>
      <c r="I66" s="2" t="s">
        <v>385</v>
      </c>
      <c r="J66" s="2" t="s">
        <v>47</v>
      </c>
      <c r="K66" s="2" t="s">
        <v>487</v>
      </c>
      <c r="L66" s="2" t="s">
        <v>751</v>
      </c>
      <c r="M66" s="3">
        <v>44048</v>
      </c>
      <c r="N66" s="3">
        <v>44078</v>
      </c>
      <c r="O66" s="4">
        <v>105.75</v>
      </c>
      <c r="P66" s="2" t="s">
        <v>84</v>
      </c>
      <c r="Q66" s="2" t="s">
        <v>34</v>
      </c>
      <c r="R66" s="2" t="s">
        <v>266</v>
      </c>
      <c r="S66" s="2" t="s">
        <v>415</v>
      </c>
      <c r="T66" s="2" t="s">
        <v>87</v>
      </c>
      <c r="U66" s="2" t="s">
        <v>37</v>
      </c>
      <c r="V66" s="2" t="s">
        <v>88</v>
      </c>
      <c r="W66" s="2" t="s">
        <v>855</v>
      </c>
      <c r="X66" s="2" t="s">
        <v>412</v>
      </c>
      <c r="Y66" s="2" t="s">
        <v>416</v>
      </c>
      <c r="Z66" s="2" t="s">
        <v>856</v>
      </c>
      <c r="AA66" s="2" t="s">
        <v>39</v>
      </c>
      <c r="AB66" s="2" t="s">
        <v>414</v>
      </c>
    </row>
    <row r="67" spans="1:28" hidden="1" x14ac:dyDescent="0.2">
      <c r="A67" s="2" t="s">
        <v>410</v>
      </c>
      <c r="B67" s="3">
        <v>44079</v>
      </c>
      <c r="C67" s="2" t="s">
        <v>851</v>
      </c>
      <c r="D67" s="2" t="s">
        <v>152</v>
      </c>
      <c r="E67" s="2" t="s">
        <v>138</v>
      </c>
      <c r="F67" s="2" t="s">
        <v>265</v>
      </c>
      <c r="G67" s="2" t="s">
        <v>857</v>
      </c>
      <c r="H67" s="2" t="s">
        <v>858</v>
      </c>
      <c r="I67" s="2" t="s">
        <v>386</v>
      </c>
      <c r="J67" s="2" t="s">
        <v>47</v>
      </c>
      <c r="K67" s="2" t="s">
        <v>487</v>
      </c>
      <c r="L67" s="2" t="s">
        <v>751</v>
      </c>
      <c r="M67" s="3">
        <v>44048</v>
      </c>
      <c r="N67" s="3">
        <v>44078</v>
      </c>
      <c r="O67" s="4">
        <v>91.287999999999997</v>
      </c>
      <c r="P67" s="2" t="s">
        <v>84</v>
      </c>
      <c r="Q67" s="2" t="s">
        <v>34</v>
      </c>
      <c r="R67" s="2" t="s">
        <v>266</v>
      </c>
      <c r="S67" s="2" t="s">
        <v>419</v>
      </c>
      <c r="T67" s="2" t="s">
        <v>87</v>
      </c>
      <c r="U67" s="2" t="s">
        <v>37</v>
      </c>
      <c r="V67" s="2" t="s">
        <v>88</v>
      </c>
      <c r="W67" s="2" t="s">
        <v>859</v>
      </c>
      <c r="X67" s="2" t="s">
        <v>412</v>
      </c>
      <c r="Y67" s="2" t="s">
        <v>420</v>
      </c>
      <c r="Z67" s="2" t="s">
        <v>856</v>
      </c>
      <c r="AA67" s="2" t="s">
        <v>39</v>
      </c>
      <c r="AB67" s="2" t="s">
        <v>414</v>
      </c>
    </row>
    <row r="68" spans="1:28" hidden="1" x14ac:dyDescent="0.2">
      <c r="A68" s="2" t="s">
        <v>410</v>
      </c>
      <c r="B68" s="3">
        <v>44073</v>
      </c>
      <c r="C68" s="2" t="s">
        <v>851</v>
      </c>
      <c r="D68" s="2" t="s">
        <v>152</v>
      </c>
      <c r="E68" s="2" t="s">
        <v>534</v>
      </c>
      <c r="F68" s="2" t="s">
        <v>265</v>
      </c>
      <c r="G68" s="2" t="s">
        <v>860</v>
      </c>
      <c r="H68" s="2" t="s">
        <v>861</v>
      </c>
      <c r="I68" s="2" t="s">
        <v>862</v>
      </c>
      <c r="J68" s="2" t="s">
        <v>47</v>
      </c>
      <c r="K68" s="2" t="s">
        <v>487</v>
      </c>
      <c r="L68" s="2" t="s">
        <v>751</v>
      </c>
      <c r="M68" s="3">
        <v>44048</v>
      </c>
      <c r="N68" s="3">
        <v>44078</v>
      </c>
      <c r="O68" s="4">
        <v>13.411</v>
      </c>
      <c r="P68" s="2" t="s">
        <v>84</v>
      </c>
      <c r="Q68" s="2" t="s">
        <v>34</v>
      </c>
      <c r="R68" s="2" t="s">
        <v>536</v>
      </c>
      <c r="S68" s="2" t="s">
        <v>450</v>
      </c>
      <c r="T68" s="2" t="s">
        <v>87</v>
      </c>
      <c r="U68" s="2" t="s">
        <v>37</v>
      </c>
      <c r="V68" s="2" t="s">
        <v>88</v>
      </c>
      <c r="W68" s="2" t="s">
        <v>863</v>
      </c>
      <c r="X68" s="2" t="s">
        <v>412</v>
      </c>
      <c r="Y68" s="2" t="s">
        <v>450</v>
      </c>
      <c r="Z68" s="2" t="s">
        <v>412</v>
      </c>
      <c r="AA68" s="2" t="s">
        <v>39</v>
      </c>
      <c r="AB68" s="2" t="s">
        <v>414</v>
      </c>
    </row>
    <row r="69" spans="1:28" hidden="1" x14ac:dyDescent="0.2">
      <c r="A69" s="2" t="s">
        <v>410</v>
      </c>
      <c r="B69" s="3">
        <v>44048</v>
      </c>
      <c r="C69" s="2" t="s">
        <v>851</v>
      </c>
      <c r="D69" s="2" t="s">
        <v>152</v>
      </c>
      <c r="E69" s="2" t="s">
        <v>534</v>
      </c>
      <c r="F69" s="2" t="s">
        <v>265</v>
      </c>
      <c r="G69" s="2" t="s">
        <v>864</v>
      </c>
      <c r="H69" s="2" t="s">
        <v>865</v>
      </c>
      <c r="I69" s="2" t="s">
        <v>866</v>
      </c>
      <c r="J69" s="2" t="s">
        <v>47</v>
      </c>
      <c r="K69" s="2" t="s">
        <v>487</v>
      </c>
      <c r="L69" s="2" t="s">
        <v>751</v>
      </c>
      <c r="M69" s="3">
        <v>44048</v>
      </c>
      <c r="N69" s="3">
        <v>44078</v>
      </c>
      <c r="O69" s="4">
        <v>87.581999999999994</v>
      </c>
      <c r="P69" s="2" t="s">
        <v>84</v>
      </c>
      <c r="Q69" s="2" t="s">
        <v>34</v>
      </c>
      <c r="R69" s="2" t="s">
        <v>536</v>
      </c>
      <c r="S69" s="2" t="s">
        <v>419</v>
      </c>
      <c r="T69" s="2" t="s">
        <v>87</v>
      </c>
      <c r="U69" s="2" t="s">
        <v>37</v>
      </c>
      <c r="V69" s="2" t="s">
        <v>88</v>
      </c>
      <c r="W69" s="2" t="s">
        <v>867</v>
      </c>
      <c r="X69" s="2" t="s">
        <v>412</v>
      </c>
      <c r="Y69" s="2" t="s">
        <v>466</v>
      </c>
      <c r="Z69" s="2" t="s">
        <v>412</v>
      </c>
      <c r="AA69" s="2" t="s">
        <v>39</v>
      </c>
      <c r="AB69" s="2" t="s">
        <v>414</v>
      </c>
    </row>
    <row r="70" spans="1:28" hidden="1" x14ac:dyDescent="0.2">
      <c r="A70" s="2" t="s">
        <v>410</v>
      </c>
      <c r="B70" s="3">
        <v>44048</v>
      </c>
      <c r="C70" s="2" t="s">
        <v>851</v>
      </c>
      <c r="D70" s="2" t="s">
        <v>152</v>
      </c>
      <c r="E70" s="2" t="s">
        <v>534</v>
      </c>
      <c r="F70" s="2" t="s">
        <v>265</v>
      </c>
      <c r="G70" s="2" t="s">
        <v>868</v>
      </c>
      <c r="H70" s="2" t="s">
        <v>869</v>
      </c>
      <c r="I70" s="2" t="s">
        <v>387</v>
      </c>
      <c r="J70" s="2" t="s">
        <v>47</v>
      </c>
      <c r="K70" s="2" t="s">
        <v>487</v>
      </c>
      <c r="L70" s="2" t="s">
        <v>751</v>
      </c>
      <c r="M70" s="3">
        <v>44048</v>
      </c>
      <c r="N70" s="3">
        <v>44078</v>
      </c>
      <c r="O70" s="4">
        <v>75.378</v>
      </c>
      <c r="P70" s="2" t="s">
        <v>84</v>
      </c>
      <c r="Q70" s="2" t="s">
        <v>34</v>
      </c>
      <c r="R70" s="2" t="s">
        <v>536</v>
      </c>
      <c r="S70" s="2" t="s">
        <v>446</v>
      </c>
      <c r="T70" s="2" t="s">
        <v>87</v>
      </c>
      <c r="U70" s="2" t="s">
        <v>37</v>
      </c>
      <c r="V70" s="2" t="s">
        <v>88</v>
      </c>
      <c r="W70" s="2" t="s">
        <v>870</v>
      </c>
      <c r="X70" s="2" t="s">
        <v>412</v>
      </c>
      <c r="Y70" s="2" t="s">
        <v>466</v>
      </c>
      <c r="Z70" s="2" t="s">
        <v>412</v>
      </c>
      <c r="AA70" s="2" t="s">
        <v>39</v>
      </c>
      <c r="AB70" s="2" t="s">
        <v>414</v>
      </c>
    </row>
    <row r="71" spans="1:28" hidden="1" x14ac:dyDescent="0.2">
      <c r="A71" s="2" t="s">
        <v>410</v>
      </c>
      <c r="B71" s="3">
        <v>44048</v>
      </c>
      <c r="C71" s="2" t="s">
        <v>851</v>
      </c>
      <c r="D71" s="2" t="s">
        <v>152</v>
      </c>
      <c r="E71" s="2" t="s">
        <v>534</v>
      </c>
      <c r="F71" s="2" t="s">
        <v>265</v>
      </c>
      <c r="G71" s="2" t="s">
        <v>871</v>
      </c>
      <c r="H71" s="2" t="s">
        <v>872</v>
      </c>
      <c r="I71" s="2" t="s">
        <v>873</v>
      </c>
      <c r="J71" s="2" t="s">
        <v>47</v>
      </c>
      <c r="K71" s="2" t="s">
        <v>487</v>
      </c>
      <c r="L71" s="2" t="s">
        <v>751</v>
      </c>
      <c r="M71" s="3">
        <v>44048</v>
      </c>
      <c r="N71" s="3">
        <v>44078</v>
      </c>
      <c r="O71" s="4">
        <v>48.624000000000002</v>
      </c>
      <c r="P71" s="2" t="s">
        <v>84</v>
      </c>
      <c r="Q71" s="2" t="s">
        <v>34</v>
      </c>
      <c r="R71" s="2" t="s">
        <v>536</v>
      </c>
      <c r="S71" s="2" t="s">
        <v>449</v>
      </c>
      <c r="T71" s="2" t="s">
        <v>87</v>
      </c>
      <c r="U71" s="2" t="s">
        <v>37</v>
      </c>
      <c r="V71" s="2" t="s">
        <v>88</v>
      </c>
      <c r="W71" s="2" t="s">
        <v>874</v>
      </c>
      <c r="X71" s="2" t="s">
        <v>412</v>
      </c>
      <c r="Y71" s="2" t="s">
        <v>419</v>
      </c>
      <c r="Z71" s="2" t="s">
        <v>412</v>
      </c>
      <c r="AA71" s="2" t="s">
        <v>39</v>
      </c>
      <c r="AB71" s="2" t="s">
        <v>414</v>
      </c>
    </row>
    <row r="72" spans="1:28" hidden="1" x14ac:dyDescent="0.2">
      <c r="A72" s="2" t="s">
        <v>431</v>
      </c>
      <c r="B72" s="3">
        <v>44053</v>
      </c>
      <c r="C72" s="2" t="s">
        <v>889</v>
      </c>
      <c r="D72" s="2" t="s">
        <v>28</v>
      </c>
      <c r="E72" s="2" t="s">
        <v>40</v>
      </c>
      <c r="F72" s="2" t="s">
        <v>41</v>
      </c>
      <c r="G72" s="2" t="s">
        <v>890</v>
      </c>
      <c r="H72" s="2" t="s">
        <v>891</v>
      </c>
      <c r="I72" s="2" t="s">
        <v>31</v>
      </c>
      <c r="J72" s="2" t="s">
        <v>32</v>
      </c>
      <c r="K72" s="2" t="s">
        <v>743</v>
      </c>
      <c r="L72" s="2" t="s">
        <v>744</v>
      </c>
      <c r="M72" s="3">
        <v>44053</v>
      </c>
      <c r="N72" s="3">
        <v>44060</v>
      </c>
      <c r="O72" s="4">
        <v>303.26600000000002</v>
      </c>
      <c r="P72" s="2" t="s">
        <v>33</v>
      </c>
      <c r="Q72" s="2" t="s">
        <v>34</v>
      </c>
      <c r="R72" s="2" t="s">
        <v>35</v>
      </c>
      <c r="S72" s="2" t="s">
        <v>417</v>
      </c>
      <c r="T72" s="2" t="s">
        <v>42</v>
      </c>
      <c r="U72" s="2" t="s">
        <v>37</v>
      </c>
      <c r="V72" s="2" t="s">
        <v>43</v>
      </c>
      <c r="W72" s="2" t="s">
        <v>892</v>
      </c>
      <c r="X72" s="2" t="s">
        <v>412</v>
      </c>
      <c r="Y72" s="2" t="s">
        <v>458</v>
      </c>
      <c r="Z72" s="2" t="s">
        <v>412</v>
      </c>
      <c r="AA72" s="2" t="s">
        <v>39</v>
      </c>
      <c r="AB72" s="2" t="s">
        <v>414</v>
      </c>
    </row>
    <row r="73" spans="1:28" hidden="1" x14ac:dyDescent="0.2">
      <c r="A73" s="2" t="s">
        <v>410</v>
      </c>
      <c r="B73" s="3">
        <v>44073</v>
      </c>
      <c r="C73" s="2" t="s">
        <v>875</v>
      </c>
      <c r="D73" s="2" t="s">
        <v>152</v>
      </c>
      <c r="E73" s="2" t="s">
        <v>523</v>
      </c>
      <c r="F73" s="2" t="s">
        <v>524</v>
      </c>
      <c r="G73" s="2" t="s">
        <v>876</v>
      </c>
      <c r="H73" s="2" t="s">
        <v>877</v>
      </c>
      <c r="I73" s="2" t="s">
        <v>202</v>
      </c>
      <c r="J73" s="2" t="s">
        <v>95</v>
      </c>
      <c r="K73" s="2" t="s">
        <v>754</v>
      </c>
      <c r="L73" s="2" t="s">
        <v>755</v>
      </c>
      <c r="M73" s="3">
        <v>44054</v>
      </c>
      <c r="N73" s="3">
        <v>44064</v>
      </c>
      <c r="O73" s="4">
        <v>262.77300000000002</v>
      </c>
      <c r="P73" s="2" t="s">
        <v>492</v>
      </c>
      <c r="Q73" s="2" t="s">
        <v>105</v>
      </c>
      <c r="R73" s="2" t="s">
        <v>525</v>
      </c>
      <c r="S73" s="2" t="s">
        <v>456</v>
      </c>
      <c r="T73" s="2" t="s">
        <v>87</v>
      </c>
      <c r="U73" s="2" t="s">
        <v>37</v>
      </c>
      <c r="V73" s="2" t="s">
        <v>43</v>
      </c>
      <c r="W73" s="2" t="s">
        <v>878</v>
      </c>
      <c r="X73" s="2" t="s">
        <v>412</v>
      </c>
      <c r="Y73" s="2" t="s">
        <v>510</v>
      </c>
      <c r="Z73" s="2" t="s">
        <v>412</v>
      </c>
      <c r="AA73" s="2" t="s">
        <v>39</v>
      </c>
      <c r="AB73" s="2" t="s">
        <v>414</v>
      </c>
    </row>
    <row r="74" spans="1:28" hidden="1" x14ac:dyDescent="0.2">
      <c r="A74" s="2" t="s">
        <v>410</v>
      </c>
      <c r="B74" s="3">
        <v>44073</v>
      </c>
      <c r="C74" s="2" t="s">
        <v>875</v>
      </c>
      <c r="D74" s="2" t="s">
        <v>54</v>
      </c>
      <c r="E74" s="2" t="s">
        <v>879</v>
      </c>
      <c r="F74" s="2" t="s">
        <v>880</v>
      </c>
      <c r="G74" s="2" t="s">
        <v>881</v>
      </c>
      <c r="H74" s="2" t="s">
        <v>882</v>
      </c>
      <c r="I74" s="2" t="s">
        <v>883</v>
      </c>
      <c r="J74" s="2" t="s">
        <v>83</v>
      </c>
      <c r="K74" s="2" t="s">
        <v>754</v>
      </c>
      <c r="L74" s="2" t="s">
        <v>755</v>
      </c>
      <c r="M74" s="3">
        <v>44054</v>
      </c>
      <c r="N74" s="3">
        <v>44064</v>
      </c>
      <c r="O74" s="4">
        <v>184.90799999999999</v>
      </c>
      <c r="P74" s="2" t="s">
        <v>492</v>
      </c>
      <c r="Q74" s="2" t="s">
        <v>105</v>
      </c>
      <c r="R74" s="2" t="s">
        <v>106</v>
      </c>
      <c r="S74" s="2" t="s">
        <v>420</v>
      </c>
      <c r="T74" s="2" t="s">
        <v>87</v>
      </c>
      <c r="U74" s="2" t="s">
        <v>37</v>
      </c>
      <c r="V74" s="2" t="s">
        <v>43</v>
      </c>
      <c r="W74" s="2" t="s">
        <v>884</v>
      </c>
      <c r="X74" s="2" t="s">
        <v>412</v>
      </c>
      <c r="Y74" s="2" t="s">
        <v>421</v>
      </c>
      <c r="Z74" s="2" t="s">
        <v>885</v>
      </c>
      <c r="AA74" s="2" t="s">
        <v>39</v>
      </c>
      <c r="AB74" s="2" t="s">
        <v>414</v>
      </c>
    </row>
    <row r="75" spans="1:28" hidden="1" x14ac:dyDescent="0.2">
      <c r="A75" s="2" t="s">
        <v>410</v>
      </c>
      <c r="B75" s="3">
        <v>44073</v>
      </c>
      <c r="C75" s="2" t="s">
        <v>875</v>
      </c>
      <c r="D75" s="2" t="s">
        <v>91</v>
      </c>
      <c r="E75" s="2" t="s">
        <v>197</v>
      </c>
      <c r="F75" s="2" t="s">
        <v>198</v>
      </c>
      <c r="G75" s="2" t="s">
        <v>886</v>
      </c>
      <c r="H75" s="2" t="s">
        <v>887</v>
      </c>
      <c r="I75" s="2" t="s">
        <v>94</v>
      </c>
      <c r="J75" s="2" t="s">
        <v>95</v>
      </c>
      <c r="K75" s="2" t="s">
        <v>754</v>
      </c>
      <c r="L75" s="2" t="s">
        <v>755</v>
      </c>
      <c r="M75" s="3">
        <v>44054</v>
      </c>
      <c r="N75" s="3">
        <v>44064</v>
      </c>
      <c r="O75" s="4">
        <v>95.682000000000002</v>
      </c>
      <c r="P75" s="2" t="s">
        <v>492</v>
      </c>
      <c r="Q75" s="2" t="s">
        <v>105</v>
      </c>
      <c r="R75" s="2" t="s">
        <v>199</v>
      </c>
      <c r="S75" s="2" t="s">
        <v>419</v>
      </c>
      <c r="T75" s="2" t="s">
        <v>87</v>
      </c>
      <c r="U75" s="2" t="s">
        <v>37</v>
      </c>
      <c r="V75" s="2" t="s">
        <v>43</v>
      </c>
      <c r="W75" s="2" t="s">
        <v>888</v>
      </c>
      <c r="X75" s="2" t="s">
        <v>412</v>
      </c>
      <c r="Y75" s="2" t="s">
        <v>461</v>
      </c>
      <c r="Z75" s="2" t="s">
        <v>539</v>
      </c>
      <c r="AA75" s="2" t="s">
        <v>39</v>
      </c>
      <c r="AB75" s="2" t="s">
        <v>414</v>
      </c>
    </row>
    <row r="76" spans="1:28" hidden="1" x14ac:dyDescent="0.2">
      <c r="A76" s="2" t="s">
        <v>410</v>
      </c>
      <c r="B76" s="3">
        <v>44073</v>
      </c>
      <c r="C76" s="2" t="s">
        <v>816</v>
      </c>
      <c r="D76" s="2" t="s">
        <v>28</v>
      </c>
      <c r="E76" s="2" t="s">
        <v>98</v>
      </c>
      <c r="F76" s="2" t="s">
        <v>205</v>
      </c>
      <c r="G76" s="2" t="s">
        <v>817</v>
      </c>
      <c r="H76" s="2" t="s">
        <v>818</v>
      </c>
      <c r="I76" s="2" t="s">
        <v>99</v>
      </c>
      <c r="J76" s="2" t="s">
        <v>32</v>
      </c>
      <c r="K76" s="2" t="s">
        <v>759</v>
      </c>
      <c r="L76" s="2" t="s">
        <v>760</v>
      </c>
      <c r="M76" s="3">
        <v>44054</v>
      </c>
      <c r="N76" s="3">
        <v>44071</v>
      </c>
      <c r="O76" s="4">
        <v>503.75299999999999</v>
      </c>
      <c r="P76" s="2" t="s">
        <v>492</v>
      </c>
      <c r="Q76" s="2" t="s">
        <v>34</v>
      </c>
      <c r="R76" s="2" t="s">
        <v>35</v>
      </c>
      <c r="S76" s="2" t="s">
        <v>443</v>
      </c>
      <c r="T76" s="2" t="s">
        <v>87</v>
      </c>
      <c r="U76" s="2" t="s">
        <v>37</v>
      </c>
      <c r="V76" s="2" t="s">
        <v>493</v>
      </c>
      <c r="W76" s="2" t="s">
        <v>819</v>
      </c>
      <c r="X76" s="2" t="s">
        <v>412</v>
      </c>
      <c r="Y76" s="2" t="s">
        <v>463</v>
      </c>
      <c r="Z76" s="2" t="s">
        <v>412</v>
      </c>
      <c r="AA76" s="2" t="s">
        <v>39</v>
      </c>
      <c r="AB76" s="2" t="s">
        <v>414</v>
      </c>
    </row>
    <row r="77" spans="1:28" hidden="1" x14ac:dyDescent="0.2">
      <c r="A77" s="2" t="s">
        <v>410</v>
      </c>
      <c r="B77" s="3">
        <v>44053</v>
      </c>
      <c r="C77" s="2" t="s">
        <v>816</v>
      </c>
      <c r="D77" s="2" t="s">
        <v>102</v>
      </c>
      <c r="E77" s="2" t="s">
        <v>191</v>
      </c>
      <c r="F77" s="2" t="s">
        <v>192</v>
      </c>
      <c r="G77" s="2" t="s">
        <v>820</v>
      </c>
      <c r="H77" s="2" t="s">
        <v>821</v>
      </c>
      <c r="I77" s="2" t="s">
        <v>382</v>
      </c>
      <c r="J77" s="2" t="s">
        <v>83</v>
      </c>
      <c r="K77" s="2" t="s">
        <v>759</v>
      </c>
      <c r="L77" s="2" t="s">
        <v>760</v>
      </c>
      <c r="M77" s="3">
        <v>44054</v>
      </c>
      <c r="N77" s="3">
        <v>44075</v>
      </c>
      <c r="O77" s="4">
        <v>54.511000000000003</v>
      </c>
      <c r="P77" s="2" t="s">
        <v>492</v>
      </c>
      <c r="Q77" s="2" t="s">
        <v>85</v>
      </c>
      <c r="R77" s="2" t="s">
        <v>194</v>
      </c>
      <c r="S77" s="2" t="s">
        <v>446</v>
      </c>
      <c r="T77" s="2" t="s">
        <v>87</v>
      </c>
      <c r="U77" s="2" t="s">
        <v>37</v>
      </c>
      <c r="V77" s="2" t="s">
        <v>493</v>
      </c>
      <c r="W77" s="2" t="s">
        <v>822</v>
      </c>
      <c r="X77" s="2" t="s">
        <v>412</v>
      </c>
      <c r="Y77" s="2" t="s">
        <v>823</v>
      </c>
      <c r="Z77" s="2" t="s">
        <v>412</v>
      </c>
      <c r="AA77" s="2" t="s">
        <v>39</v>
      </c>
      <c r="AB77" s="2" t="s">
        <v>414</v>
      </c>
    </row>
    <row r="78" spans="1:28" hidden="1" x14ac:dyDescent="0.2">
      <c r="A78" s="2" t="s">
        <v>410</v>
      </c>
      <c r="B78" s="3">
        <v>44053</v>
      </c>
      <c r="C78" s="2" t="s">
        <v>816</v>
      </c>
      <c r="D78" s="2" t="s">
        <v>102</v>
      </c>
      <c r="E78" s="2" t="s">
        <v>191</v>
      </c>
      <c r="F78" s="2" t="s">
        <v>192</v>
      </c>
      <c r="G78" s="2" t="s">
        <v>824</v>
      </c>
      <c r="H78" s="2" t="s">
        <v>825</v>
      </c>
      <c r="I78" s="2" t="s">
        <v>193</v>
      </c>
      <c r="J78" s="2" t="s">
        <v>83</v>
      </c>
      <c r="K78" s="2" t="s">
        <v>759</v>
      </c>
      <c r="L78" s="2" t="s">
        <v>760</v>
      </c>
      <c r="M78" s="3">
        <v>44054</v>
      </c>
      <c r="N78" s="3">
        <v>44075</v>
      </c>
      <c r="O78" s="4">
        <v>18.815000000000001</v>
      </c>
      <c r="P78" s="2" t="s">
        <v>492</v>
      </c>
      <c r="Q78" s="2" t="s">
        <v>85</v>
      </c>
      <c r="R78" s="2" t="s">
        <v>826</v>
      </c>
      <c r="S78" s="2" t="s">
        <v>450</v>
      </c>
      <c r="T78" s="2" t="s">
        <v>87</v>
      </c>
      <c r="U78" s="2" t="s">
        <v>37</v>
      </c>
      <c r="V78" s="2" t="s">
        <v>493</v>
      </c>
      <c r="W78" s="2" t="s">
        <v>822</v>
      </c>
      <c r="X78" s="2" t="s">
        <v>412</v>
      </c>
      <c r="Y78" s="2" t="s">
        <v>827</v>
      </c>
      <c r="Z78" s="2" t="s">
        <v>412</v>
      </c>
      <c r="AA78" s="2" t="s">
        <v>39</v>
      </c>
      <c r="AB78" s="2" t="s">
        <v>414</v>
      </c>
    </row>
    <row r="79" spans="1:28" x14ac:dyDescent="0.2">
      <c r="A79" s="2" t="s">
        <v>427</v>
      </c>
      <c r="B79" s="3">
        <v>44042</v>
      </c>
      <c r="C79" s="2" t="s">
        <v>623</v>
      </c>
      <c r="D79" s="2" t="s">
        <v>137</v>
      </c>
      <c r="E79" s="2" t="s">
        <v>513</v>
      </c>
      <c r="F79" s="2" t="s">
        <v>514</v>
      </c>
      <c r="G79" s="2" t="s">
        <v>624</v>
      </c>
      <c r="H79" s="2" t="s">
        <v>625</v>
      </c>
      <c r="I79" s="2" t="s">
        <v>77</v>
      </c>
      <c r="J79" s="2" t="s">
        <v>32</v>
      </c>
      <c r="K79" s="2" t="s">
        <v>591</v>
      </c>
      <c r="L79" s="2" t="s">
        <v>356</v>
      </c>
      <c r="M79" s="3">
        <v>44051</v>
      </c>
      <c r="N79" s="3">
        <v>44068</v>
      </c>
      <c r="O79" s="4">
        <v>512.86</v>
      </c>
      <c r="P79" s="2" t="s">
        <v>48</v>
      </c>
      <c r="Q79" s="2" t="s">
        <v>516</v>
      </c>
      <c r="R79" s="2" t="s">
        <v>517</v>
      </c>
      <c r="S79" s="2" t="s">
        <v>477</v>
      </c>
      <c r="T79" s="2" t="s">
        <v>362</v>
      </c>
      <c r="U79" s="2" t="s">
        <v>37</v>
      </c>
      <c r="V79" s="2" t="s">
        <v>155</v>
      </c>
      <c r="W79" s="2" t="s">
        <v>626</v>
      </c>
      <c r="X79" s="2" t="s">
        <v>412</v>
      </c>
      <c r="Y79" s="2" t="s">
        <v>448</v>
      </c>
      <c r="Z79" s="2" t="s">
        <v>292</v>
      </c>
      <c r="AA79" s="2" t="s">
        <v>39</v>
      </c>
      <c r="AB79" s="2" t="s">
        <v>414</v>
      </c>
    </row>
    <row r="80" spans="1:28" x14ac:dyDescent="0.2">
      <c r="A80" s="2" t="s">
        <v>486</v>
      </c>
      <c r="B80" s="3">
        <v>44032</v>
      </c>
      <c r="C80" s="2" t="s">
        <v>623</v>
      </c>
      <c r="D80" s="2" t="s">
        <v>178</v>
      </c>
      <c r="E80" s="2" t="s">
        <v>186</v>
      </c>
      <c r="F80" s="2" t="s">
        <v>187</v>
      </c>
      <c r="G80" s="2" t="s">
        <v>627</v>
      </c>
      <c r="H80" s="2" t="s">
        <v>628</v>
      </c>
      <c r="I80" s="2" t="s">
        <v>389</v>
      </c>
      <c r="J80" s="2" t="s">
        <v>47</v>
      </c>
      <c r="K80" s="2" t="s">
        <v>591</v>
      </c>
      <c r="L80" s="2" t="s">
        <v>356</v>
      </c>
      <c r="M80" s="3">
        <v>44051</v>
      </c>
      <c r="N80" s="3">
        <v>44061</v>
      </c>
      <c r="O80" s="4">
        <v>173.89099999999999</v>
      </c>
      <c r="P80" s="2" t="s">
        <v>48</v>
      </c>
      <c r="Q80" s="2" t="s">
        <v>182</v>
      </c>
      <c r="R80" s="2" t="s">
        <v>391</v>
      </c>
      <c r="S80" s="2" t="s">
        <v>466</v>
      </c>
      <c r="T80" s="2" t="s">
        <v>36</v>
      </c>
      <c r="U80" s="2" t="s">
        <v>37</v>
      </c>
      <c r="V80" s="2" t="s">
        <v>155</v>
      </c>
      <c r="W80" s="2" t="s">
        <v>629</v>
      </c>
      <c r="X80" s="2" t="s">
        <v>412</v>
      </c>
      <c r="Y80" s="2" t="s">
        <v>521</v>
      </c>
      <c r="Z80" s="2" t="s">
        <v>53</v>
      </c>
      <c r="AA80" s="2" t="s">
        <v>190</v>
      </c>
      <c r="AB80" s="2" t="s">
        <v>414</v>
      </c>
    </row>
    <row r="81" spans="1:28" x14ac:dyDescent="0.2">
      <c r="A81" s="2" t="s">
        <v>427</v>
      </c>
      <c r="B81" s="3">
        <v>44073</v>
      </c>
      <c r="C81" s="2" t="s">
        <v>931</v>
      </c>
      <c r="D81" s="2" t="s">
        <v>28</v>
      </c>
      <c r="E81" s="2" t="s">
        <v>129</v>
      </c>
      <c r="F81" s="2" t="s">
        <v>507</v>
      </c>
      <c r="G81" s="2" t="s">
        <v>932</v>
      </c>
      <c r="H81" s="2" t="s">
        <v>933</v>
      </c>
      <c r="I81" s="2" t="s">
        <v>77</v>
      </c>
      <c r="J81" s="2" t="s">
        <v>32</v>
      </c>
      <c r="K81" s="2" t="s">
        <v>908</v>
      </c>
      <c r="L81" s="2" t="s">
        <v>572</v>
      </c>
      <c r="M81" s="3">
        <v>44051</v>
      </c>
      <c r="N81" s="3">
        <v>44062</v>
      </c>
      <c r="O81" s="4">
        <v>484.38</v>
      </c>
      <c r="P81" s="2" t="s">
        <v>48</v>
      </c>
      <c r="Q81" s="2" t="s">
        <v>405</v>
      </c>
      <c r="R81" s="2" t="s">
        <v>406</v>
      </c>
      <c r="S81" s="2" t="s">
        <v>462</v>
      </c>
      <c r="T81" s="2" t="s">
        <v>362</v>
      </c>
      <c r="U81" s="2" t="s">
        <v>934</v>
      </c>
      <c r="V81" s="2" t="s">
        <v>155</v>
      </c>
      <c r="W81" s="2" t="s">
        <v>935</v>
      </c>
      <c r="X81" s="2" t="s">
        <v>412</v>
      </c>
      <c r="Y81" s="2" t="s">
        <v>483</v>
      </c>
      <c r="Z81" s="2" t="s">
        <v>412</v>
      </c>
      <c r="AA81" s="2" t="s">
        <v>39</v>
      </c>
      <c r="AB81" s="2" t="s">
        <v>414</v>
      </c>
    </row>
    <row r="82" spans="1:28" x14ac:dyDescent="0.2">
      <c r="A82" s="2" t="s">
        <v>427</v>
      </c>
      <c r="B82" s="3">
        <v>44073</v>
      </c>
      <c r="C82" s="2" t="s">
        <v>931</v>
      </c>
      <c r="D82" s="2" t="s">
        <v>28</v>
      </c>
      <c r="E82" s="2" t="s">
        <v>129</v>
      </c>
      <c r="F82" s="2" t="s">
        <v>507</v>
      </c>
      <c r="G82" s="2" t="s">
        <v>936</v>
      </c>
      <c r="H82" s="2" t="s">
        <v>937</v>
      </c>
      <c r="I82" s="2" t="s">
        <v>77</v>
      </c>
      <c r="J82" s="2" t="s">
        <v>32</v>
      </c>
      <c r="K82" s="2" t="s">
        <v>908</v>
      </c>
      <c r="L82" s="2" t="s">
        <v>572</v>
      </c>
      <c r="M82" s="3">
        <v>44051</v>
      </c>
      <c r="N82" s="3">
        <v>44062</v>
      </c>
      <c r="O82" s="4">
        <v>511.29</v>
      </c>
      <c r="P82" s="2" t="s">
        <v>48</v>
      </c>
      <c r="Q82" s="2" t="s">
        <v>405</v>
      </c>
      <c r="R82" s="2" t="s">
        <v>406</v>
      </c>
      <c r="S82" s="2" t="s">
        <v>477</v>
      </c>
      <c r="T82" s="2" t="s">
        <v>362</v>
      </c>
      <c r="U82" s="2" t="s">
        <v>934</v>
      </c>
      <c r="V82" s="2" t="s">
        <v>155</v>
      </c>
      <c r="W82" s="2" t="s">
        <v>938</v>
      </c>
      <c r="X82" s="2" t="s">
        <v>412</v>
      </c>
      <c r="Y82" s="2" t="s">
        <v>448</v>
      </c>
      <c r="Z82" s="2" t="s">
        <v>412</v>
      </c>
      <c r="AA82" s="2" t="s">
        <v>39</v>
      </c>
      <c r="AB82" s="2" t="s">
        <v>414</v>
      </c>
    </row>
    <row r="83" spans="1:28" x14ac:dyDescent="0.2">
      <c r="A83" s="2" t="s">
        <v>427</v>
      </c>
      <c r="B83" s="3">
        <v>44017</v>
      </c>
      <c r="C83" s="2" t="s">
        <v>939</v>
      </c>
      <c r="D83" s="2" t="s">
        <v>44</v>
      </c>
      <c r="E83" s="2" t="s">
        <v>45</v>
      </c>
      <c r="F83" s="2" t="s">
        <v>46</v>
      </c>
      <c r="G83" s="2" t="s">
        <v>940</v>
      </c>
      <c r="H83" s="2" t="s">
        <v>941</v>
      </c>
      <c r="I83" s="2" t="s">
        <v>708</v>
      </c>
      <c r="J83" s="2" t="s">
        <v>47</v>
      </c>
      <c r="K83" s="2" t="s">
        <v>754</v>
      </c>
      <c r="L83" s="2" t="s">
        <v>755</v>
      </c>
      <c r="M83" s="3">
        <v>44051</v>
      </c>
      <c r="N83" s="3">
        <v>44079</v>
      </c>
      <c r="O83" s="4">
        <v>20.274999999999999</v>
      </c>
      <c r="P83" s="2" t="s">
        <v>48</v>
      </c>
      <c r="Q83" s="2" t="s">
        <v>49</v>
      </c>
      <c r="R83" s="2" t="s">
        <v>50</v>
      </c>
      <c r="S83" s="2" t="s">
        <v>450</v>
      </c>
      <c r="T83" s="2" t="s">
        <v>42</v>
      </c>
      <c r="U83" s="2" t="s">
        <v>37</v>
      </c>
      <c r="V83" s="2" t="s">
        <v>43</v>
      </c>
      <c r="W83" s="2" t="s">
        <v>757</v>
      </c>
      <c r="X83" s="2" t="s">
        <v>412</v>
      </c>
      <c r="Y83" s="2" t="s">
        <v>449</v>
      </c>
      <c r="Z83" s="2" t="s">
        <v>53</v>
      </c>
      <c r="AA83" s="2" t="s">
        <v>39</v>
      </c>
      <c r="AB83" s="2" t="s">
        <v>414</v>
      </c>
    </row>
    <row r="84" spans="1:28" hidden="1" x14ac:dyDescent="0.2">
      <c r="A84" s="2" t="s">
        <v>431</v>
      </c>
      <c r="B84" s="3">
        <v>44048</v>
      </c>
      <c r="C84" s="2" t="s">
        <v>905</v>
      </c>
      <c r="D84" s="2" t="s">
        <v>137</v>
      </c>
      <c r="E84" s="2" t="s">
        <v>156</v>
      </c>
      <c r="F84" s="2" t="s">
        <v>157</v>
      </c>
      <c r="G84" s="2" t="s">
        <v>906</v>
      </c>
      <c r="H84" s="2" t="s">
        <v>907</v>
      </c>
      <c r="I84" s="2" t="s">
        <v>158</v>
      </c>
      <c r="J84" s="2" t="s">
        <v>58</v>
      </c>
      <c r="K84" s="2" t="s">
        <v>908</v>
      </c>
      <c r="L84" s="2" t="s">
        <v>572</v>
      </c>
      <c r="M84" s="3">
        <v>44054</v>
      </c>
      <c r="N84" s="3">
        <v>44067</v>
      </c>
      <c r="O84" s="4">
        <v>103.02200000000001</v>
      </c>
      <c r="P84" s="2" t="s">
        <v>33</v>
      </c>
      <c r="Q84" s="2" t="s">
        <v>159</v>
      </c>
      <c r="R84" s="2" t="s">
        <v>160</v>
      </c>
      <c r="S84" s="2" t="s">
        <v>419</v>
      </c>
      <c r="T84" s="2" t="s">
        <v>72</v>
      </c>
      <c r="U84" s="2" t="s">
        <v>37</v>
      </c>
      <c r="V84" s="2" t="s">
        <v>43</v>
      </c>
      <c r="W84" s="2" t="s">
        <v>909</v>
      </c>
      <c r="X84" s="2" t="s">
        <v>412</v>
      </c>
      <c r="Y84" s="2" t="s">
        <v>454</v>
      </c>
      <c r="Z84" s="2" t="s">
        <v>412</v>
      </c>
      <c r="AA84" s="2" t="s">
        <v>39</v>
      </c>
      <c r="AB84" s="2" t="s">
        <v>414</v>
      </c>
    </row>
    <row r="85" spans="1:28" hidden="1" x14ac:dyDescent="0.2">
      <c r="A85" s="2" t="s">
        <v>431</v>
      </c>
      <c r="B85" s="3">
        <v>44048</v>
      </c>
      <c r="C85" s="2" t="s">
        <v>905</v>
      </c>
      <c r="D85" s="2" t="s">
        <v>137</v>
      </c>
      <c r="E85" s="2" t="s">
        <v>156</v>
      </c>
      <c r="F85" s="2" t="s">
        <v>157</v>
      </c>
      <c r="G85" s="2" t="s">
        <v>910</v>
      </c>
      <c r="H85" s="2" t="s">
        <v>911</v>
      </c>
      <c r="I85" s="2" t="s">
        <v>161</v>
      </c>
      <c r="J85" s="2" t="s">
        <v>58</v>
      </c>
      <c r="K85" s="2" t="s">
        <v>908</v>
      </c>
      <c r="L85" s="2" t="s">
        <v>572</v>
      </c>
      <c r="M85" s="3">
        <v>44054</v>
      </c>
      <c r="N85" s="3">
        <v>44067</v>
      </c>
      <c r="O85" s="4">
        <v>102.824</v>
      </c>
      <c r="P85" s="2" t="s">
        <v>33</v>
      </c>
      <c r="Q85" s="2" t="s">
        <v>159</v>
      </c>
      <c r="R85" s="2" t="s">
        <v>160</v>
      </c>
      <c r="S85" s="2" t="s">
        <v>419</v>
      </c>
      <c r="T85" s="2" t="s">
        <v>72</v>
      </c>
      <c r="U85" s="2" t="s">
        <v>37</v>
      </c>
      <c r="V85" s="2" t="s">
        <v>43</v>
      </c>
      <c r="W85" s="2" t="s">
        <v>912</v>
      </c>
      <c r="X85" s="2" t="s">
        <v>412</v>
      </c>
      <c r="Y85" s="2" t="s">
        <v>433</v>
      </c>
      <c r="Z85" s="2" t="s">
        <v>412</v>
      </c>
      <c r="AA85" s="2" t="s">
        <v>39</v>
      </c>
      <c r="AB85" s="2" t="s">
        <v>414</v>
      </c>
    </row>
    <row r="86" spans="1:28" hidden="1" x14ac:dyDescent="0.2">
      <c r="A86" s="2" t="s">
        <v>410</v>
      </c>
      <c r="B86" s="3">
        <v>44053</v>
      </c>
      <c r="C86" s="2" t="s">
        <v>917</v>
      </c>
      <c r="D86" s="2" t="s">
        <v>91</v>
      </c>
      <c r="E86" s="2" t="s">
        <v>214</v>
      </c>
      <c r="F86" s="2" t="s">
        <v>215</v>
      </c>
      <c r="G86" s="2" t="s">
        <v>918</v>
      </c>
      <c r="H86" s="2" t="s">
        <v>919</v>
      </c>
      <c r="I86" s="2" t="s">
        <v>216</v>
      </c>
      <c r="J86" s="2" t="s">
        <v>95</v>
      </c>
      <c r="K86" s="2" t="s">
        <v>920</v>
      </c>
      <c r="L86" s="2" t="s">
        <v>831</v>
      </c>
      <c r="M86" s="3">
        <v>44060</v>
      </c>
      <c r="N86" s="3">
        <v>44073</v>
      </c>
      <c r="O86" s="4">
        <v>158.42599999999999</v>
      </c>
      <c r="P86" s="2" t="s">
        <v>492</v>
      </c>
      <c r="Q86" s="2" t="s">
        <v>100</v>
      </c>
      <c r="R86" s="2" t="s">
        <v>101</v>
      </c>
      <c r="S86" s="2" t="s">
        <v>466</v>
      </c>
      <c r="T86" s="2" t="s">
        <v>87</v>
      </c>
      <c r="U86" s="2" t="s">
        <v>37</v>
      </c>
      <c r="V86" s="2" t="s">
        <v>504</v>
      </c>
      <c r="W86" s="2" t="s">
        <v>921</v>
      </c>
      <c r="X86" s="2" t="s">
        <v>412</v>
      </c>
      <c r="Y86" s="2" t="s">
        <v>521</v>
      </c>
      <c r="Z86" s="2" t="s">
        <v>412</v>
      </c>
      <c r="AA86" s="2" t="s">
        <v>39</v>
      </c>
      <c r="AB86" s="2" t="s">
        <v>414</v>
      </c>
    </row>
    <row r="87" spans="1:28" x14ac:dyDescent="0.2">
      <c r="A87" s="2" t="s">
        <v>427</v>
      </c>
      <c r="B87" s="3">
        <v>44074</v>
      </c>
      <c r="C87" s="2" t="s">
        <v>893</v>
      </c>
      <c r="D87" s="2" t="s">
        <v>28</v>
      </c>
      <c r="E87" s="2" t="s">
        <v>253</v>
      </c>
      <c r="F87" s="2" t="s">
        <v>254</v>
      </c>
      <c r="G87" s="2" t="s">
        <v>894</v>
      </c>
      <c r="H87" s="2" t="s">
        <v>895</v>
      </c>
      <c r="I87" s="2" t="s">
        <v>255</v>
      </c>
      <c r="J87" s="2" t="s">
        <v>58</v>
      </c>
      <c r="K87" s="2" t="s">
        <v>489</v>
      </c>
      <c r="L87" s="2" t="s">
        <v>896</v>
      </c>
      <c r="M87" s="3">
        <v>44052</v>
      </c>
      <c r="N87" s="3">
        <v>44074</v>
      </c>
      <c r="O87" s="4">
        <v>92.53</v>
      </c>
      <c r="P87" s="2" t="s">
        <v>48</v>
      </c>
      <c r="Q87" s="2" t="s">
        <v>59</v>
      </c>
      <c r="R87" s="2" t="s">
        <v>60</v>
      </c>
      <c r="S87" s="2" t="s">
        <v>419</v>
      </c>
      <c r="T87" s="2" t="s">
        <v>61</v>
      </c>
      <c r="U87" s="2" t="s">
        <v>37</v>
      </c>
      <c r="V87" s="2" t="s">
        <v>52</v>
      </c>
      <c r="W87" s="2" t="s">
        <v>897</v>
      </c>
      <c r="X87" s="2" t="s">
        <v>412</v>
      </c>
      <c r="Y87" s="2" t="s">
        <v>433</v>
      </c>
      <c r="Z87" s="2" t="s">
        <v>898</v>
      </c>
      <c r="AA87" s="2" t="s">
        <v>175</v>
      </c>
      <c r="AB87" s="2" t="s">
        <v>414</v>
      </c>
    </row>
    <row r="88" spans="1:28" x14ac:dyDescent="0.2">
      <c r="A88" s="2" t="s">
        <v>427</v>
      </c>
      <c r="B88" s="3">
        <v>44074</v>
      </c>
      <c r="C88" s="2" t="s">
        <v>893</v>
      </c>
      <c r="D88" s="2" t="s">
        <v>28</v>
      </c>
      <c r="E88" s="2" t="s">
        <v>253</v>
      </c>
      <c r="F88" s="2" t="s">
        <v>254</v>
      </c>
      <c r="G88" s="2" t="s">
        <v>899</v>
      </c>
      <c r="H88" s="2" t="s">
        <v>900</v>
      </c>
      <c r="I88" s="2" t="s">
        <v>256</v>
      </c>
      <c r="J88" s="2" t="s">
        <v>58</v>
      </c>
      <c r="K88" s="2" t="s">
        <v>489</v>
      </c>
      <c r="L88" s="2" t="s">
        <v>896</v>
      </c>
      <c r="M88" s="3">
        <v>44052</v>
      </c>
      <c r="N88" s="3">
        <v>44074</v>
      </c>
      <c r="O88" s="4">
        <v>76.364000000000004</v>
      </c>
      <c r="P88" s="2" t="s">
        <v>48</v>
      </c>
      <c r="Q88" s="2" t="s">
        <v>59</v>
      </c>
      <c r="R88" s="2" t="s">
        <v>60</v>
      </c>
      <c r="S88" s="2" t="s">
        <v>446</v>
      </c>
      <c r="T88" s="2" t="s">
        <v>72</v>
      </c>
      <c r="U88" s="2" t="s">
        <v>37</v>
      </c>
      <c r="V88" s="2" t="s">
        <v>52</v>
      </c>
      <c r="W88" s="2" t="s">
        <v>901</v>
      </c>
      <c r="X88" s="2" t="s">
        <v>412</v>
      </c>
      <c r="Y88" s="2" t="s">
        <v>455</v>
      </c>
      <c r="Z88" s="2" t="s">
        <v>898</v>
      </c>
      <c r="AA88" s="2" t="s">
        <v>175</v>
      </c>
      <c r="AB88" s="2" t="s">
        <v>414</v>
      </c>
    </row>
    <row r="89" spans="1:28" x14ac:dyDescent="0.2">
      <c r="A89" s="2" t="s">
        <v>427</v>
      </c>
      <c r="B89" s="3">
        <v>44074</v>
      </c>
      <c r="C89" s="2" t="s">
        <v>893</v>
      </c>
      <c r="D89" s="2" t="s">
        <v>28</v>
      </c>
      <c r="E89" s="2" t="s">
        <v>253</v>
      </c>
      <c r="F89" s="2" t="s">
        <v>254</v>
      </c>
      <c r="G89" s="2" t="s">
        <v>902</v>
      </c>
      <c r="H89" s="2" t="s">
        <v>903</v>
      </c>
      <c r="I89" s="2" t="s">
        <v>396</v>
      </c>
      <c r="J89" s="2" t="s">
        <v>58</v>
      </c>
      <c r="K89" s="2" t="s">
        <v>489</v>
      </c>
      <c r="L89" s="2" t="s">
        <v>896</v>
      </c>
      <c r="M89" s="3">
        <v>44052</v>
      </c>
      <c r="N89" s="3">
        <v>44074</v>
      </c>
      <c r="O89" s="4">
        <v>44.704000000000001</v>
      </c>
      <c r="P89" s="2" t="s">
        <v>48</v>
      </c>
      <c r="Q89" s="2" t="s">
        <v>59</v>
      </c>
      <c r="R89" s="2" t="s">
        <v>60</v>
      </c>
      <c r="S89" s="2" t="s">
        <v>449</v>
      </c>
      <c r="T89" s="2" t="s">
        <v>61</v>
      </c>
      <c r="U89" s="2" t="s">
        <v>37</v>
      </c>
      <c r="V89" s="2" t="s">
        <v>52</v>
      </c>
      <c r="W89" s="2" t="s">
        <v>904</v>
      </c>
      <c r="X89" s="2" t="s">
        <v>412</v>
      </c>
      <c r="Y89" s="2" t="s">
        <v>459</v>
      </c>
      <c r="Z89" s="2" t="s">
        <v>898</v>
      </c>
      <c r="AA89" s="2" t="s">
        <v>175</v>
      </c>
      <c r="AB89" s="2" t="s">
        <v>414</v>
      </c>
    </row>
    <row r="90" spans="1:28" hidden="1" x14ac:dyDescent="0.2">
      <c r="A90" s="2" t="s">
        <v>431</v>
      </c>
      <c r="B90" s="3">
        <v>44058</v>
      </c>
      <c r="C90" s="2" t="s">
        <v>947</v>
      </c>
      <c r="D90" s="2" t="s">
        <v>91</v>
      </c>
      <c r="E90" s="2" t="s">
        <v>217</v>
      </c>
      <c r="F90" s="2" t="s">
        <v>218</v>
      </c>
      <c r="G90" s="2" t="s">
        <v>948</v>
      </c>
      <c r="H90" s="2" t="s">
        <v>949</v>
      </c>
      <c r="I90" s="2" t="s">
        <v>63</v>
      </c>
      <c r="J90" s="2" t="s">
        <v>64</v>
      </c>
      <c r="K90" s="2" t="s">
        <v>739</v>
      </c>
      <c r="L90" s="2" t="s">
        <v>740</v>
      </c>
      <c r="M90" s="3">
        <v>44056</v>
      </c>
      <c r="N90" s="3">
        <v>44071</v>
      </c>
      <c r="O90" s="4">
        <v>413.75</v>
      </c>
      <c r="P90" s="2" t="s">
        <v>33</v>
      </c>
      <c r="Q90" s="2" t="s">
        <v>34</v>
      </c>
      <c r="R90" s="2" t="s">
        <v>268</v>
      </c>
      <c r="S90" s="2" t="s">
        <v>452</v>
      </c>
      <c r="T90" s="2" t="s">
        <v>36</v>
      </c>
      <c r="U90" s="2" t="s">
        <v>37</v>
      </c>
      <c r="V90" s="2" t="s">
        <v>65</v>
      </c>
      <c r="W90" s="2" t="s">
        <v>950</v>
      </c>
      <c r="X90" s="2" t="s">
        <v>412</v>
      </c>
      <c r="Y90" s="2" t="s">
        <v>453</v>
      </c>
      <c r="Z90" s="2" t="s">
        <v>412</v>
      </c>
      <c r="AA90" s="2" t="s">
        <v>39</v>
      </c>
      <c r="AB90" s="2" t="s">
        <v>414</v>
      </c>
    </row>
    <row r="91" spans="1:28" x14ac:dyDescent="0.2">
      <c r="A91" s="2" t="s">
        <v>427</v>
      </c>
      <c r="B91" s="3">
        <v>44073</v>
      </c>
      <c r="C91" s="2" t="s">
        <v>956</v>
      </c>
      <c r="D91" s="2" t="s">
        <v>74</v>
      </c>
      <c r="E91" s="2" t="s">
        <v>75</v>
      </c>
      <c r="F91" s="2" t="s">
        <v>76</v>
      </c>
      <c r="G91" s="2" t="s">
        <v>957</v>
      </c>
      <c r="H91" s="2" t="s">
        <v>958</v>
      </c>
      <c r="I91" s="2" t="s">
        <v>77</v>
      </c>
      <c r="J91" s="2" t="s">
        <v>32</v>
      </c>
      <c r="K91" s="2" t="s">
        <v>959</v>
      </c>
      <c r="L91" s="2" t="s">
        <v>960</v>
      </c>
      <c r="M91" s="3">
        <v>44053</v>
      </c>
      <c r="N91" s="3">
        <v>44115</v>
      </c>
      <c r="O91" s="4">
        <v>299.654</v>
      </c>
      <c r="P91" s="2" t="s">
        <v>48</v>
      </c>
      <c r="Q91" s="2" t="s">
        <v>78</v>
      </c>
      <c r="R91" s="2" t="s">
        <v>79</v>
      </c>
      <c r="S91" s="2" t="s">
        <v>425</v>
      </c>
      <c r="T91" s="2" t="s">
        <v>36</v>
      </c>
      <c r="U91" s="2" t="s">
        <v>37</v>
      </c>
      <c r="V91" s="2" t="s">
        <v>73</v>
      </c>
      <c r="W91" s="2" t="s">
        <v>961</v>
      </c>
      <c r="X91" s="2" t="s">
        <v>412</v>
      </c>
      <c r="Y91" s="2" t="s">
        <v>426</v>
      </c>
      <c r="Z91" s="2" t="s">
        <v>962</v>
      </c>
      <c r="AA91" s="2" t="s">
        <v>39</v>
      </c>
      <c r="AB91" s="2" t="s">
        <v>414</v>
      </c>
    </row>
    <row r="92" spans="1:28" x14ac:dyDescent="0.2">
      <c r="A92" s="2" t="s">
        <v>427</v>
      </c>
      <c r="B92" s="3">
        <v>44073</v>
      </c>
      <c r="C92" s="2" t="s">
        <v>956</v>
      </c>
      <c r="D92" s="2" t="s">
        <v>74</v>
      </c>
      <c r="E92" s="2" t="s">
        <v>75</v>
      </c>
      <c r="F92" s="2" t="s">
        <v>76</v>
      </c>
      <c r="G92" s="2" t="s">
        <v>963</v>
      </c>
      <c r="H92" s="2" t="s">
        <v>964</v>
      </c>
      <c r="I92" s="2" t="s">
        <v>77</v>
      </c>
      <c r="J92" s="2" t="s">
        <v>32</v>
      </c>
      <c r="K92" s="2" t="s">
        <v>959</v>
      </c>
      <c r="L92" s="2" t="s">
        <v>960</v>
      </c>
      <c r="M92" s="3">
        <v>44053</v>
      </c>
      <c r="N92" s="3">
        <v>44115</v>
      </c>
      <c r="O92" s="4">
        <v>224.77199999999999</v>
      </c>
      <c r="P92" s="2" t="s">
        <v>48</v>
      </c>
      <c r="Q92" s="2" t="s">
        <v>78</v>
      </c>
      <c r="R92" s="2" t="s">
        <v>79</v>
      </c>
      <c r="S92" s="2" t="s">
        <v>422</v>
      </c>
      <c r="T92" s="2" t="s">
        <v>72</v>
      </c>
      <c r="U92" s="2" t="s">
        <v>37</v>
      </c>
      <c r="V92" s="2" t="s">
        <v>73</v>
      </c>
      <c r="W92" s="2" t="s">
        <v>965</v>
      </c>
      <c r="X92" s="2" t="s">
        <v>412</v>
      </c>
      <c r="Y92" s="2" t="s">
        <v>423</v>
      </c>
      <c r="Z92" s="2" t="s">
        <v>653</v>
      </c>
      <c r="AA92" s="2" t="s">
        <v>39</v>
      </c>
      <c r="AB92" s="2" t="s">
        <v>414</v>
      </c>
    </row>
    <row r="93" spans="1:28" x14ac:dyDescent="0.2">
      <c r="A93" s="2" t="s">
        <v>427</v>
      </c>
      <c r="B93" s="3">
        <v>44073</v>
      </c>
      <c r="C93" s="2" t="s">
        <v>956</v>
      </c>
      <c r="D93" s="2" t="s">
        <v>74</v>
      </c>
      <c r="E93" s="2" t="s">
        <v>75</v>
      </c>
      <c r="F93" s="2" t="s">
        <v>966</v>
      </c>
      <c r="G93" s="2" t="s">
        <v>967</v>
      </c>
      <c r="H93" s="2" t="s">
        <v>968</v>
      </c>
      <c r="I93" s="2" t="s">
        <v>77</v>
      </c>
      <c r="J93" s="2" t="s">
        <v>32</v>
      </c>
      <c r="K93" s="2" t="s">
        <v>959</v>
      </c>
      <c r="L93" s="2" t="s">
        <v>960</v>
      </c>
      <c r="M93" s="3">
        <v>44053</v>
      </c>
      <c r="N93" s="3">
        <v>44110</v>
      </c>
      <c r="O93" s="4">
        <v>499.76100000000002</v>
      </c>
      <c r="P93" s="2" t="s">
        <v>48</v>
      </c>
      <c r="Q93" s="2" t="s">
        <v>149</v>
      </c>
      <c r="R93" s="2" t="s">
        <v>150</v>
      </c>
      <c r="S93" s="2" t="s">
        <v>428</v>
      </c>
      <c r="T93" s="2" t="s">
        <v>72</v>
      </c>
      <c r="U93" s="2" t="s">
        <v>37</v>
      </c>
      <c r="V93" s="2" t="s">
        <v>73</v>
      </c>
      <c r="W93" s="2" t="s">
        <v>969</v>
      </c>
      <c r="X93" s="2" t="s">
        <v>412</v>
      </c>
      <c r="Y93" s="2" t="s">
        <v>429</v>
      </c>
      <c r="Z93" s="2" t="s">
        <v>412</v>
      </c>
      <c r="AA93" s="2" t="s">
        <v>39</v>
      </c>
      <c r="AB93" s="2" t="s">
        <v>414</v>
      </c>
    </row>
    <row r="94" spans="1:28" hidden="1" x14ac:dyDescent="0.2">
      <c r="A94" s="2" t="s">
        <v>431</v>
      </c>
      <c r="B94" s="3">
        <v>44053</v>
      </c>
      <c r="C94" s="2" t="s">
        <v>982</v>
      </c>
      <c r="D94" s="2" t="s">
        <v>62</v>
      </c>
      <c r="E94" s="2" t="s">
        <v>217</v>
      </c>
      <c r="F94" s="2" t="s">
        <v>218</v>
      </c>
      <c r="G94" s="2" t="s">
        <v>983</v>
      </c>
      <c r="H94" s="2" t="s">
        <v>984</v>
      </c>
      <c r="I94" s="2" t="s">
        <v>31</v>
      </c>
      <c r="J94" s="2" t="s">
        <v>32</v>
      </c>
      <c r="K94" s="2" t="s">
        <v>388</v>
      </c>
      <c r="L94" s="2" t="s">
        <v>831</v>
      </c>
      <c r="M94" s="3">
        <v>44059</v>
      </c>
      <c r="N94" s="3">
        <v>44067</v>
      </c>
      <c r="O94" s="4">
        <v>487.68</v>
      </c>
      <c r="P94" s="2" t="s">
        <v>33</v>
      </c>
      <c r="Q94" s="2" t="s">
        <v>34</v>
      </c>
      <c r="R94" s="2" t="s">
        <v>35</v>
      </c>
      <c r="S94" s="2" t="s">
        <v>428</v>
      </c>
      <c r="T94" s="2" t="s">
        <v>36</v>
      </c>
      <c r="U94" s="2" t="s">
        <v>290</v>
      </c>
      <c r="V94" s="2" t="s">
        <v>43</v>
      </c>
      <c r="W94" s="2" t="s">
        <v>985</v>
      </c>
      <c r="X94" s="2" t="s">
        <v>412</v>
      </c>
      <c r="Y94" s="2" t="s">
        <v>429</v>
      </c>
      <c r="Z94" s="2" t="s">
        <v>412</v>
      </c>
      <c r="AA94" s="2" t="s">
        <v>39</v>
      </c>
      <c r="AB94" s="2" t="s">
        <v>414</v>
      </c>
    </row>
    <row r="95" spans="1:28" hidden="1" x14ac:dyDescent="0.2">
      <c r="A95" s="2" t="s">
        <v>410</v>
      </c>
      <c r="B95" s="3">
        <v>44048</v>
      </c>
      <c r="C95" s="2" t="s">
        <v>913</v>
      </c>
      <c r="D95" s="2" t="s">
        <v>62</v>
      </c>
      <c r="E95" s="2" t="s">
        <v>378</v>
      </c>
      <c r="F95" s="2" t="s">
        <v>379</v>
      </c>
      <c r="G95" s="2" t="s">
        <v>914</v>
      </c>
      <c r="H95" s="2" t="s">
        <v>915</v>
      </c>
      <c r="I95" s="2" t="s">
        <v>380</v>
      </c>
      <c r="J95" s="2" t="s">
        <v>83</v>
      </c>
      <c r="K95" s="2" t="s">
        <v>495</v>
      </c>
      <c r="L95" s="2" t="s">
        <v>753</v>
      </c>
      <c r="M95" s="3">
        <v>44059</v>
      </c>
      <c r="N95" s="3">
        <v>44076</v>
      </c>
      <c r="O95" s="4">
        <v>96.004999999999995</v>
      </c>
      <c r="P95" s="2" t="s">
        <v>492</v>
      </c>
      <c r="Q95" s="2" t="s">
        <v>206</v>
      </c>
      <c r="R95" s="2" t="s">
        <v>381</v>
      </c>
      <c r="S95" s="2" t="s">
        <v>415</v>
      </c>
      <c r="T95" s="2" t="s">
        <v>87</v>
      </c>
      <c r="U95" s="2" t="s">
        <v>37</v>
      </c>
      <c r="V95" s="2" t="s">
        <v>504</v>
      </c>
      <c r="W95" s="2" t="s">
        <v>916</v>
      </c>
      <c r="X95" s="2" t="s">
        <v>412</v>
      </c>
      <c r="Y95" s="2" t="s">
        <v>468</v>
      </c>
      <c r="Z95" s="2" t="s">
        <v>412</v>
      </c>
      <c r="AA95" s="2" t="s">
        <v>39</v>
      </c>
      <c r="AB95" s="2" t="s">
        <v>414</v>
      </c>
    </row>
    <row r="96" spans="1:28" hidden="1" x14ac:dyDescent="0.2">
      <c r="A96" s="2" t="s">
        <v>470</v>
      </c>
      <c r="B96" s="3">
        <v>44058</v>
      </c>
      <c r="C96" s="2" t="s">
        <v>1034</v>
      </c>
      <c r="D96" s="2" t="s">
        <v>54</v>
      </c>
      <c r="E96" s="2" t="s">
        <v>237</v>
      </c>
      <c r="F96" s="2" t="s">
        <v>238</v>
      </c>
      <c r="G96" s="2" t="s">
        <v>1035</v>
      </c>
      <c r="H96" s="2" t="s">
        <v>1036</v>
      </c>
      <c r="I96" s="2" t="s">
        <v>239</v>
      </c>
      <c r="J96" s="2" t="s">
        <v>223</v>
      </c>
      <c r="K96" s="2" t="s">
        <v>488</v>
      </c>
      <c r="L96" s="2" t="s">
        <v>1037</v>
      </c>
      <c r="M96" s="3">
        <v>44055</v>
      </c>
      <c r="N96" s="3">
        <v>44083</v>
      </c>
      <c r="O96" s="4">
        <v>107.009</v>
      </c>
      <c r="P96" s="2" t="s">
        <v>224</v>
      </c>
      <c r="Q96" s="2" t="s">
        <v>153</v>
      </c>
      <c r="R96" s="2" t="s">
        <v>154</v>
      </c>
      <c r="S96" s="2" t="s">
        <v>419</v>
      </c>
      <c r="T96" s="2" t="s">
        <v>87</v>
      </c>
      <c r="U96" s="2" t="s">
        <v>37</v>
      </c>
      <c r="V96" s="2" t="s">
        <v>88</v>
      </c>
      <c r="W96" s="2" t="s">
        <v>1038</v>
      </c>
      <c r="X96" s="2" t="s">
        <v>412</v>
      </c>
      <c r="Y96" s="2" t="s">
        <v>472</v>
      </c>
      <c r="Z96" s="2" t="s">
        <v>412</v>
      </c>
      <c r="AA96" s="2" t="s">
        <v>39</v>
      </c>
      <c r="AB96" s="2" t="s">
        <v>414</v>
      </c>
    </row>
    <row r="97" spans="1:28" hidden="1" x14ac:dyDescent="0.2">
      <c r="A97" s="2" t="s">
        <v>470</v>
      </c>
      <c r="B97" s="3">
        <v>44073</v>
      </c>
      <c r="C97" s="2" t="s">
        <v>1034</v>
      </c>
      <c r="D97" s="2" t="s">
        <v>28</v>
      </c>
      <c r="E97" s="2" t="s">
        <v>110</v>
      </c>
      <c r="F97" s="2" t="s">
        <v>111</v>
      </c>
      <c r="G97" s="2" t="s">
        <v>1039</v>
      </c>
      <c r="H97" s="2" t="s">
        <v>1040</v>
      </c>
      <c r="I97" s="2" t="s">
        <v>31</v>
      </c>
      <c r="J97" s="2" t="s">
        <v>32</v>
      </c>
      <c r="K97" s="2" t="s">
        <v>488</v>
      </c>
      <c r="L97" s="2" t="s">
        <v>1037</v>
      </c>
      <c r="M97" s="3">
        <v>44055</v>
      </c>
      <c r="N97" s="3">
        <v>44086</v>
      </c>
      <c r="O97" s="4">
        <v>489.69</v>
      </c>
      <c r="P97" s="2" t="s">
        <v>224</v>
      </c>
      <c r="Q97" s="2" t="s">
        <v>34</v>
      </c>
      <c r="R97" s="2" t="s">
        <v>35</v>
      </c>
      <c r="S97" s="2" t="s">
        <v>432</v>
      </c>
      <c r="T97" s="2" t="s">
        <v>87</v>
      </c>
      <c r="U97" s="2" t="s">
        <v>37</v>
      </c>
      <c r="V97" s="2" t="s">
        <v>88</v>
      </c>
      <c r="W97" s="2" t="s">
        <v>1041</v>
      </c>
      <c r="X97" s="2" t="s">
        <v>412</v>
      </c>
      <c r="Y97" s="2" t="s">
        <v>478</v>
      </c>
      <c r="Z97" s="2" t="s">
        <v>946</v>
      </c>
      <c r="AA97" s="2" t="s">
        <v>39</v>
      </c>
      <c r="AB97" s="2" t="s">
        <v>414</v>
      </c>
    </row>
    <row r="98" spans="1:28" hidden="1" x14ac:dyDescent="0.2">
      <c r="A98" s="2" t="s">
        <v>470</v>
      </c>
      <c r="B98" s="3">
        <v>44073</v>
      </c>
      <c r="C98" s="2" t="s">
        <v>1034</v>
      </c>
      <c r="D98" s="2" t="s">
        <v>28</v>
      </c>
      <c r="E98" s="2" t="s">
        <v>110</v>
      </c>
      <c r="F98" s="2" t="s">
        <v>111</v>
      </c>
      <c r="G98" s="2" t="s">
        <v>1042</v>
      </c>
      <c r="H98" s="2" t="s">
        <v>1043</v>
      </c>
      <c r="I98" s="2" t="s">
        <v>31</v>
      </c>
      <c r="J98" s="2" t="s">
        <v>32</v>
      </c>
      <c r="K98" s="2" t="s">
        <v>488</v>
      </c>
      <c r="L98" s="2" t="s">
        <v>1037</v>
      </c>
      <c r="M98" s="3">
        <v>44055</v>
      </c>
      <c r="N98" s="3">
        <v>44086</v>
      </c>
      <c r="O98" s="4">
        <v>489.25</v>
      </c>
      <c r="P98" s="2" t="s">
        <v>224</v>
      </c>
      <c r="Q98" s="2" t="s">
        <v>34</v>
      </c>
      <c r="R98" s="2" t="s">
        <v>35</v>
      </c>
      <c r="S98" s="2" t="s">
        <v>432</v>
      </c>
      <c r="T98" s="2" t="s">
        <v>87</v>
      </c>
      <c r="U98" s="2" t="s">
        <v>290</v>
      </c>
      <c r="V98" s="2" t="s">
        <v>88</v>
      </c>
      <c r="W98" s="2" t="s">
        <v>1044</v>
      </c>
      <c r="X98" s="2" t="s">
        <v>412</v>
      </c>
      <c r="Y98" s="2" t="s">
        <v>478</v>
      </c>
      <c r="Z98" s="2" t="s">
        <v>946</v>
      </c>
      <c r="AA98" s="2" t="s">
        <v>39</v>
      </c>
      <c r="AB98" s="2" t="s">
        <v>414</v>
      </c>
    </row>
    <row r="99" spans="1:28" hidden="1" x14ac:dyDescent="0.2">
      <c r="A99" s="2" t="s">
        <v>470</v>
      </c>
      <c r="B99" s="3">
        <v>44053</v>
      </c>
      <c r="C99" s="2" t="s">
        <v>1034</v>
      </c>
      <c r="D99" s="2" t="s">
        <v>91</v>
      </c>
      <c r="E99" s="2" t="s">
        <v>242</v>
      </c>
      <c r="F99" s="2" t="s">
        <v>243</v>
      </c>
      <c r="G99" s="2" t="s">
        <v>1045</v>
      </c>
      <c r="H99" s="2" t="s">
        <v>1046</v>
      </c>
      <c r="I99" s="2" t="s">
        <v>535</v>
      </c>
      <c r="J99" s="2" t="s">
        <v>47</v>
      </c>
      <c r="K99" s="2" t="s">
        <v>488</v>
      </c>
      <c r="L99" s="2" t="s">
        <v>1037</v>
      </c>
      <c r="M99" s="3">
        <v>44055</v>
      </c>
      <c r="N99" s="3">
        <v>44083</v>
      </c>
      <c r="O99" s="4">
        <v>56</v>
      </c>
      <c r="P99" s="2" t="s">
        <v>224</v>
      </c>
      <c r="Q99" s="2" t="s">
        <v>100</v>
      </c>
      <c r="R99" s="2" t="s">
        <v>101</v>
      </c>
      <c r="S99" s="2" t="s">
        <v>446</v>
      </c>
      <c r="T99" s="2" t="s">
        <v>87</v>
      </c>
      <c r="U99" s="2" t="s">
        <v>290</v>
      </c>
      <c r="V99" s="2" t="s">
        <v>88</v>
      </c>
      <c r="W99" s="2" t="s">
        <v>1047</v>
      </c>
      <c r="X99" s="2" t="s">
        <v>412</v>
      </c>
      <c r="Y99" s="2" t="s">
        <v>412</v>
      </c>
      <c r="Z99" s="2" t="s">
        <v>412</v>
      </c>
      <c r="AA99" s="2" t="s">
        <v>39</v>
      </c>
      <c r="AB99" s="2" t="s">
        <v>414</v>
      </c>
    </row>
    <row r="100" spans="1:28" hidden="1" x14ac:dyDescent="0.2">
      <c r="A100" s="2" t="s">
        <v>431</v>
      </c>
      <c r="B100" s="3">
        <v>44048</v>
      </c>
      <c r="C100" s="2" t="s">
        <v>1048</v>
      </c>
      <c r="D100" s="2" t="s">
        <v>62</v>
      </c>
      <c r="E100" s="2" t="s">
        <v>324</v>
      </c>
      <c r="F100" s="2" t="s">
        <v>325</v>
      </c>
      <c r="G100" s="2" t="s">
        <v>1049</v>
      </c>
      <c r="H100" s="2" t="s">
        <v>1050</v>
      </c>
      <c r="I100" s="2" t="s">
        <v>112</v>
      </c>
      <c r="J100" s="2" t="s">
        <v>32</v>
      </c>
      <c r="K100" s="2" t="s">
        <v>1051</v>
      </c>
      <c r="L100" s="2" t="s">
        <v>113</v>
      </c>
      <c r="M100" s="3">
        <v>44059</v>
      </c>
      <c r="N100" s="3">
        <v>44084</v>
      </c>
      <c r="O100" s="4">
        <v>500</v>
      </c>
      <c r="P100" s="2" t="s">
        <v>114</v>
      </c>
      <c r="Q100" s="2" t="s">
        <v>115</v>
      </c>
      <c r="R100" s="2" t="s">
        <v>116</v>
      </c>
      <c r="S100" s="2" t="s">
        <v>439</v>
      </c>
      <c r="T100" s="2" t="s">
        <v>117</v>
      </c>
      <c r="U100" s="2" t="s">
        <v>290</v>
      </c>
      <c r="V100" s="2" t="s">
        <v>118</v>
      </c>
      <c r="W100" s="2" t="s">
        <v>412</v>
      </c>
      <c r="X100" s="2" t="s">
        <v>412</v>
      </c>
      <c r="Y100" s="2" t="s">
        <v>440</v>
      </c>
      <c r="Z100" s="2" t="s">
        <v>412</v>
      </c>
      <c r="AA100" s="2" t="s">
        <v>39</v>
      </c>
      <c r="AB100" s="2" t="s">
        <v>441</v>
      </c>
    </row>
    <row r="101" spans="1:28" hidden="1" x14ac:dyDescent="0.2">
      <c r="A101" s="2" t="s">
        <v>431</v>
      </c>
      <c r="B101" s="3">
        <v>44048</v>
      </c>
      <c r="C101" s="2" t="s">
        <v>1048</v>
      </c>
      <c r="D101" s="2" t="s">
        <v>62</v>
      </c>
      <c r="E101" s="2" t="s">
        <v>324</v>
      </c>
      <c r="F101" s="2" t="s">
        <v>325</v>
      </c>
      <c r="G101" s="2" t="s">
        <v>1052</v>
      </c>
      <c r="H101" s="2" t="s">
        <v>1053</v>
      </c>
      <c r="I101" s="2" t="s">
        <v>112</v>
      </c>
      <c r="J101" s="2" t="s">
        <v>32</v>
      </c>
      <c r="K101" s="2" t="s">
        <v>1051</v>
      </c>
      <c r="L101" s="2" t="s">
        <v>113</v>
      </c>
      <c r="M101" s="3">
        <v>44059</v>
      </c>
      <c r="N101" s="3">
        <v>44084</v>
      </c>
      <c r="O101" s="4">
        <v>500</v>
      </c>
      <c r="P101" s="2" t="s">
        <v>114</v>
      </c>
      <c r="Q101" s="2" t="s">
        <v>115</v>
      </c>
      <c r="R101" s="2" t="s">
        <v>116</v>
      </c>
      <c r="S101" s="2" t="s">
        <v>439</v>
      </c>
      <c r="T101" s="2" t="s">
        <v>117</v>
      </c>
      <c r="U101" s="2" t="s">
        <v>290</v>
      </c>
      <c r="V101" s="2" t="s">
        <v>118</v>
      </c>
      <c r="W101" s="2" t="s">
        <v>412</v>
      </c>
      <c r="X101" s="2" t="s">
        <v>412</v>
      </c>
      <c r="Y101" s="2" t="s">
        <v>440</v>
      </c>
      <c r="Z101" s="2" t="s">
        <v>412</v>
      </c>
      <c r="AA101" s="2" t="s">
        <v>39</v>
      </c>
      <c r="AB101" s="2" t="s">
        <v>441</v>
      </c>
    </row>
    <row r="102" spans="1:28" hidden="1" x14ac:dyDescent="0.2">
      <c r="A102" s="2" t="s">
        <v>431</v>
      </c>
      <c r="B102" s="3">
        <v>44058</v>
      </c>
      <c r="C102" s="2" t="s">
        <v>1048</v>
      </c>
      <c r="D102" s="2" t="s">
        <v>102</v>
      </c>
      <c r="E102" s="2" t="s">
        <v>662</v>
      </c>
      <c r="F102" s="2" t="s">
        <v>663</v>
      </c>
      <c r="G102" s="2" t="s">
        <v>1054</v>
      </c>
      <c r="H102" s="2" t="s">
        <v>1055</v>
      </c>
      <c r="I102" s="2" t="s">
        <v>112</v>
      </c>
      <c r="J102" s="2" t="s">
        <v>32</v>
      </c>
      <c r="K102" s="2" t="s">
        <v>1051</v>
      </c>
      <c r="L102" s="2" t="s">
        <v>113</v>
      </c>
      <c r="M102" s="3">
        <v>44059</v>
      </c>
      <c r="N102" s="3">
        <v>44091</v>
      </c>
      <c r="O102" s="4">
        <v>400</v>
      </c>
      <c r="P102" s="2" t="s">
        <v>114</v>
      </c>
      <c r="Q102" s="2" t="s">
        <v>131</v>
      </c>
      <c r="R102" s="2" t="s">
        <v>132</v>
      </c>
      <c r="S102" s="2" t="s">
        <v>439</v>
      </c>
      <c r="T102" s="2" t="s">
        <v>117</v>
      </c>
      <c r="U102" s="2" t="s">
        <v>290</v>
      </c>
      <c r="V102" s="2" t="s">
        <v>118</v>
      </c>
      <c r="W102" s="2" t="s">
        <v>412</v>
      </c>
      <c r="X102" s="2" t="s">
        <v>412</v>
      </c>
      <c r="Y102" s="2" t="s">
        <v>445</v>
      </c>
      <c r="Z102" s="2" t="s">
        <v>412</v>
      </c>
      <c r="AA102" s="2" t="s">
        <v>39</v>
      </c>
      <c r="AB102" s="2" t="s">
        <v>441</v>
      </c>
    </row>
    <row r="103" spans="1:28" hidden="1" x14ac:dyDescent="0.2">
      <c r="A103" s="2" t="s">
        <v>431</v>
      </c>
      <c r="B103" s="3">
        <v>44058</v>
      </c>
      <c r="C103" s="2" t="s">
        <v>1048</v>
      </c>
      <c r="D103" s="2" t="s">
        <v>102</v>
      </c>
      <c r="E103" s="2" t="s">
        <v>123</v>
      </c>
      <c r="F103" s="2" t="s">
        <v>124</v>
      </c>
      <c r="G103" s="2" t="s">
        <v>1056</v>
      </c>
      <c r="H103" s="2" t="s">
        <v>1057</v>
      </c>
      <c r="I103" s="2" t="s">
        <v>125</v>
      </c>
      <c r="J103" s="2" t="s">
        <v>58</v>
      </c>
      <c r="K103" s="2" t="s">
        <v>1051</v>
      </c>
      <c r="L103" s="2" t="s">
        <v>113</v>
      </c>
      <c r="M103" s="3">
        <v>44059</v>
      </c>
      <c r="N103" s="3">
        <v>44089</v>
      </c>
      <c r="O103" s="4">
        <v>45</v>
      </c>
      <c r="P103" s="2" t="s">
        <v>114</v>
      </c>
      <c r="Q103" s="2" t="s">
        <v>85</v>
      </c>
      <c r="R103" s="2" t="s">
        <v>86</v>
      </c>
      <c r="S103" s="2" t="s">
        <v>439</v>
      </c>
      <c r="T103" s="2" t="s">
        <v>117</v>
      </c>
      <c r="U103" s="2" t="s">
        <v>290</v>
      </c>
      <c r="V103" s="2" t="s">
        <v>118</v>
      </c>
      <c r="W103" s="2" t="s">
        <v>412</v>
      </c>
      <c r="X103" s="2" t="s">
        <v>412</v>
      </c>
      <c r="Y103" s="2" t="s">
        <v>443</v>
      </c>
      <c r="Z103" s="2" t="s">
        <v>412</v>
      </c>
      <c r="AA103" s="2" t="s">
        <v>39</v>
      </c>
      <c r="AB103" s="2" t="s">
        <v>441</v>
      </c>
    </row>
    <row r="104" spans="1:28" hidden="1" x14ac:dyDescent="0.2">
      <c r="A104" s="2" t="s">
        <v>431</v>
      </c>
      <c r="B104" s="3">
        <v>44058</v>
      </c>
      <c r="C104" s="2" t="s">
        <v>1048</v>
      </c>
      <c r="D104" s="2" t="s">
        <v>102</v>
      </c>
      <c r="E104" s="2" t="s">
        <v>123</v>
      </c>
      <c r="F104" s="2" t="s">
        <v>124</v>
      </c>
      <c r="G104" s="2" t="s">
        <v>1058</v>
      </c>
      <c r="H104" s="2" t="s">
        <v>1059</v>
      </c>
      <c r="I104" s="2" t="s">
        <v>126</v>
      </c>
      <c r="J104" s="2" t="s">
        <v>58</v>
      </c>
      <c r="K104" s="2" t="s">
        <v>1051</v>
      </c>
      <c r="L104" s="2" t="s">
        <v>113</v>
      </c>
      <c r="M104" s="3">
        <v>44059</v>
      </c>
      <c r="N104" s="3">
        <v>44089</v>
      </c>
      <c r="O104" s="4">
        <v>15</v>
      </c>
      <c r="P104" s="2" t="s">
        <v>114</v>
      </c>
      <c r="Q104" s="2" t="s">
        <v>85</v>
      </c>
      <c r="R104" s="2" t="s">
        <v>86</v>
      </c>
      <c r="S104" s="2" t="s">
        <v>439</v>
      </c>
      <c r="T104" s="2" t="s">
        <v>117</v>
      </c>
      <c r="U104" s="2" t="s">
        <v>290</v>
      </c>
      <c r="V104" s="2" t="s">
        <v>118</v>
      </c>
      <c r="W104" s="2" t="s">
        <v>412</v>
      </c>
      <c r="X104" s="2" t="s">
        <v>412</v>
      </c>
      <c r="Y104" s="2" t="s">
        <v>411</v>
      </c>
      <c r="Z104" s="2" t="s">
        <v>412</v>
      </c>
      <c r="AA104" s="2" t="s">
        <v>39</v>
      </c>
      <c r="AB104" s="2" t="s">
        <v>441</v>
      </c>
    </row>
    <row r="105" spans="1:28" hidden="1" x14ac:dyDescent="0.2">
      <c r="A105" s="2" t="s">
        <v>431</v>
      </c>
      <c r="B105" s="3">
        <v>44058</v>
      </c>
      <c r="C105" s="2" t="s">
        <v>1048</v>
      </c>
      <c r="D105" s="2" t="s">
        <v>102</v>
      </c>
      <c r="E105" s="2" t="s">
        <v>127</v>
      </c>
      <c r="F105" s="2" t="s">
        <v>124</v>
      </c>
      <c r="G105" s="2" t="s">
        <v>1060</v>
      </c>
      <c r="H105" s="2" t="s">
        <v>1061</v>
      </c>
      <c r="I105" s="2" t="s">
        <v>125</v>
      </c>
      <c r="J105" s="2" t="s">
        <v>58</v>
      </c>
      <c r="K105" s="2" t="s">
        <v>1051</v>
      </c>
      <c r="L105" s="2" t="s">
        <v>113</v>
      </c>
      <c r="M105" s="3">
        <v>44059</v>
      </c>
      <c r="N105" s="3">
        <v>44089</v>
      </c>
      <c r="O105" s="4">
        <v>60</v>
      </c>
      <c r="P105" s="2" t="s">
        <v>114</v>
      </c>
      <c r="Q105" s="2" t="s">
        <v>85</v>
      </c>
      <c r="R105" s="2" t="s">
        <v>86</v>
      </c>
      <c r="S105" s="2" t="s">
        <v>439</v>
      </c>
      <c r="T105" s="2" t="s">
        <v>117</v>
      </c>
      <c r="U105" s="2" t="s">
        <v>290</v>
      </c>
      <c r="V105" s="2" t="s">
        <v>118</v>
      </c>
      <c r="W105" s="2" t="s">
        <v>412</v>
      </c>
      <c r="X105" s="2" t="s">
        <v>412</v>
      </c>
      <c r="Y105" s="2" t="s">
        <v>444</v>
      </c>
      <c r="Z105" s="2" t="s">
        <v>412</v>
      </c>
      <c r="AA105" s="2" t="s">
        <v>39</v>
      </c>
      <c r="AB105" s="2" t="s">
        <v>441</v>
      </c>
    </row>
    <row r="106" spans="1:28" hidden="1" x14ac:dyDescent="0.2">
      <c r="A106" s="2" t="s">
        <v>431</v>
      </c>
      <c r="B106" s="3">
        <v>44058</v>
      </c>
      <c r="C106" s="2" t="s">
        <v>1048</v>
      </c>
      <c r="D106" s="2" t="s">
        <v>102</v>
      </c>
      <c r="E106" s="2" t="s">
        <v>128</v>
      </c>
      <c r="F106" s="2" t="s">
        <v>124</v>
      </c>
      <c r="G106" s="2" t="s">
        <v>1062</v>
      </c>
      <c r="H106" s="2" t="s">
        <v>1063</v>
      </c>
      <c r="I106" s="2" t="s">
        <v>125</v>
      </c>
      <c r="J106" s="2" t="s">
        <v>58</v>
      </c>
      <c r="K106" s="2" t="s">
        <v>1051</v>
      </c>
      <c r="L106" s="2" t="s">
        <v>113</v>
      </c>
      <c r="M106" s="3">
        <v>44059</v>
      </c>
      <c r="N106" s="3">
        <v>44089</v>
      </c>
      <c r="O106" s="4">
        <v>20</v>
      </c>
      <c r="P106" s="2" t="s">
        <v>114</v>
      </c>
      <c r="Q106" s="2" t="s">
        <v>85</v>
      </c>
      <c r="R106" s="2" t="s">
        <v>86</v>
      </c>
      <c r="S106" s="2" t="s">
        <v>439</v>
      </c>
      <c r="T106" s="2" t="s">
        <v>117</v>
      </c>
      <c r="U106" s="2" t="s">
        <v>290</v>
      </c>
      <c r="V106" s="2" t="s">
        <v>118</v>
      </c>
      <c r="W106" s="2" t="s">
        <v>412</v>
      </c>
      <c r="X106" s="2" t="s">
        <v>412</v>
      </c>
      <c r="Y106" s="2" t="s">
        <v>416</v>
      </c>
      <c r="Z106" s="2" t="s">
        <v>412</v>
      </c>
      <c r="AA106" s="2" t="s">
        <v>39</v>
      </c>
      <c r="AB106" s="2" t="s">
        <v>441</v>
      </c>
    </row>
    <row r="107" spans="1:28" hidden="1" x14ac:dyDescent="0.2">
      <c r="A107" s="2" t="s">
        <v>431</v>
      </c>
      <c r="B107" s="3">
        <v>44058</v>
      </c>
      <c r="C107" s="2" t="s">
        <v>1048</v>
      </c>
      <c r="D107" s="2" t="s">
        <v>102</v>
      </c>
      <c r="E107" s="2" t="s">
        <v>322</v>
      </c>
      <c r="F107" s="2" t="s">
        <v>331</v>
      </c>
      <c r="G107" s="2" t="s">
        <v>1064</v>
      </c>
      <c r="H107" s="2" t="s">
        <v>1065</v>
      </c>
      <c r="I107" s="2" t="s">
        <v>112</v>
      </c>
      <c r="J107" s="2" t="s">
        <v>32</v>
      </c>
      <c r="K107" s="2" t="s">
        <v>1051</v>
      </c>
      <c r="L107" s="2" t="s">
        <v>113</v>
      </c>
      <c r="M107" s="3">
        <v>44059</v>
      </c>
      <c r="N107" s="3">
        <v>44091</v>
      </c>
      <c r="O107" s="4">
        <v>50</v>
      </c>
      <c r="P107" s="2" t="s">
        <v>114</v>
      </c>
      <c r="Q107" s="2" t="s">
        <v>131</v>
      </c>
      <c r="R107" s="2" t="s">
        <v>132</v>
      </c>
      <c r="S107" s="2" t="s">
        <v>439</v>
      </c>
      <c r="T107" s="2" t="s">
        <v>117</v>
      </c>
      <c r="U107" s="2" t="s">
        <v>290</v>
      </c>
      <c r="V107" s="2" t="s">
        <v>118</v>
      </c>
      <c r="W107" s="2" t="s">
        <v>412</v>
      </c>
      <c r="X107" s="2" t="s">
        <v>412</v>
      </c>
      <c r="Y107" s="2" t="s">
        <v>467</v>
      </c>
      <c r="Z107" s="2" t="s">
        <v>412</v>
      </c>
      <c r="AA107" s="2" t="s">
        <v>39</v>
      </c>
      <c r="AB107" s="2" t="s">
        <v>441</v>
      </c>
    </row>
    <row r="108" spans="1:28" hidden="1" x14ac:dyDescent="0.2">
      <c r="A108" s="2" t="s">
        <v>431</v>
      </c>
      <c r="B108" s="3">
        <v>44058</v>
      </c>
      <c r="C108" s="2" t="s">
        <v>1048</v>
      </c>
      <c r="D108" s="2" t="s">
        <v>102</v>
      </c>
      <c r="E108" s="2" t="s">
        <v>322</v>
      </c>
      <c r="F108" s="2" t="s">
        <v>687</v>
      </c>
      <c r="G108" s="2" t="s">
        <v>1066</v>
      </c>
      <c r="H108" s="2" t="s">
        <v>1067</v>
      </c>
      <c r="I108" s="2" t="s">
        <v>112</v>
      </c>
      <c r="J108" s="2" t="s">
        <v>32</v>
      </c>
      <c r="K108" s="2" t="s">
        <v>1051</v>
      </c>
      <c r="L108" s="2" t="s">
        <v>113</v>
      </c>
      <c r="M108" s="3">
        <v>44059</v>
      </c>
      <c r="N108" s="3">
        <v>44091</v>
      </c>
      <c r="O108" s="4">
        <v>200</v>
      </c>
      <c r="P108" s="2" t="s">
        <v>114</v>
      </c>
      <c r="Q108" s="2" t="s">
        <v>131</v>
      </c>
      <c r="R108" s="2" t="s">
        <v>132</v>
      </c>
      <c r="S108" s="2" t="s">
        <v>439</v>
      </c>
      <c r="T108" s="2" t="s">
        <v>117</v>
      </c>
      <c r="U108" s="2" t="s">
        <v>290</v>
      </c>
      <c r="V108" s="2" t="s">
        <v>118</v>
      </c>
      <c r="W108" s="2" t="s">
        <v>412</v>
      </c>
      <c r="X108" s="2" t="s">
        <v>412</v>
      </c>
      <c r="Y108" s="2" t="s">
        <v>690</v>
      </c>
      <c r="Z108" s="2" t="s">
        <v>412</v>
      </c>
      <c r="AA108" s="2" t="s">
        <v>39</v>
      </c>
      <c r="AB108" s="2" t="s">
        <v>441</v>
      </c>
    </row>
    <row r="109" spans="1:28" hidden="1" x14ac:dyDescent="0.2">
      <c r="A109" s="2" t="s">
        <v>431</v>
      </c>
      <c r="B109" s="3">
        <v>44073</v>
      </c>
      <c r="C109" s="2" t="s">
        <v>1048</v>
      </c>
      <c r="D109" s="2" t="s">
        <v>28</v>
      </c>
      <c r="E109" s="2" t="s">
        <v>29</v>
      </c>
      <c r="F109" s="2" t="s">
        <v>41</v>
      </c>
      <c r="G109" s="2" t="s">
        <v>1068</v>
      </c>
      <c r="H109" s="2" t="s">
        <v>1069</v>
      </c>
      <c r="I109" s="2" t="s">
        <v>112</v>
      </c>
      <c r="J109" s="2" t="s">
        <v>32</v>
      </c>
      <c r="K109" s="2" t="s">
        <v>1051</v>
      </c>
      <c r="L109" s="2" t="s">
        <v>113</v>
      </c>
      <c r="M109" s="3">
        <v>44059</v>
      </c>
      <c r="N109" s="3">
        <v>44084</v>
      </c>
      <c r="O109" s="4">
        <v>500</v>
      </c>
      <c r="P109" s="2" t="s">
        <v>114</v>
      </c>
      <c r="Q109" s="2" t="s">
        <v>115</v>
      </c>
      <c r="R109" s="2" t="s">
        <v>116</v>
      </c>
      <c r="S109" s="2" t="s">
        <v>439</v>
      </c>
      <c r="T109" s="2" t="s">
        <v>117</v>
      </c>
      <c r="U109" s="2" t="s">
        <v>290</v>
      </c>
      <c r="V109" s="2" t="s">
        <v>118</v>
      </c>
      <c r="W109" s="2" t="s">
        <v>412</v>
      </c>
      <c r="X109" s="2" t="s">
        <v>412</v>
      </c>
      <c r="Y109" s="2" t="s">
        <v>440</v>
      </c>
      <c r="Z109" s="2" t="s">
        <v>412</v>
      </c>
      <c r="AA109" s="2" t="s">
        <v>39</v>
      </c>
      <c r="AB109" s="2" t="s">
        <v>441</v>
      </c>
    </row>
    <row r="110" spans="1:28" hidden="1" x14ac:dyDescent="0.2">
      <c r="A110" s="2" t="s">
        <v>431</v>
      </c>
      <c r="B110" s="3">
        <v>44073</v>
      </c>
      <c r="C110" s="2" t="s">
        <v>1048</v>
      </c>
      <c r="D110" s="2" t="s">
        <v>28</v>
      </c>
      <c r="E110" s="2" t="s">
        <v>29</v>
      </c>
      <c r="F110" s="2" t="s">
        <v>41</v>
      </c>
      <c r="G110" s="2" t="s">
        <v>1070</v>
      </c>
      <c r="H110" s="2" t="s">
        <v>1071</v>
      </c>
      <c r="I110" s="2" t="s">
        <v>112</v>
      </c>
      <c r="J110" s="2" t="s">
        <v>32</v>
      </c>
      <c r="K110" s="2" t="s">
        <v>1051</v>
      </c>
      <c r="L110" s="2" t="s">
        <v>113</v>
      </c>
      <c r="M110" s="3">
        <v>44059</v>
      </c>
      <c r="N110" s="3">
        <v>44084</v>
      </c>
      <c r="O110" s="4">
        <v>500</v>
      </c>
      <c r="P110" s="2" t="s">
        <v>114</v>
      </c>
      <c r="Q110" s="2" t="s">
        <v>115</v>
      </c>
      <c r="R110" s="2" t="s">
        <v>116</v>
      </c>
      <c r="S110" s="2" t="s">
        <v>439</v>
      </c>
      <c r="T110" s="2" t="s">
        <v>117</v>
      </c>
      <c r="U110" s="2" t="s">
        <v>290</v>
      </c>
      <c r="V110" s="2" t="s">
        <v>118</v>
      </c>
      <c r="W110" s="2" t="s">
        <v>412</v>
      </c>
      <c r="X110" s="2" t="s">
        <v>412</v>
      </c>
      <c r="Y110" s="2" t="s">
        <v>440</v>
      </c>
      <c r="Z110" s="2" t="s">
        <v>412</v>
      </c>
      <c r="AA110" s="2" t="s">
        <v>39</v>
      </c>
      <c r="AB110" s="2" t="s">
        <v>441</v>
      </c>
    </row>
    <row r="111" spans="1:28" hidden="1" x14ac:dyDescent="0.2">
      <c r="A111" s="2" t="s">
        <v>431</v>
      </c>
      <c r="B111" s="3">
        <v>44048</v>
      </c>
      <c r="C111" s="2" t="s">
        <v>1048</v>
      </c>
      <c r="D111" s="2" t="s">
        <v>62</v>
      </c>
      <c r="E111" s="2" t="s">
        <v>119</v>
      </c>
      <c r="F111" s="2" t="s">
        <v>120</v>
      </c>
      <c r="G111" s="2" t="s">
        <v>1072</v>
      </c>
      <c r="H111" s="2" t="s">
        <v>1073</v>
      </c>
      <c r="I111" s="2" t="s">
        <v>121</v>
      </c>
      <c r="J111" s="2" t="s">
        <v>58</v>
      </c>
      <c r="K111" s="2" t="s">
        <v>1051</v>
      </c>
      <c r="L111" s="2" t="s">
        <v>113</v>
      </c>
      <c r="M111" s="3">
        <v>44059</v>
      </c>
      <c r="N111" s="3">
        <v>44084</v>
      </c>
      <c r="O111" s="4">
        <v>200</v>
      </c>
      <c r="P111" s="2" t="s">
        <v>114</v>
      </c>
      <c r="Q111" s="2" t="s">
        <v>115</v>
      </c>
      <c r="R111" s="2" t="s">
        <v>122</v>
      </c>
      <c r="S111" s="2" t="s">
        <v>439</v>
      </c>
      <c r="T111" s="2" t="s">
        <v>117</v>
      </c>
      <c r="U111" s="2" t="s">
        <v>290</v>
      </c>
      <c r="V111" s="2" t="s">
        <v>118</v>
      </c>
      <c r="W111" s="2" t="s">
        <v>412</v>
      </c>
      <c r="X111" s="2" t="s">
        <v>412</v>
      </c>
      <c r="Y111" s="2" t="s">
        <v>442</v>
      </c>
      <c r="Z111" s="2" t="s">
        <v>412</v>
      </c>
      <c r="AA111" s="2" t="s">
        <v>39</v>
      </c>
      <c r="AB111" s="2" t="s">
        <v>441</v>
      </c>
    </row>
    <row r="112" spans="1:28" hidden="1" x14ac:dyDescent="0.2">
      <c r="A112" s="2" t="s">
        <v>431</v>
      </c>
      <c r="B112" s="3">
        <v>44073</v>
      </c>
      <c r="C112" s="2" t="s">
        <v>1048</v>
      </c>
      <c r="D112" s="2" t="s">
        <v>28</v>
      </c>
      <c r="E112" s="2" t="s">
        <v>129</v>
      </c>
      <c r="F112" s="2" t="s">
        <v>346</v>
      </c>
      <c r="G112" s="2" t="s">
        <v>1074</v>
      </c>
      <c r="H112" s="2" t="s">
        <v>1075</v>
      </c>
      <c r="I112" s="2" t="s">
        <v>112</v>
      </c>
      <c r="J112" s="2" t="s">
        <v>32</v>
      </c>
      <c r="K112" s="2" t="s">
        <v>1051</v>
      </c>
      <c r="L112" s="2" t="s">
        <v>113</v>
      </c>
      <c r="M112" s="3">
        <v>44059</v>
      </c>
      <c r="N112" s="3">
        <v>44089</v>
      </c>
      <c r="O112" s="4">
        <v>500</v>
      </c>
      <c r="P112" s="2" t="s">
        <v>114</v>
      </c>
      <c r="Q112" s="2" t="s">
        <v>85</v>
      </c>
      <c r="R112" s="2" t="s">
        <v>86</v>
      </c>
      <c r="S112" s="2" t="s">
        <v>439</v>
      </c>
      <c r="T112" s="2" t="s">
        <v>117</v>
      </c>
      <c r="U112" s="2" t="s">
        <v>290</v>
      </c>
      <c r="V112" s="2" t="s">
        <v>118</v>
      </c>
      <c r="W112" s="2" t="s">
        <v>412</v>
      </c>
      <c r="X112" s="2" t="s">
        <v>412</v>
      </c>
      <c r="Y112" s="2" t="s">
        <v>440</v>
      </c>
      <c r="Z112" s="2" t="s">
        <v>412</v>
      </c>
      <c r="AA112" s="2" t="s">
        <v>39</v>
      </c>
      <c r="AB112" s="2" t="s">
        <v>441</v>
      </c>
    </row>
    <row r="113" spans="1:28" hidden="1" x14ac:dyDescent="0.2">
      <c r="A113" s="2" t="s">
        <v>431</v>
      </c>
      <c r="B113" s="3">
        <v>44073</v>
      </c>
      <c r="C113" s="2" t="s">
        <v>1048</v>
      </c>
      <c r="D113" s="2" t="s">
        <v>28</v>
      </c>
      <c r="E113" s="2" t="s">
        <v>129</v>
      </c>
      <c r="F113" s="2" t="s">
        <v>130</v>
      </c>
      <c r="G113" s="2" t="s">
        <v>1076</v>
      </c>
      <c r="H113" s="2" t="s">
        <v>1077</v>
      </c>
      <c r="I113" s="2" t="s">
        <v>112</v>
      </c>
      <c r="J113" s="2" t="s">
        <v>32</v>
      </c>
      <c r="K113" s="2" t="s">
        <v>1051</v>
      </c>
      <c r="L113" s="2" t="s">
        <v>113</v>
      </c>
      <c r="M113" s="3">
        <v>44059</v>
      </c>
      <c r="N113" s="3">
        <v>44091</v>
      </c>
      <c r="O113" s="4">
        <v>500</v>
      </c>
      <c r="P113" s="2" t="s">
        <v>114</v>
      </c>
      <c r="Q113" s="2" t="s">
        <v>131</v>
      </c>
      <c r="R113" s="2" t="s">
        <v>132</v>
      </c>
      <c r="S113" s="2" t="s">
        <v>439</v>
      </c>
      <c r="T113" s="2" t="s">
        <v>117</v>
      </c>
      <c r="U113" s="2" t="s">
        <v>290</v>
      </c>
      <c r="V113" s="2" t="s">
        <v>118</v>
      </c>
      <c r="W113" s="2" t="s">
        <v>412</v>
      </c>
      <c r="X113" s="2" t="s">
        <v>412</v>
      </c>
      <c r="Y113" s="2" t="s">
        <v>440</v>
      </c>
      <c r="Z113" s="2" t="s">
        <v>412</v>
      </c>
      <c r="AA113" s="2" t="s">
        <v>39</v>
      </c>
      <c r="AB113" s="2" t="s">
        <v>441</v>
      </c>
    </row>
    <row r="114" spans="1:28" hidden="1" x14ac:dyDescent="0.2">
      <c r="A114" s="2" t="s">
        <v>410</v>
      </c>
      <c r="B114" s="3">
        <v>44068</v>
      </c>
      <c r="C114" s="2" t="s">
        <v>922</v>
      </c>
      <c r="D114" s="2" t="s">
        <v>28</v>
      </c>
      <c r="E114" s="2" t="s">
        <v>80</v>
      </c>
      <c r="F114" s="2" t="s">
        <v>81</v>
      </c>
      <c r="G114" s="2" t="s">
        <v>923</v>
      </c>
      <c r="H114" s="2" t="s">
        <v>924</v>
      </c>
      <c r="I114" s="2" t="s">
        <v>82</v>
      </c>
      <c r="J114" s="2" t="s">
        <v>83</v>
      </c>
      <c r="K114" s="2" t="s">
        <v>920</v>
      </c>
      <c r="L114" s="2" t="s">
        <v>831</v>
      </c>
      <c r="M114" s="3">
        <v>44060</v>
      </c>
      <c r="N114" s="3">
        <v>44082</v>
      </c>
      <c r="O114" s="4">
        <v>343.10300000000001</v>
      </c>
      <c r="P114" s="2" t="s">
        <v>492</v>
      </c>
      <c r="Q114" s="2" t="s">
        <v>85</v>
      </c>
      <c r="R114" s="2" t="s">
        <v>86</v>
      </c>
      <c r="S114" s="2" t="s">
        <v>459</v>
      </c>
      <c r="T114" s="2" t="s">
        <v>87</v>
      </c>
      <c r="U114" s="2" t="s">
        <v>37</v>
      </c>
      <c r="V114" s="2" t="s">
        <v>493</v>
      </c>
      <c r="W114" s="2" t="s">
        <v>925</v>
      </c>
      <c r="X114" s="2" t="s">
        <v>412</v>
      </c>
      <c r="Y114" s="2" t="s">
        <v>926</v>
      </c>
      <c r="Z114" s="2" t="s">
        <v>412</v>
      </c>
      <c r="AA114" s="2" t="s">
        <v>39</v>
      </c>
      <c r="AB114" s="2" t="s">
        <v>414</v>
      </c>
    </row>
    <row r="115" spans="1:28" hidden="1" x14ac:dyDescent="0.2">
      <c r="A115" s="2" t="s">
        <v>410</v>
      </c>
      <c r="B115" s="3">
        <v>44053</v>
      </c>
      <c r="C115" s="2" t="s">
        <v>922</v>
      </c>
      <c r="D115" s="2" t="s">
        <v>102</v>
      </c>
      <c r="E115" s="2" t="s">
        <v>191</v>
      </c>
      <c r="F115" s="2" t="s">
        <v>192</v>
      </c>
      <c r="G115" s="2" t="s">
        <v>927</v>
      </c>
      <c r="H115" s="2" t="s">
        <v>928</v>
      </c>
      <c r="I115" s="2" t="s">
        <v>193</v>
      </c>
      <c r="J115" s="2" t="s">
        <v>83</v>
      </c>
      <c r="K115" s="2" t="s">
        <v>920</v>
      </c>
      <c r="L115" s="2" t="s">
        <v>831</v>
      </c>
      <c r="M115" s="3">
        <v>44060</v>
      </c>
      <c r="N115" s="3">
        <v>44082</v>
      </c>
      <c r="O115" s="4">
        <v>99.534000000000006</v>
      </c>
      <c r="P115" s="2" t="s">
        <v>492</v>
      </c>
      <c r="Q115" s="2" t="s">
        <v>85</v>
      </c>
      <c r="R115" s="2" t="s">
        <v>194</v>
      </c>
      <c r="S115" s="2" t="s">
        <v>419</v>
      </c>
      <c r="T115" s="2" t="s">
        <v>87</v>
      </c>
      <c r="U115" s="2" t="s">
        <v>37</v>
      </c>
      <c r="V115" s="2" t="s">
        <v>493</v>
      </c>
      <c r="W115" s="2" t="s">
        <v>929</v>
      </c>
      <c r="X115" s="2" t="s">
        <v>412</v>
      </c>
      <c r="Y115" s="2" t="s">
        <v>930</v>
      </c>
      <c r="Z115" s="2" t="s">
        <v>412</v>
      </c>
      <c r="AA115" s="2" t="s">
        <v>39</v>
      </c>
      <c r="AB115" s="2" t="s">
        <v>414</v>
      </c>
    </row>
    <row r="116" spans="1:28" hidden="1" x14ac:dyDescent="0.2">
      <c r="A116" s="2" t="s">
        <v>410</v>
      </c>
      <c r="B116" s="3">
        <v>44073</v>
      </c>
      <c r="C116" s="2" t="s">
        <v>1084</v>
      </c>
      <c r="D116" s="2" t="s">
        <v>102</v>
      </c>
      <c r="E116" s="2" t="s">
        <v>195</v>
      </c>
      <c r="F116" s="2" t="s">
        <v>196</v>
      </c>
      <c r="G116" s="2" t="s">
        <v>1085</v>
      </c>
      <c r="H116" s="2" t="s">
        <v>1086</v>
      </c>
      <c r="I116" s="2" t="s">
        <v>94</v>
      </c>
      <c r="J116" s="2" t="s">
        <v>95</v>
      </c>
      <c r="K116" s="2" t="s">
        <v>1087</v>
      </c>
      <c r="L116" s="2" t="s">
        <v>760</v>
      </c>
      <c r="M116" s="3">
        <v>44061</v>
      </c>
      <c r="N116" s="3">
        <v>44081</v>
      </c>
      <c r="O116" s="4">
        <v>95.369</v>
      </c>
      <c r="P116" s="2" t="s">
        <v>492</v>
      </c>
      <c r="Q116" s="2" t="s">
        <v>166</v>
      </c>
      <c r="R116" s="2" t="s">
        <v>1088</v>
      </c>
      <c r="S116" s="2" t="s">
        <v>419</v>
      </c>
      <c r="T116" s="2" t="s">
        <v>87</v>
      </c>
      <c r="U116" s="2" t="s">
        <v>37</v>
      </c>
      <c r="V116" s="2" t="s">
        <v>493</v>
      </c>
      <c r="W116" s="2" t="s">
        <v>1089</v>
      </c>
      <c r="X116" s="2" t="s">
        <v>412</v>
      </c>
      <c r="Y116" s="2" t="s">
        <v>461</v>
      </c>
      <c r="Z116" s="2" t="s">
        <v>1090</v>
      </c>
      <c r="AA116" s="2" t="s">
        <v>39</v>
      </c>
      <c r="AB116" s="2" t="s">
        <v>414</v>
      </c>
    </row>
    <row r="117" spans="1:28" hidden="1" x14ac:dyDescent="0.2">
      <c r="A117" s="2" t="s">
        <v>431</v>
      </c>
      <c r="B117" s="3">
        <v>44073</v>
      </c>
      <c r="C117" s="2" t="s">
        <v>1109</v>
      </c>
      <c r="D117" s="2" t="s">
        <v>28</v>
      </c>
      <c r="E117" s="2" t="s">
        <v>29</v>
      </c>
      <c r="F117" s="2" t="s">
        <v>397</v>
      </c>
      <c r="G117" s="2" t="s">
        <v>1110</v>
      </c>
      <c r="H117" s="2" t="s">
        <v>1111</v>
      </c>
      <c r="I117" s="2" t="s">
        <v>31</v>
      </c>
      <c r="J117" s="2" t="s">
        <v>32</v>
      </c>
      <c r="K117" s="2" t="s">
        <v>404</v>
      </c>
      <c r="L117" s="2" t="s">
        <v>622</v>
      </c>
      <c r="M117" s="3">
        <v>44060</v>
      </c>
      <c r="N117" s="3">
        <v>44073</v>
      </c>
      <c r="O117" s="4">
        <v>501.904</v>
      </c>
      <c r="P117" s="2" t="s">
        <v>33</v>
      </c>
      <c r="Q117" s="2" t="s">
        <v>153</v>
      </c>
      <c r="R117" s="2" t="s">
        <v>154</v>
      </c>
      <c r="S117" s="2" t="s">
        <v>477</v>
      </c>
      <c r="T117" s="2" t="s">
        <v>362</v>
      </c>
      <c r="U117" s="2" t="s">
        <v>290</v>
      </c>
      <c r="V117" s="2" t="s">
        <v>155</v>
      </c>
      <c r="W117" s="2" t="s">
        <v>1112</v>
      </c>
      <c r="X117" s="2" t="s">
        <v>412</v>
      </c>
      <c r="Y117" s="2" t="s">
        <v>448</v>
      </c>
      <c r="Z117" s="2" t="s">
        <v>412</v>
      </c>
      <c r="AA117" s="2" t="s">
        <v>39</v>
      </c>
      <c r="AB117" s="2" t="s">
        <v>414</v>
      </c>
    </row>
    <row r="118" spans="1:28" hidden="1" x14ac:dyDescent="0.2">
      <c r="A118" s="2" t="s">
        <v>410</v>
      </c>
      <c r="B118" s="3">
        <v>44048</v>
      </c>
      <c r="C118" s="2" t="s">
        <v>986</v>
      </c>
      <c r="D118" s="2" t="s">
        <v>44</v>
      </c>
      <c r="E118" s="2" t="s">
        <v>269</v>
      </c>
      <c r="F118" s="2" t="s">
        <v>270</v>
      </c>
      <c r="G118" s="2" t="s">
        <v>987</v>
      </c>
      <c r="H118" s="2" t="s">
        <v>988</v>
      </c>
      <c r="I118" s="2" t="s">
        <v>94</v>
      </c>
      <c r="J118" s="2" t="s">
        <v>95</v>
      </c>
      <c r="K118" s="2" t="s">
        <v>177</v>
      </c>
      <c r="L118" s="2" t="s">
        <v>989</v>
      </c>
      <c r="M118" s="3">
        <v>44058</v>
      </c>
      <c r="N118" s="3">
        <v>44064</v>
      </c>
      <c r="O118" s="4">
        <v>166.995</v>
      </c>
      <c r="P118" s="2" t="s">
        <v>84</v>
      </c>
      <c r="Q118" s="2" t="s">
        <v>271</v>
      </c>
      <c r="R118" s="2" t="s">
        <v>272</v>
      </c>
      <c r="S118" s="2" t="s">
        <v>466</v>
      </c>
      <c r="T118" s="2" t="s">
        <v>87</v>
      </c>
      <c r="U118" s="2" t="s">
        <v>37</v>
      </c>
      <c r="V118" s="2" t="s">
        <v>88</v>
      </c>
      <c r="W118" s="2" t="s">
        <v>990</v>
      </c>
      <c r="X118" s="2" t="s">
        <v>412</v>
      </c>
      <c r="Y118" s="2" t="s">
        <v>991</v>
      </c>
      <c r="Z118" s="2" t="s">
        <v>992</v>
      </c>
      <c r="AA118" s="2" t="s">
        <v>39</v>
      </c>
      <c r="AB118" s="2" t="s">
        <v>414</v>
      </c>
    </row>
    <row r="119" spans="1:28" hidden="1" x14ac:dyDescent="0.2">
      <c r="A119" s="2" t="s">
        <v>410</v>
      </c>
      <c r="B119" s="3">
        <v>44073</v>
      </c>
      <c r="C119" s="2" t="s">
        <v>986</v>
      </c>
      <c r="D119" s="2" t="s">
        <v>152</v>
      </c>
      <c r="E119" s="2" t="s">
        <v>276</v>
      </c>
      <c r="F119" s="2" t="s">
        <v>277</v>
      </c>
      <c r="G119" s="2" t="s">
        <v>1114</v>
      </c>
      <c r="H119" s="2" t="s">
        <v>1115</v>
      </c>
      <c r="I119" s="2" t="s">
        <v>202</v>
      </c>
      <c r="J119" s="2" t="s">
        <v>95</v>
      </c>
      <c r="K119" s="2" t="s">
        <v>177</v>
      </c>
      <c r="L119" s="2" t="s">
        <v>989</v>
      </c>
      <c r="M119" s="3">
        <v>44058</v>
      </c>
      <c r="N119" s="3">
        <v>44092</v>
      </c>
      <c r="O119" s="4">
        <v>406.62299999999999</v>
      </c>
      <c r="P119" s="2" t="s">
        <v>84</v>
      </c>
      <c r="Q119" s="2" t="s">
        <v>278</v>
      </c>
      <c r="R119" s="2" t="s">
        <v>279</v>
      </c>
      <c r="S119" s="2" t="s">
        <v>452</v>
      </c>
      <c r="T119" s="2" t="s">
        <v>87</v>
      </c>
      <c r="U119" s="2" t="s">
        <v>290</v>
      </c>
      <c r="V119" s="2" t="s">
        <v>88</v>
      </c>
      <c r="W119" s="2" t="s">
        <v>1838</v>
      </c>
      <c r="X119" s="2" t="s">
        <v>412</v>
      </c>
      <c r="Y119" s="2" t="s">
        <v>1118</v>
      </c>
      <c r="Z119" s="2" t="s">
        <v>962</v>
      </c>
      <c r="AA119" s="2" t="s">
        <v>39</v>
      </c>
      <c r="AB119" s="2" t="s">
        <v>414</v>
      </c>
    </row>
    <row r="120" spans="1:28" hidden="1" x14ac:dyDescent="0.2">
      <c r="A120" s="2" t="s">
        <v>410</v>
      </c>
      <c r="B120" s="3">
        <v>44073</v>
      </c>
      <c r="C120" s="2" t="s">
        <v>986</v>
      </c>
      <c r="D120" s="2" t="s">
        <v>54</v>
      </c>
      <c r="E120" s="2" t="s">
        <v>879</v>
      </c>
      <c r="F120" s="2" t="s">
        <v>880</v>
      </c>
      <c r="G120" s="2" t="s">
        <v>1092</v>
      </c>
      <c r="H120" s="2" t="s">
        <v>1093</v>
      </c>
      <c r="I120" s="2" t="s">
        <v>883</v>
      </c>
      <c r="J120" s="2" t="s">
        <v>83</v>
      </c>
      <c r="K120" s="2" t="s">
        <v>177</v>
      </c>
      <c r="L120" s="2" t="s">
        <v>989</v>
      </c>
      <c r="M120" s="3">
        <v>44058</v>
      </c>
      <c r="N120" s="3">
        <v>44078</v>
      </c>
      <c r="O120" s="4">
        <v>184.32</v>
      </c>
      <c r="P120" s="2" t="s">
        <v>84</v>
      </c>
      <c r="Q120" s="2" t="s">
        <v>105</v>
      </c>
      <c r="R120" s="2" t="s">
        <v>106</v>
      </c>
      <c r="S120" s="2" t="s">
        <v>420</v>
      </c>
      <c r="T120" s="2" t="s">
        <v>87</v>
      </c>
      <c r="U120" s="2" t="s">
        <v>290</v>
      </c>
      <c r="V120" s="2" t="s">
        <v>88</v>
      </c>
      <c r="W120" s="2" t="s">
        <v>1839</v>
      </c>
      <c r="X120" s="2" t="s">
        <v>412</v>
      </c>
      <c r="Y120" s="2" t="s">
        <v>421</v>
      </c>
      <c r="Z120" s="2" t="s">
        <v>1096</v>
      </c>
      <c r="AA120" s="2" t="s">
        <v>39</v>
      </c>
      <c r="AB120" s="2" t="s">
        <v>414</v>
      </c>
    </row>
    <row r="121" spans="1:28" hidden="1" x14ac:dyDescent="0.2">
      <c r="A121" s="2" t="s">
        <v>410</v>
      </c>
      <c r="B121" s="3">
        <v>44073</v>
      </c>
      <c r="C121" s="2" t="s">
        <v>986</v>
      </c>
      <c r="D121" s="2" t="s">
        <v>91</v>
      </c>
      <c r="E121" s="2" t="s">
        <v>107</v>
      </c>
      <c r="F121" s="2" t="s">
        <v>537</v>
      </c>
      <c r="G121" s="2" t="s">
        <v>1097</v>
      </c>
      <c r="H121" s="2" t="s">
        <v>1098</v>
      </c>
      <c r="I121" s="2" t="s">
        <v>31</v>
      </c>
      <c r="J121" s="2" t="s">
        <v>32</v>
      </c>
      <c r="K121" s="2" t="s">
        <v>177</v>
      </c>
      <c r="L121" s="2" t="s">
        <v>989</v>
      </c>
      <c r="M121" s="3">
        <v>44058</v>
      </c>
      <c r="N121" s="3">
        <v>44078</v>
      </c>
      <c r="O121" s="4">
        <v>247.94</v>
      </c>
      <c r="P121" s="2" t="s">
        <v>84</v>
      </c>
      <c r="Q121" s="2" t="s">
        <v>105</v>
      </c>
      <c r="R121" s="2" t="s">
        <v>106</v>
      </c>
      <c r="S121" s="2" t="s">
        <v>456</v>
      </c>
      <c r="T121" s="2" t="s">
        <v>87</v>
      </c>
      <c r="U121" s="2" t="s">
        <v>290</v>
      </c>
      <c r="V121" s="2" t="s">
        <v>88</v>
      </c>
      <c r="W121" s="2" t="s">
        <v>1840</v>
      </c>
      <c r="X121" s="2" t="s">
        <v>412</v>
      </c>
      <c r="Y121" s="2" t="s">
        <v>538</v>
      </c>
      <c r="Z121" s="2" t="s">
        <v>713</v>
      </c>
      <c r="AA121" s="2" t="s">
        <v>109</v>
      </c>
      <c r="AB121" s="2" t="s">
        <v>414</v>
      </c>
    </row>
    <row r="122" spans="1:28" hidden="1" x14ac:dyDescent="0.2">
      <c r="A122" s="2" t="s">
        <v>410</v>
      </c>
      <c r="B122" s="3">
        <v>44073</v>
      </c>
      <c r="C122" s="2" t="s">
        <v>986</v>
      </c>
      <c r="D122" s="2" t="s">
        <v>91</v>
      </c>
      <c r="E122" s="2" t="s">
        <v>107</v>
      </c>
      <c r="F122" s="2" t="s">
        <v>537</v>
      </c>
      <c r="G122" s="2" t="s">
        <v>993</v>
      </c>
      <c r="H122" s="2" t="s">
        <v>994</v>
      </c>
      <c r="I122" s="2" t="s">
        <v>31</v>
      </c>
      <c r="J122" s="2" t="s">
        <v>32</v>
      </c>
      <c r="K122" s="2" t="s">
        <v>177</v>
      </c>
      <c r="L122" s="2" t="s">
        <v>989</v>
      </c>
      <c r="M122" s="3">
        <v>44058</v>
      </c>
      <c r="N122" s="3">
        <v>44078</v>
      </c>
      <c r="O122" s="4">
        <v>247.96199999999999</v>
      </c>
      <c r="P122" s="2" t="s">
        <v>84</v>
      </c>
      <c r="Q122" s="2" t="s">
        <v>105</v>
      </c>
      <c r="R122" s="2" t="s">
        <v>106</v>
      </c>
      <c r="S122" s="2" t="s">
        <v>456</v>
      </c>
      <c r="T122" s="2" t="s">
        <v>87</v>
      </c>
      <c r="U122" s="2" t="s">
        <v>37</v>
      </c>
      <c r="V122" s="2" t="s">
        <v>88</v>
      </c>
      <c r="W122" s="2" t="s">
        <v>995</v>
      </c>
      <c r="X122" s="2" t="s">
        <v>412</v>
      </c>
      <c r="Y122" s="2" t="s">
        <v>538</v>
      </c>
      <c r="Z122" s="2" t="s">
        <v>996</v>
      </c>
      <c r="AA122" s="2" t="s">
        <v>109</v>
      </c>
      <c r="AB122" s="2" t="s">
        <v>414</v>
      </c>
    </row>
    <row r="123" spans="1:28" hidden="1" x14ac:dyDescent="0.2">
      <c r="A123" s="2" t="s">
        <v>410</v>
      </c>
      <c r="B123" s="3">
        <v>44073</v>
      </c>
      <c r="C123" s="2" t="s">
        <v>986</v>
      </c>
      <c r="D123" s="2" t="s">
        <v>28</v>
      </c>
      <c r="E123" s="2" t="s">
        <v>98</v>
      </c>
      <c r="F123" s="2" t="s">
        <v>205</v>
      </c>
      <c r="G123" s="2" t="s">
        <v>997</v>
      </c>
      <c r="H123" s="2" t="s">
        <v>998</v>
      </c>
      <c r="I123" s="2" t="s">
        <v>99</v>
      </c>
      <c r="J123" s="2" t="s">
        <v>32</v>
      </c>
      <c r="K123" s="2" t="s">
        <v>177</v>
      </c>
      <c r="L123" s="2" t="s">
        <v>989</v>
      </c>
      <c r="M123" s="3">
        <v>44058</v>
      </c>
      <c r="N123" s="3">
        <v>44088</v>
      </c>
      <c r="O123" s="4">
        <v>502.78800000000001</v>
      </c>
      <c r="P123" s="2" t="s">
        <v>84</v>
      </c>
      <c r="Q123" s="2" t="s">
        <v>34</v>
      </c>
      <c r="R123" s="2" t="s">
        <v>35</v>
      </c>
      <c r="S123" s="2" t="s">
        <v>443</v>
      </c>
      <c r="T123" s="2" t="s">
        <v>87</v>
      </c>
      <c r="U123" s="2" t="s">
        <v>37</v>
      </c>
      <c r="V123" s="2" t="s">
        <v>88</v>
      </c>
      <c r="W123" s="2" t="s">
        <v>999</v>
      </c>
      <c r="X123" s="2" t="s">
        <v>412</v>
      </c>
      <c r="Y123" s="2" t="s">
        <v>463</v>
      </c>
      <c r="Z123" s="2" t="s">
        <v>412</v>
      </c>
      <c r="AA123" s="2" t="s">
        <v>39</v>
      </c>
      <c r="AB123" s="2" t="s">
        <v>414</v>
      </c>
    </row>
    <row r="124" spans="1:28" hidden="1" x14ac:dyDescent="0.2">
      <c r="A124" s="2" t="s">
        <v>410</v>
      </c>
      <c r="B124" s="3">
        <v>44073</v>
      </c>
      <c r="C124" s="2" t="s">
        <v>986</v>
      </c>
      <c r="D124" s="2" t="s">
        <v>54</v>
      </c>
      <c r="E124" s="2" t="s">
        <v>103</v>
      </c>
      <c r="F124" s="2" t="s">
        <v>104</v>
      </c>
      <c r="G124" s="2" t="s">
        <v>1000</v>
      </c>
      <c r="H124" s="2" t="s">
        <v>1001</v>
      </c>
      <c r="I124" s="2" t="s">
        <v>31</v>
      </c>
      <c r="J124" s="2" t="s">
        <v>32</v>
      </c>
      <c r="K124" s="2" t="s">
        <v>177</v>
      </c>
      <c r="L124" s="2" t="s">
        <v>989</v>
      </c>
      <c r="M124" s="3">
        <v>44058</v>
      </c>
      <c r="N124" s="3">
        <v>44078</v>
      </c>
      <c r="O124" s="4">
        <v>187.583</v>
      </c>
      <c r="P124" s="2" t="s">
        <v>84</v>
      </c>
      <c r="Q124" s="2" t="s">
        <v>105</v>
      </c>
      <c r="R124" s="2" t="s">
        <v>106</v>
      </c>
      <c r="S124" s="2" t="s">
        <v>420</v>
      </c>
      <c r="T124" s="2" t="s">
        <v>87</v>
      </c>
      <c r="U124" s="2" t="s">
        <v>37</v>
      </c>
      <c r="V124" s="2" t="s">
        <v>88</v>
      </c>
      <c r="W124" s="2" t="s">
        <v>1002</v>
      </c>
      <c r="X124" s="2" t="s">
        <v>412</v>
      </c>
      <c r="Y124" s="2" t="s">
        <v>421</v>
      </c>
      <c r="Z124" s="2" t="s">
        <v>996</v>
      </c>
      <c r="AA124" s="2" t="s">
        <v>39</v>
      </c>
      <c r="AB124" s="2" t="s">
        <v>414</v>
      </c>
    </row>
    <row r="125" spans="1:28" hidden="1" x14ac:dyDescent="0.2">
      <c r="A125" s="2" t="s">
        <v>410</v>
      </c>
      <c r="B125" s="3">
        <v>44073</v>
      </c>
      <c r="C125" s="2" t="s">
        <v>986</v>
      </c>
      <c r="D125" s="2" t="s">
        <v>54</v>
      </c>
      <c r="E125" s="2" t="s">
        <v>103</v>
      </c>
      <c r="F125" s="2" t="s">
        <v>104</v>
      </c>
      <c r="G125" s="2" t="s">
        <v>1003</v>
      </c>
      <c r="H125" s="2" t="s">
        <v>1004</v>
      </c>
      <c r="I125" s="2" t="s">
        <v>31</v>
      </c>
      <c r="J125" s="2" t="s">
        <v>32</v>
      </c>
      <c r="K125" s="2" t="s">
        <v>177</v>
      </c>
      <c r="L125" s="2" t="s">
        <v>989</v>
      </c>
      <c r="M125" s="3">
        <v>44058</v>
      </c>
      <c r="N125" s="3">
        <v>44078</v>
      </c>
      <c r="O125" s="4">
        <v>211.245</v>
      </c>
      <c r="P125" s="2" t="s">
        <v>84</v>
      </c>
      <c r="Q125" s="2" t="s">
        <v>105</v>
      </c>
      <c r="R125" s="2" t="s">
        <v>106</v>
      </c>
      <c r="S125" s="2" t="s">
        <v>422</v>
      </c>
      <c r="T125" s="2" t="s">
        <v>87</v>
      </c>
      <c r="U125" s="2" t="s">
        <v>37</v>
      </c>
      <c r="V125" s="2" t="s">
        <v>88</v>
      </c>
      <c r="W125" s="2" t="s">
        <v>1005</v>
      </c>
      <c r="X125" s="2" t="s">
        <v>412</v>
      </c>
      <c r="Y125" s="2" t="s">
        <v>423</v>
      </c>
      <c r="Z125" s="2" t="s">
        <v>996</v>
      </c>
      <c r="AA125" s="2" t="s">
        <v>39</v>
      </c>
      <c r="AB125" s="2" t="s">
        <v>414</v>
      </c>
    </row>
    <row r="126" spans="1:28" hidden="1" x14ac:dyDescent="0.2">
      <c r="A126" s="2" t="s">
        <v>410</v>
      </c>
      <c r="B126" s="3">
        <v>44048</v>
      </c>
      <c r="C126" s="2" t="s">
        <v>986</v>
      </c>
      <c r="D126" s="2" t="s">
        <v>152</v>
      </c>
      <c r="E126" s="2" t="s">
        <v>138</v>
      </c>
      <c r="F126" s="2" t="s">
        <v>265</v>
      </c>
      <c r="G126" s="2" t="s">
        <v>1006</v>
      </c>
      <c r="H126" s="2" t="s">
        <v>1007</v>
      </c>
      <c r="I126" s="2" t="s">
        <v>377</v>
      </c>
      <c r="J126" s="2" t="s">
        <v>47</v>
      </c>
      <c r="K126" s="2" t="s">
        <v>177</v>
      </c>
      <c r="L126" s="2" t="s">
        <v>989</v>
      </c>
      <c r="M126" s="3">
        <v>44058</v>
      </c>
      <c r="N126" s="3">
        <v>44088</v>
      </c>
      <c r="O126" s="4">
        <v>153</v>
      </c>
      <c r="P126" s="2" t="s">
        <v>84</v>
      </c>
      <c r="Q126" s="2" t="s">
        <v>34</v>
      </c>
      <c r="R126" s="2" t="s">
        <v>266</v>
      </c>
      <c r="S126" s="2" t="s">
        <v>420</v>
      </c>
      <c r="T126" s="2" t="s">
        <v>87</v>
      </c>
      <c r="U126" s="2" t="s">
        <v>290</v>
      </c>
      <c r="V126" s="2" t="s">
        <v>88</v>
      </c>
      <c r="W126" s="2" t="s">
        <v>1008</v>
      </c>
      <c r="X126" s="2" t="s">
        <v>412</v>
      </c>
      <c r="Y126" s="2" t="s">
        <v>451</v>
      </c>
      <c r="Z126" s="2" t="s">
        <v>856</v>
      </c>
      <c r="AA126" s="2" t="s">
        <v>39</v>
      </c>
      <c r="AB126" s="2" t="s">
        <v>414</v>
      </c>
    </row>
    <row r="127" spans="1:28" hidden="1" x14ac:dyDescent="0.2">
      <c r="A127" s="2" t="s">
        <v>410</v>
      </c>
      <c r="B127" s="3">
        <v>44048</v>
      </c>
      <c r="C127" s="2" t="s">
        <v>986</v>
      </c>
      <c r="D127" s="2" t="s">
        <v>152</v>
      </c>
      <c r="E127" s="2" t="s">
        <v>138</v>
      </c>
      <c r="F127" s="2" t="s">
        <v>265</v>
      </c>
      <c r="G127" s="2" t="s">
        <v>1009</v>
      </c>
      <c r="H127" s="2" t="s">
        <v>1010</v>
      </c>
      <c r="I127" s="2" t="s">
        <v>1011</v>
      </c>
      <c r="J127" s="2" t="s">
        <v>47</v>
      </c>
      <c r="K127" s="2" t="s">
        <v>177</v>
      </c>
      <c r="L127" s="2" t="s">
        <v>989</v>
      </c>
      <c r="M127" s="3">
        <v>44058</v>
      </c>
      <c r="N127" s="3">
        <v>44088</v>
      </c>
      <c r="O127" s="4">
        <v>221.31200000000001</v>
      </c>
      <c r="P127" s="2" t="s">
        <v>84</v>
      </c>
      <c r="Q127" s="2" t="s">
        <v>34</v>
      </c>
      <c r="R127" s="2" t="s">
        <v>266</v>
      </c>
      <c r="S127" s="2" t="s">
        <v>420</v>
      </c>
      <c r="T127" s="2" t="s">
        <v>87</v>
      </c>
      <c r="U127" s="2" t="s">
        <v>290</v>
      </c>
      <c r="V127" s="2" t="s">
        <v>88</v>
      </c>
      <c r="W127" s="2" t="s">
        <v>1012</v>
      </c>
      <c r="X127" s="2" t="s">
        <v>412</v>
      </c>
      <c r="Y127" s="2" t="s">
        <v>451</v>
      </c>
      <c r="Z127" s="2" t="s">
        <v>856</v>
      </c>
      <c r="AA127" s="2" t="s">
        <v>39</v>
      </c>
      <c r="AB127" s="2" t="s">
        <v>414</v>
      </c>
    </row>
    <row r="128" spans="1:28" hidden="1" x14ac:dyDescent="0.2">
      <c r="A128" s="2" t="s">
        <v>410</v>
      </c>
      <c r="B128" s="3">
        <v>44048</v>
      </c>
      <c r="C128" s="2" t="s">
        <v>986</v>
      </c>
      <c r="D128" s="2" t="s">
        <v>152</v>
      </c>
      <c r="E128" s="2" t="s">
        <v>138</v>
      </c>
      <c r="F128" s="2" t="s">
        <v>265</v>
      </c>
      <c r="G128" s="2" t="s">
        <v>1013</v>
      </c>
      <c r="H128" s="2" t="s">
        <v>1014</v>
      </c>
      <c r="I128" s="2" t="s">
        <v>407</v>
      </c>
      <c r="J128" s="2" t="s">
        <v>47</v>
      </c>
      <c r="K128" s="2" t="s">
        <v>177</v>
      </c>
      <c r="L128" s="2" t="s">
        <v>989</v>
      </c>
      <c r="M128" s="3">
        <v>44058</v>
      </c>
      <c r="N128" s="3">
        <v>44088</v>
      </c>
      <c r="O128" s="4">
        <v>263.95</v>
      </c>
      <c r="P128" s="2" t="s">
        <v>84</v>
      </c>
      <c r="Q128" s="2" t="s">
        <v>34</v>
      </c>
      <c r="R128" s="2" t="s">
        <v>266</v>
      </c>
      <c r="S128" s="2" t="s">
        <v>411</v>
      </c>
      <c r="T128" s="2" t="s">
        <v>87</v>
      </c>
      <c r="U128" s="2" t="s">
        <v>37</v>
      </c>
      <c r="V128" s="2" t="s">
        <v>88</v>
      </c>
      <c r="W128" s="2" t="s">
        <v>1015</v>
      </c>
      <c r="X128" s="2" t="s">
        <v>412</v>
      </c>
      <c r="Y128" s="2" t="s">
        <v>432</v>
      </c>
      <c r="Z128" s="2" t="s">
        <v>856</v>
      </c>
      <c r="AA128" s="2" t="s">
        <v>39</v>
      </c>
      <c r="AB128" s="2" t="s">
        <v>414</v>
      </c>
    </row>
    <row r="129" spans="1:28" hidden="1" x14ac:dyDescent="0.2">
      <c r="A129" s="2" t="s">
        <v>410</v>
      </c>
      <c r="B129" s="3">
        <v>44048</v>
      </c>
      <c r="C129" s="2" t="s">
        <v>986</v>
      </c>
      <c r="D129" s="2" t="s">
        <v>152</v>
      </c>
      <c r="E129" s="2" t="s">
        <v>138</v>
      </c>
      <c r="F129" s="2" t="s">
        <v>265</v>
      </c>
      <c r="G129" s="2" t="s">
        <v>1016</v>
      </c>
      <c r="H129" s="2" t="s">
        <v>1017</v>
      </c>
      <c r="I129" s="2" t="s">
        <v>408</v>
      </c>
      <c r="J129" s="2" t="s">
        <v>47</v>
      </c>
      <c r="K129" s="2" t="s">
        <v>177</v>
      </c>
      <c r="L129" s="2" t="s">
        <v>989</v>
      </c>
      <c r="M129" s="3">
        <v>44058</v>
      </c>
      <c r="N129" s="3">
        <v>44088</v>
      </c>
      <c r="O129" s="4">
        <v>113.11</v>
      </c>
      <c r="P129" s="2" t="s">
        <v>84</v>
      </c>
      <c r="Q129" s="2" t="s">
        <v>34</v>
      </c>
      <c r="R129" s="2" t="s">
        <v>266</v>
      </c>
      <c r="S129" s="2" t="s">
        <v>415</v>
      </c>
      <c r="T129" s="2" t="s">
        <v>87</v>
      </c>
      <c r="U129" s="2" t="s">
        <v>37</v>
      </c>
      <c r="V129" s="2" t="s">
        <v>88</v>
      </c>
      <c r="W129" s="2" t="s">
        <v>1018</v>
      </c>
      <c r="X129" s="2" t="s">
        <v>412</v>
      </c>
      <c r="Y129" s="2" t="s">
        <v>416</v>
      </c>
      <c r="Z129" s="2" t="s">
        <v>856</v>
      </c>
      <c r="AA129" s="2" t="s">
        <v>39</v>
      </c>
      <c r="AB129" s="2" t="s">
        <v>414</v>
      </c>
    </row>
    <row r="130" spans="1:28" hidden="1" x14ac:dyDescent="0.2">
      <c r="A130" s="2" t="s">
        <v>410</v>
      </c>
      <c r="B130" s="3">
        <v>44048</v>
      </c>
      <c r="C130" s="2" t="s">
        <v>986</v>
      </c>
      <c r="D130" s="2" t="s">
        <v>152</v>
      </c>
      <c r="E130" s="2" t="s">
        <v>138</v>
      </c>
      <c r="F130" s="2" t="s">
        <v>265</v>
      </c>
      <c r="G130" s="2" t="s">
        <v>1019</v>
      </c>
      <c r="H130" s="2" t="s">
        <v>1020</v>
      </c>
      <c r="I130" s="2" t="s">
        <v>385</v>
      </c>
      <c r="J130" s="2" t="s">
        <v>47</v>
      </c>
      <c r="K130" s="2" t="s">
        <v>177</v>
      </c>
      <c r="L130" s="2" t="s">
        <v>989</v>
      </c>
      <c r="M130" s="3">
        <v>44058</v>
      </c>
      <c r="N130" s="3">
        <v>44088</v>
      </c>
      <c r="O130" s="4">
        <v>201.23599999999999</v>
      </c>
      <c r="P130" s="2" t="s">
        <v>84</v>
      </c>
      <c r="Q130" s="2" t="s">
        <v>34</v>
      </c>
      <c r="R130" s="2" t="s">
        <v>266</v>
      </c>
      <c r="S130" s="2" t="s">
        <v>416</v>
      </c>
      <c r="T130" s="2" t="s">
        <v>87</v>
      </c>
      <c r="U130" s="2" t="s">
        <v>37</v>
      </c>
      <c r="V130" s="2" t="s">
        <v>88</v>
      </c>
      <c r="W130" s="2" t="s">
        <v>1021</v>
      </c>
      <c r="X130" s="2" t="s">
        <v>412</v>
      </c>
      <c r="Y130" s="2" t="s">
        <v>477</v>
      </c>
      <c r="Z130" s="2" t="s">
        <v>856</v>
      </c>
      <c r="AA130" s="2" t="s">
        <v>39</v>
      </c>
      <c r="AB130" s="2" t="s">
        <v>414</v>
      </c>
    </row>
    <row r="131" spans="1:28" hidden="1" x14ac:dyDescent="0.2">
      <c r="A131" s="2" t="s">
        <v>410</v>
      </c>
      <c r="B131" s="3">
        <v>44048</v>
      </c>
      <c r="C131" s="2" t="s">
        <v>986</v>
      </c>
      <c r="D131" s="2" t="s">
        <v>152</v>
      </c>
      <c r="E131" s="2" t="s">
        <v>138</v>
      </c>
      <c r="F131" s="2" t="s">
        <v>265</v>
      </c>
      <c r="G131" s="2" t="s">
        <v>1022</v>
      </c>
      <c r="H131" s="2" t="s">
        <v>1023</v>
      </c>
      <c r="I131" s="2" t="s">
        <v>386</v>
      </c>
      <c r="J131" s="2" t="s">
        <v>47</v>
      </c>
      <c r="K131" s="2" t="s">
        <v>177</v>
      </c>
      <c r="L131" s="2" t="s">
        <v>989</v>
      </c>
      <c r="M131" s="3">
        <v>44058</v>
      </c>
      <c r="N131" s="3">
        <v>44088</v>
      </c>
      <c r="O131" s="4">
        <v>228.3</v>
      </c>
      <c r="P131" s="2" t="s">
        <v>84</v>
      </c>
      <c r="Q131" s="2" t="s">
        <v>34</v>
      </c>
      <c r="R131" s="2" t="s">
        <v>266</v>
      </c>
      <c r="S131" s="2" t="s">
        <v>416</v>
      </c>
      <c r="T131" s="2" t="s">
        <v>87</v>
      </c>
      <c r="U131" s="2" t="s">
        <v>37</v>
      </c>
      <c r="V131" s="2" t="s">
        <v>88</v>
      </c>
      <c r="W131" s="2" t="s">
        <v>1024</v>
      </c>
      <c r="X131" s="2" t="s">
        <v>412</v>
      </c>
      <c r="Y131" s="2" t="s">
        <v>428</v>
      </c>
      <c r="Z131" s="2" t="s">
        <v>856</v>
      </c>
      <c r="AA131" s="2" t="s">
        <v>39</v>
      </c>
      <c r="AB131" s="2" t="s">
        <v>414</v>
      </c>
    </row>
    <row r="132" spans="1:28" hidden="1" x14ac:dyDescent="0.2">
      <c r="A132" s="2" t="s">
        <v>410</v>
      </c>
      <c r="B132" s="3">
        <v>44058</v>
      </c>
      <c r="C132" s="2" t="s">
        <v>986</v>
      </c>
      <c r="D132" s="2" t="s">
        <v>152</v>
      </c>
      <c r="E132" s="2" t="s">
        <v>200</v>
      </c>
      <c r="F132" s="2" t="s">
        <v>201</v>
      </c>
      <c r="G132" s="2" t="s">
        <v>1841</v>
      </c>
      <c r="H132" s="2" t="s">
        <v>1842</v>
      </c>
      <c r="I132" s="2" t="s">
        <v>202</v>
      </c>
      <c r="J132" s="2" t="s">
        <v>95</v>
      </c>
      <c r="K132" s="2" t="s">
        <v>177</v>
      </c>
      <c r="L132" s="2" t="s">
        <v>989</v>
      </c>
      <c r="M132" s="3">
        <v>44058</v>
      </c>
      <c r="N132" s="3">
        <v>44085</v>
      </c>
      <c r="O132" s="4">
        <v>119.595</v>
      </c>
      <c r="P132" s="2" t="s">
        <v>84</v>
      </c>
      <c r="Q132" s="2" t="s">
        <v>203</v>
      </c>
      <c r="R132" s="2" t="s">
        <v>204</v>
      </c>
      <c r="S132" s="2" t="s">
        <v>415</v>
      </c>
      <c r="T132" s="2" t="s">
        <v>87</v>
      </c>
      <c r="U132" s="2" t="s">
        <v>290</v>
      </c>
      <c r="V132" s="2" t="s">
        <v>88</v>
      </c>
      <c r="W132" s="2" t="s">
        <v>1843</v>
      </c>
      <c r="X132" s="2" t="s">
        <v>412</v>
      </c>
      <c r="Y132" s="2" t="s">
        <v>1844</v>
      </c>
      <c r="Z132" s="2" t="s">
        <v>412</v>
      </c>
      <c r="AA132" s="2" t="s">
        <v>39</v>
      </c>
      <c r="AB132" s="2" t="s">
        <v>414</v>
      </c>
    </row>
    <row r="133" spans="1:28" x14ac:dyDescent="0.2">
      <c r="A133" s="2" t="s">
        <v>427</v>
      </c>
      <c r="B133" s="3">
        <v>44055</v>
      </c>
      <c r="C133" s="2" t="s">
        <v>1025</v>
      </c>
      <c r="D133" s="2" t="s">
        <v>54</v>
      </c>
      <c r="E133" s="2" t="s">
        <v>541</v>
      </c>
      <c r="F133" s="2" t="s">
        <v>542</v>
      </c>
      <c r="G133" s="2" t="s">
        <v>1026</v>
      </c>
      <c r="H133" s="2" t="s">
        <v>1027</v>
      </c>
      <c r="I133" s="2" t="s">
        <v>77</v>
      </c>
      <c r="J133" s="2" t="s">
        <v>32</v>
      </c>
      <c r="K133" s="2" t="s">
        <v>404</v>
      </c>
      <c r="L133" s="2" t="s">
        <v>622</v>
      </c>
      <c r="M133" s="3">
        <v>44058</v>
      </c>
      <c r="N133" s="3">
        <v>44081</v>
      </c>
      <c r="O133" s="4">
        <v>499.13400000000001</v>
      </c>
      <c r="P133" s="2" t="s">
        <v>48</v>
      </c>
      <c r="Q133" s="2" t="s">
        <v>498</v>
      </c>
      <c r="R133" s="2" t="s">
        <v>499</v>
      </c>
      <c r="S133" s="2" t="s">
        <v>428</v>
      </c>
      <c r="T133" s="2" t="s">
        <v>36</v>
      </c>
      <c r="U133" s="2" t="s">
        <v>37</v>
      </c>
      <c r="V133" s="2" t="s">
        <v>155</v>
      </c>
      <c r="W133" s="2" t="s">
        <v>1029</v>
      </c>
      <c r="X133" s="2" t="s">
        <v>412</v>
      </c>
      <c r="Y133" s="2" t="s">
        <v>429</v>
      </c>
      <c r="Z133" s="2" t="s">
        <v>611</v>
      </c>
      <c r="AA133" s="2" t="s">
        <v>39</v>
      </c>
      <c r="AB133" s="2" t="s">
        <v>414</v>
      </c>
    </row>
    <row r="134" spans="1:28" x14ac:dyDescent="0.2">
      <c r="A134" s="2" t="s">
        <v>427</v>
      </c>
      <c r="B134" s="3">
        <v>44048</v>
      </c>
      <c r="C134" s="2" t="s">
        <v>1025</v>
      </c>
      <c r="D134" s="2" t="s">
        <v>28</v>
      </c>
      <c r="E134" s="2" t="s">
        <v>110</v>
      </c>
      <c r="F134" s="2" t="s">
        <v>1030</v>
      </c>
      <c r="G134" s="2" t="s">
        <v>1031</v>
      </c>
      <c r="H134" s="2" t="s">
        <v>1032</v>
      </c>
      <c r="I134" s="2" t="s">
        <v>77</v>
      </c>
      <c r="J134" s="2" t="s">
        <v>32</v>
      </c>
      <c r="K134" s="2" t="s">
        <v>404</v>
      </c>
      <c r="L134" s="2" t="s">
        <v>622</v>
      </c>
      <c r="M134" s="3">
        <v>44058</v>
      </c>
      <c r="N134" s="3">
        <v>44082</v>
      </c>
      <c r="O134" s="4">
        <v>499.9</v>
      </c>
      <c r="P134" s="2" t="s">
        <v>48</v>
      </c>
      <c r="Q134" s="2" t="s">
        <v>134</v>
      </c>
      <c r="R134" s="2" t="s">
        <v>135</v>
      </c>
      <c r="S134" s="2" t="s">
        <v>428</v>
      </c>
      <c r="T134" s="2" t="s">
        <v>72</v>
      </c>
      <c r="U134" s="2" t="s">
        <v>37</v>
      </c>
      <c r="V134" s="2" t="s">
        <v>155</v>
      </c>
      <c r="W134" s="2" t="s">
        <v>1033</v>
      </c>
      <c r="X134" s="2" t="s">
        <v>412</v>
      </c>
      <c r="Y134" s="2" t="s">
        <v>429</v>
      </c>
      <c r="Z134" s="2" t="s">
        <v>946</v>
      </c>
      <c r="AA134" s="2" t="s">
        <v>39</v>
      </c>
      <c r="AB134" s="2" t="s">
        <v>414</v>
      </c>
    </row>
    <row r="135" spans="1:28" x14ac:dyDescent="0.2">
      <c r="A135" s="2" t="s">
        <v>427</v>
      </c>
      <c r="B135" s="3">
        <v>44053</v>
      </c>
      <c r="C135" s="2" t="s">
        <v>951</v>
      </c>
      <c r="D135" s="2" t="s">
        <v>62</v>
      </c>
      <c r="E135" s="2" t="s">
        <v>217</v>
      </c>
      <c r="F135" s="2" t="s">
        <v>218</v>
      </c>
      <c r="G135" s="2" t="s">
        <v>952</v>
      </c>
      <c r="H135" s="2" t="s">
        <v>953</v>
      </c>
      <c r="I135" s="2" t="s">
        <v>77</v>
      </c>
      <c r="J135" s="2" t="s">
        <v>32</v>
      </c>
      <c r="K135" s="2" t="s">
        <v>390</v>
      </c>
      <c r="L135" s="2" t="s">
        <v>954</v>
      </c>
      <c r="M135" s="3">
        <v>44058</v>
      </c>
      <c r="N135" s="3">
        <v>44085</v>
      </c>
      <c r="O135" s="4">
        <v>499.27699999999999</v>
      </c>
      <c r="P135" s="2" t="s">
        <v>48</v>
      </c>
      <c r="Q135" s="2" t="s">
        <v>34</v>
      </c>
      <c r="R135" s="2" t="s">
        <v>35</v>
      </c>
      <c r="S135" s="2" t="s">
        <v>428</v>
      </c>
      <c r="T135" s="2" t="s">
        <v>36</v>
      </c>
      <c r="U135" s="2" t="s">
        <v>37</v>
      </c>
      <c r="V135" s="2" t="s">
        <v>65</v>
      </c>
      <c r="W135" s="2" t="s">
        <v>955</v>
      </c>
      <c r="X135" s="2" t="s">
        <v>412</v>
      </c>
      <c r="Y135" s="2" t="s">
        <v>429</v>
      </c>
      <c r="Z135" s="2" t="s">
        <v>412</v>
      </c>
      <c r="AA135" s="2" t="s">
        <v>39</v>
      </c>
      <c r="AB135" s="2" t="s">
        <v>414</v>
      </c>
    </row>
    <row r="136" spans="1:28" x14ac:dyDescent="0.2">
      <c r="A136" s="2" t="s">
        <v>427</v>
      </c>
      <c r="B136" s="3">
        <v>44053</v>
      </c>
      <c r="C136" s="2" t="s">
        <v>1078</v>
      </c>
      <c r="D136" s="2" t="s">
        <v>62</v>
      </c>
      <c r="E136" s="2" t="s">
        <v>212</v>
      </c>
      <c r="F136" s="2" t="s">
        <v>213</v>
      </c>
      <c r="G136" s="2" t="s">
        <v>1079</v>
      </c>
      <c r="H136" s="2" t="s">
        <v>1080</v>
      </c>
      <c r="I136" s="2" t="s">
        <v>77</v>
      </c>
      <c r="J136" s="2" t="s">
        <v>32</v>
      </c>
      <c r="K136" s="2" t="s">
        <v>500</v>
      </c>
      <c r="L136" s="2" t="s">
        <v>1081</v>
      </c>
      <c r="M136" s="3">
        <v>44058</v>
      </c>
      <c r="N136" s="3">
        <v>44083</v>
      </c>
      <c r="O136" s="4">
        <v>512.86800000000005</v>
      </c>
      <c r="P136" s="2" t="s">
        <v>48</v>
      </c>
      <c r="Q136" s="2" t="s">
        <v>115</v>
      </c>
      <c r="R136" s="2" t="s">
        <v>116</v>
      </c>
      <c r="S136" s="2" t="s">
        <v>447</v>
      </c>
      <c r="T136" s="2" t="s">
        <v>140</v>
      </c>
      <c r="U136" s="2" t="s">
        <v>37</v>
      </c>
      <c r="V136" s="2" t="s">
        <v>43</v>
      </c>
      <c r="W136" s="2" t="s">
        <v>1082</v>
      </c>
      <c r="X136" s="2" t="s">
        <v>412</v>
      </c>
      <c r="Y136" s="2" t="s">
        <v>448</v>
      </c>
      <c r="Z136" s="2" t="s">
        <v>1083</v>
      </c>
      <c r="AA136" s="2" t="s">
        <v>39</v>
      </c>
      <c r="AB136" s="2" t="s">
        <v>414</v>
      </c>
    </row>
    <row r="137" spans="1:28" x14ac:dyDescent="0.2">
      <c r="A137" s="2" t="s">
        <v>427</v>
      </c>
      <c r="B137" s="3">
        <v>44055</v>
      </c>
      <c r="C137" s="2" t="s">
        <v>970</v>
      </c>
      <c r="D137" s="2" t="s">
        <v>62</v>
      </c>
      <c r="E137" s="2" t="s">
        <v>167</v>
      </c>
      <c r="F137" s="2" t="s">
        <v>168</v>
      </c>
      <c r="G137" s="2" t="s">
        <v>971</v>
      </c>
      <c r="H137" s="2" t="s">
        <v>972</v>
      </c>
      <c r="I137" s="2" t="s">
        <v>77</v>
      </c>
      <c r="J137" s="2" t="s">
        <v>32</v>
      </c>
      <c r="K137" s="2" t="s">
        <v>136</v>
      </c>
      <c r="L137" s="2" t="s">
        <v>973</v>
      </c>
      <c r="M137" s="3">
        <v>44058</v>
      </c>
      <c r="N137" s="3">
        <v>44085</v>
      </c>
      <c r="O137" s="4">
        <v>199.02699999999999</v>
      </c>
      <c r="P137" s="2" t="s">
        <v>48</v>
      </c>
      <c r="Q137" s="2" t="s">
        <v>166</v>
      </c>
      <c r="R137" s="2" t="s">
        <v>169</v>
      </c>
      <c r="S137" s="2" t="s">
        <v>420</v>
      </c>
      <c r="T137" s="2" t="s">
        <v>36</v>
      </c>
      <c r="U137" s="2" t="s">
        <v>37</v>
      </c>
      <c r="V137" s="2" t="s">
        <v>52</v>
      </c>
      <c r="W137" s="2" t="s">
        <v>974</v>
      </c>
      <c r="X137" s="2" t="s">
        <v>412</v>
      </c>
      <c r="Y137" s="2" t="s">
        <v>421</v>
      </c>
      <c r="Z137" s="2" t="s">
        <v>799</v>
      </c>
      <c r="AA137" s="2" t="s">
        <v>39</v>
      </c>
      <c r="AB137" s="2" t="s">
        <v>414</v>
      </c>
    </row>
    <row r="138" spans="1:28" x14ac:dyDescent="0.2">
      <c r="A138" s="2" t="s">
        <v>427</v>
      </c>
      <c r="B138" s="3">
        <v>44073</v>
      </c>
      <c r="C138" s="2" t="s">
        <v>970</v>
      </c>
      <c r="D138" s="2" t="s">
        <v>91</v>
      </c>
      <c r="E138" s="2" t="s">
        <v>164</v>
      </c>
      <c r="F138" s="2" t="s">
        <v>165</v>
      </c>
      <c r="G138" s="2" t="s">
        <v>975</v>
      </c>
      <c r="H138" s="2" t="s">
        <v>976</v>
      </c>
      <c r="I138" s="2" t="s">
        <v>77</v>
      </c>
      <c r="J138" s="2" t="s">
        <v>32</v>
      </c>
      <c r="K138" s="2" t="s">
        <v>136</v>
      </c>
      <c r="L138" s="2" t="s">
        <v>973</v>
      </c>
      <c r="M138" s="3">
        <v>44058</v>
      </c>
      <c r="N138" s="3">
        <v>44085</v>
      </c>
      <c r="O138" s="4">
        <v>291.26400000000001</v>
      </c>
      <c r="P138" s="2" t="s">
        <v>48</v>
      </c>
      <c r="Q138" s="2" t="s">
        <v>166</v>
      </c>
      <c r="R138" s="2" t="s">
        <v>169</v>
      </c>
      <c r="S138" s="2" t="s">
        <v>459</v>
      </c>
      <c r="T138" s="2" t="s">
        <v>42</v>
      </c>
      <c r="U138" s="2" t="s">
        <v>37</v>
      </c>
      <c r="V138" s="2" t="s">
        <v>52</v>
      </c>
      <c r="W138" s="2" t="s">
        <v>977</v>
      </c>
      <c r="X138" s="2" t="s">
        <v>412</v>
      </c>
      <c r="Y138" s="2" t="s">
        <v>479</v>
      </c>
      <c r="Z138" s="2" t="s">
        <v>497</v>
      </c>
      <c r="AA138" s="2" t="s">
        <v>39</v>
      </c>
      <c r="AB138" s="2" t="s">
        <v>414</v>
      </c>
    </row>
    <row r="139" spans="1:28" x14ac:dyDescent="0.2">
      <c r="A139" s="2" t="s">
        <v>427</v>
      </c>
      <c r="B139" s="3">
        <v>44055</v>
      </c>
      <c r="C139" s="2" t="s">
        <v>970</v>
      </c>
      <c r="D139" s="2" t="s">
        <v>62</v>
      </c>
      <c r="E139" s="2" t="s">
        <v>248</v>
      </c>
      <c r="F139" s="2" t="s">
        <v>249</v>
      </c>
      <c r="G139" s="2" t="s">
        <v>978</v>
      </c>
      <c r="H139" s="2" t="s">
        <v>979</v>
      </c>
      <c r="I139" s="2" t="s">
        <v>77</v>
      </c>
      <c r="J139" s="2" t="s">
        <v>32</v>
      </c>
      <c r="K139" s="2" t="s">
        <v>136</v>
      </c>
      <c r="L139" s="2" t="s">
        <v>973</v>
      </c>
      <c r="M139" s="3">
        <v>44058</v>
      </c>
      <c r="N139" s="3">
        <v>44085</v>
      </c>
      <c r="O139" s="4">
        <v>311.78100000000001</v>
      </c>
      <c r="P139" s="2" t="s">
        <v>48</v>
      </c>
      <c r="Q139" s="2" t="s">
        <v>166</v>
      </c>
      <c r="R139" s="2" t="s">
        <v>250</v>
      </c>
      <c r="S139" s="2" t="s">
        <v>417</v>
      </c>
      <c r="T139" s="2" t="s">
        <v>42</v>
      </c>
      <c r="U139" s="2" t="s">
        <v>37</v>
      </c>
      <c r="V139" s="2" t="s">
        <v>52</v>
      </c>
      <c r="W139" s="2" t="s">
        <v>980</v>
      </c>
      <c r="X139" s="2" t="s">
        <v>412</v>
      </c>
      <c r="Y139" s="2" t="s">
        <v>458</v>
      </c>
      <c r="Z139" s="2" t="s">
        <v>981</v>
      </c>
      <c r="AA139" s="2" t="s">
        <v>39</v>
      </c>
      <c r="AB139" s="2" t="s">
        <v>414</v>
      </c>
    </row>
    <row r="140" spans="1:28" x14ac:dyDescent="0.2">
      <c r="A140" s="2" t="s">
        <v>427</v>
      </c>
      <c r="B140" s="3">
        <v>44048</v>
      </c>
      <c r="C140" s="2" t="s">
        <v>970</v>
      </c>
      <c r="D140" s="2" t="s">
        <v>28</v>
      </c>
      <c r="E140" s="2" t="s">
        <v>110</v>
      </c>
      <c r="F140" s="2" t="s">
        <v>111</v>
      </c>
      <c r="G140" s="2" t="s">
        <v>943</v>
      </c>
      <c r="H140" s="2" t="s">
        <v>944</v>
      </c>
      <c r="I140" s="2" t="s">
        <v>77</v>
      </c>
      <c r="J140" s="2" t="s">
        <v>32</v>
      </c>
      <c r="K140" s="2" t="s">
        <v>136</v>
      </c>
      <c r="L140" s="2" t="s">
        <v>973</v>
      </c>
      <c r="M140" s="3">
        <v>44058</v>
      </c>
      <c r="N140" s="3">
        <v>44089</v>
      </c>
      <c r="O140" s="4">
        <v>494.31299999999999</v>
      </c>
      <c r="P140" s="2" t="s">
        <v>48</v>
      </c>
      <c r="Q140" s="2" t="s">
        <v>34</v>
      </c>
      <c r="R140" s="2" t="s">
        <v>35</v>
      </c>
      <c r="S140" s="2" t="s">
        <v>432</v>
      </c>
      <c r="T140" s="2" t="s">
        <v>140</v>
      </c>
      <c r="U140" s="2" t="s">
        <v>37</v>
      </c>
      <c r="V140" s="2" t="s">
        <v>52</v>
      </c>
      <c r="W140" s="2" t="s">
        <v>945</v>
      </c>
      <c r="X140" s="2" t="s">
        <v>412</v>
      </c>
      <c r="Y140" s="2" t="s">
        <v>478</v>
      </c>
      <c r="Z140" s="2" t="s">
        <v>946</v>
      </c>
      <c r="AA140" s="2" t="s">
        <v>39</v>
      </c>
      <c r="AB140" s="2" t="s">
        <v>414</v>
      </c>
    </row>
    <row r="141" spans="1:28" x14ac:dyDescent="0.2">
      <c r="A141" s="2" t="s">
        <v>427</v>
      </c>
      <c r="B141" s="3">
        <v>44058</v>
      </c>
      <c r="C141" s="2" t="s">
        <v>1136</v>
      </c>
      <c r="D141" s="2" t="s">
        <v>91</v>
      </c>
      <c r="E141" s="2" t="s">
        <v>258</v>
      </c>
      <c r="F141" s="2" t="s">
        <v>259</v>
      </c>
      <c r="G141" s="2" t="s">
        <v>1137</v>
      </c>
      <c r="H141" s="2" t="s">
        <v>1138</v>
      </c>
      <c r="I141" s="2" t="s">
        <v>77</v>
      </c>
      <c r="J141" s="2" t="s">
        <v>32</v>
      </c>
      <c r="K141" s="2" t="s">
        <v>144</v>
      </c>
      <c r="L141" s="2" t="s">
        <v>1094</v>
      </c>
      <c r="M141" s="3">
        <v>44058</v>
      </c>
      <c r="N141" s="3">
        <v>44080</v>
      </c>
      <c r="O141" s="4">
        <v>198.72</v>
      </c>
      <c r="P141" s="2" t="s">
        <v>48</v>
      </c>
      <c r="Q141" s="2" t="s">
        <v>134</v>
      </c>
      <c r="R141" s="2" t="s">
        <v>135</v>
      </c>
      <c r="S141" s="2" t="s">
        <v>420</v>
      </c>
      <c r="T141" s="2" t="s">
        <v>36</v>
      </c>
      <c r="U141" s="2" t="s">
        <v>1139</v>
      </c>
      <c r="V141" s="2" t="s">
        <v>52</v>
      </c>
      <c r="W141" s="2" t="s">
        <v>1140</v>
      </c>
      <c r="X141" s="2" t="s">
        <v>412</v>
      </c>
      <c r="Y141" s="2" t="s">
        <v>421</v>
      </c>
      <c r="Z141" s="2" t="s">
        <v>412</v>
      </c>
      <c r="AA141" s="2" t="s">
        <v>39</v>
      </c>
      <c r="AB141" s="2" t="s">
        <v>414</v>
      </c>
    </row>
    <row r="142" spans="1:28" hidden="1" x14ac:dyDescent="0.2">
      <c r="A142" s="2" t="s">
        <v>431</v>
      </c>
      <c r="B142" s="3">
        <v>44073</v>
      </c>
      <c r="C142" s="2" t="s">
        <v>1141</v>
      </c>
      <c r="D142" s="2" t="s">
        <v>74</v>
      </c>
      <c r="E142" s="2" t="s">
        <v>75</v>
      </c>
      <c r="F142" s="2" t="s">
        <v>1142</v>
      </c>
      <c r="G142" s="2" t="s">
        <v>1143</v>
      </c>
      <c r="H142" s="2" t="s">
        <v>1144</v>
      </c>
      <c r="I142" s="2" t="s">
        <v>1145</v>
      </c>
      <c r="J142" s="2" t="s">
        <v>58</v>
      </c>
      <c r="K142" s="2" t="s">
        <v>578</v>
      </c>
      <c r="L142" s="2" t="s">
        <v>1146</v>
      </c>
      <c r="M142" s="3">
        <v>44058</v>
      </c>
      <c r="N142" s="3">
        <v>44097</v>
      </c>
      <c r="O142" s="4">
        <v>71.61</v>
      </c>
      <c r="P142" s="2" t="s">
        <v>33</v>
      </c>
      <c r="Q142" s="2" t="s">
        <v>353</v>
      </c>
      <c r="R142" s="2" t="s">
        <v>1147</v>
      </c>
      <c r="S142" s="2" t="s">
        <v>446</v>
      </c>
      <c r="T142" s="2" t="s">
        <v>61</v>
      </c>
      <c r="U142" s="2" t="s">
        <v>290</v>
      </c>
      <c r="V142" s="2" t="s">
        <v>65</v>
      </c>
      <c r="W142" s="2" t="s">
        <v>1148</v>
      </c>
      <c r="X142" s="2" t="s">
        <v>412</v>
      </c>
      <c r="Y142" s="2" t="s">
        <v>435</v>
      </c>
      <c r="Z142" s="2" t="s">
        <v>962</v>
      </c>
      <c r="AA142" s="2" t="s">
        <v>39</v>
      </c>
      <c r="AB142" s="2" t="s">
        <v>414</v>
      </c>
    </row>
    <row r="143" spans="1:28" hidden="1" x14ac:dyDescent="0.2">
      <c r="A143" s="2" t="s">
        <v>431</v>
      </c>
      <c r="B143" s="3">
        <v>44073</v>
      </c>
      <c r="C143" s="2" t="s">
        <v>1805</v>
      </c>
      <c r="D143" s="2" t="s">
        <v>74</v>
      </c>
      <c r="E143" s="2" t="s">
        <v>75</v>
      </c>
      <c r="F143" s="2" t="s">
        <v>147</v>
      </c>
      <c r="G143" s="2" t="s">
        <v>1101</v>
      </c>
      <c r="H143" s="2" t="s">
        <v>1102</v>
      </c>
      <c r="I143" s="2" t="s">
        <v>148</v>
      </c>
      <c r="J143" s="2" t="s">
        <v>58</v>
      </c>
      <c r="K143" s="2" t="s">
        <v>1786</v>
      </c>
      <c r="L143" s="2" t="s">
        <v>954</v>
      </c>
      <c r="M143" s="3">
        <v>44058</v>
      </c>
      <c r="N143" s="3">
        <v>44110</v>
      </c>
      <c r="O143" s="4">
        <v>69.093000000000004</v>
      </c>
      <c r="P143" s="2" t="s">
        <v>33</v>
      </c>
      <c r="Q143" s="2" t="s">
        <v>149</v>
      </c>
      <c r="R143" s="2" t="s">
        <v>150</v>
      </c>
      <c r="S143" s="2" t="s">
        <v>446</v>
      </c>
      <c r="T143" s="2" t="s">
        <v>61</v>
      </c>
      <c r="U143" s="2" t="s">
        <v>290</v>
      </c>
      <c r="V143" s="2" t="s">
        <v>73</v>
      </c>
      <c r="W143" s="2" t="s">
        <v>1105</v>
      </c>
      <c r="X143" s="2" t="s">
        <v>412</v>
      </c>
      <c r="Y143" s="2" t="s">
        <v>502</v>
      </c>
      <c r="Z143" s="2" t="s">
        <v>412</v>
      </c>
      <c r="AA143" s="2" t="s">
        <v>39</v>
      </c>
      <c r="AB143" s="2" t="s">
        <v>414</v>
      </c>
    </row>
    <row r="144" spans="1:28" hidden="1" x14ac:dyDescent="0.2">
      <c r="A144" s="2" t="s">
        <v>431</v>
      </c>
      <c r="B144" s="3">
        <v>44073</v>
      </c>
      <c r="C144" s="2" t="s">
        <v>1805</v>
      </c>
      <c r="D144" s="2" t="s">
        <v>74</v>
      </c>
      <c r="E144" s="2" t="s">
        <v>75</v>
      </c>
      <c r="F144" s="2" t="s">
        <v>147</v>
      </c>
      <c r="G144" s="2" t="s">
        <v>1106</v>
      </c>
      <c r="H144" s="2" t="s">
        <v>1107</v>
      </c>
      <c r="I144" s="2" t="s">
        <v>151</v>
      </c>
      <c r="J144" s="2" t="s">
        <v>58</v>
      </c>
      <c r="K144" s="2" t="s">
        <v>1786</v>
      </c>
      <c r="L144" s="2" t="s">
        <v>954</v>
      </c>
      <c r="M144" s="3">
        <v>44058</v>
      </c>
      <c r="N144" s="3">
        <v>44110</v>
      </c>
      <c r="O144" s="4">
        <v>69.066000000000003</v>
      </c>
      <c r="P144" s="2" t="s">
        <v>33</v>
      </c>
      <c r="Q144" s="2" t="s">
        <v>149</v>
      </c>
      <c r="R144" s="2" t="s">
        <v>150</v>
      </c>
      <c r="S144" s="2" t="s">
        <v>446</v>
      </c>
      <c r="T144" s="2" t="s">
        <v>61</v>
      </c>
      <c r="U144" s="2" t="s">
        <v>290</v>
      </c>
      <c r="V144" s="2" t="s">
        <v>73</v>
      </c>
      <c r="W144" s="2" t="s">
        <v>1108</v>
      </c>
      <c r="X144" s="2" t="s">
        <v>412</v>
      </c>
      <c r="Y144" s="2" t="s">
        <v>502</v>
      </c>
      <c r="Z144" s="2" t="s">
        <v>412</v>
      </c>
      <c r="AA144" s="2" t="s">
        <v>39</v>
      </c>
      <c r="AB144" s="2" t="s">
        <v>414</v>
      </c>
    </row>
    <row r="145" spans="1:28" hidden="1" x14ac:dyDescent="0.2">
      <c r="A145" s="2" t="s">
        <v>431</v>
      </c>
      <c r="B145" s="3">
        <v>44073</v>
      </c>
      <c r="C145" s="2" t="s">
        <v>1149</v>
      </c>
      <c r="D145" s="2" t="s">
        <v>74</v>
      </c>
      <c r="E145" s="2" t="s">
        <v>207</v>
      </c>
      <c r="F145" s="2" t="s">
        <v>208</v>
      </c>
      <c r="G145" s="2" t="s">
        <v>1150</v>
      </c>
      <c r="H145" s="2" t="s">
        <v>1151</v>
      </c>
      <c r="I145" s="2" t="s">
        <v>357</v>
      </c>
      <c r="J145" s="2" t="s">
        <v>58</v>
      </c>
      <c r="K145" s="2" t="s">
        <v>496</v>
      </c>
      <c r="L145" s="2" t="s">
        <v>1152</v>
      </c>
      <c r="M145" s="3">
        <v>44059</v>
      </c>
      <c r="N145" s="3">
        <v>44111</v>
      </c>
      <c r="O145" s="4">
        <v>51.304000000000002</v>
      </c>
      <c r="P145" s="2" t="s">
        <v>33</v>
      </c>
      <c r="Q145" s="2" t="s">
        <v>210</v>
      </c>
      <c r="R145" s="2" t="s">
        <v>364</v>
      </c>
      <c r="S145" s="2" t="s">
        <v>449</v>
      </c>
      <c r="T145" s="2" t="s">
        <v>72</v>
      </c>
      <c r="U145" s="2" t="s">
        <v>290</v>
      </c>
      <c r="V145" s="2" t="s">
        <v>65</v>
      </c>
      <c r="W145" s="2" t="s">
        <v>1153</v>
      </c>
      <c r="X145" s="2" t="s">
        <v>412</v>
      </c>
      <c r="Y145" s="2" t="s">
        <v>443</v>
      </c>
      <c r="Z145" s="2" t="s">
        <v>1154</v>
      </c>
      <c r="AA145" s="2" t="s">
        <v>39</v>
      </c>
      <c r="AB145" s="2" t="s">
        <v>414</v>
      </c>
    </row>
    <row r="146" spans="1:28" hidden="1" x14ac:dyDescent="0.2">
      <c r="A146" s="2" t="s">
        <v>431</v>
      </c>
      <c r="B146" s="3">
        <v>44058</v>
      </c>
      <c r="C146" s="2" t="s">
        <v>1155</v>
      </c>
      <c r="D146" s="2" t="s">
        <v>74</v>
      </c>
      <c r="E146" s="2" t="s">
        <v>141</v>
      </c>
      <c r="F146" s="2" t="s">
        <v>142</v>
      </c>
      <c r="G146" s="2" t="s">
        <v>1156</v>
      </c>
      <c r="H146" s="2" t="s">
        <v>1157</v>
      </c>
      <c r="I146" s="2" t="s">
        <v>143</v>
      </c>
      <c r="J146" s="2" t="s">
        <v>58</v>
      </c>
      <c r="K146" s="2" t="s">
        <v>496</v>
      </c>
      <c r="L146" s="2" t="s">
        <v>1158</v>
      </c>
      <c r="M146" s="3">
        <v>44059</v>
      </c>
      <c r="N146" s="3">
        <v>44108</v>
      </c>
      <c r="O146" s="4">
        <v>111.33499999999999</v>
      </c>
      <c r="P146" s="2" t="s">
        <v>33</v>
      </c>
      <c r="Q146" s="2" t="s">
        <v>145</v>
      </c>
      <c r="R146" s="2" t="s">
        <v>146</v>
      </c>
      <c r="S146" s="2" t="s">
        <v>415</v>
      </c>
      <c r="T146" s="2" t="s">
        <v>61</v>
      </c>
      <c r="U146" s="2" t="s">
        <v>290</v>
      </c>
      <c r="V146" s="2" t="s">
        <v>43</v>
      </c>
      <c r="W146" s="2" t="s">
        <v>1159</v>
      </c>
      <c r="X146" s="2" t="s">
        <v>412</v>
      </c>
      <c r="Y146" s="2" t="s">
        <v>434</v>
      </c>
      <c r="Z146" s="2" t="s">
        <v>412</v>
      </c>
      <c r="AA146" s="2" t="s">
        <v>39</v>
      </c>
      <c r="AB146" s="2" t="s">
        <v>414</v>
      </c>
    </row>
    <row r="147" spans="1:28" x14ac:dyDescent="0.2">
      <c r="A147" s="2" t="s">
        <v>427</v>
      </c>
      <c r="B147" s="3">
        <v>44058</v>
      </c>
      <c r="C147" s="2" t="s">
        <v>1164</v>
      </c>
      <c r="D147" s="2" t="s">
        <v>62</v>
      </c>
      <c r="E147" s="2" t="s">
        <v>217</v>
      </c>
      <c r="F147" s="2" t="s">
        <v>218</v>
      </c>
      <c r="G147" s="2" t="s">
        <v>1165</v>
      </c>
      <c r="H147" s="2" t="s">
        <v>1166</v>
      </c>
      <c r="I147" s="2" t="s">
        <v>77</v>
      </c>
      <c r="J147" s="2" t="s">
        <v>32</v>
      </c>
      <c r="K147" s="2" t="s">
        <v>494</v>
      </c>
      <c r="L147" s="2" t="s">
        <v>1152</v>
      </c>
      <c r="M147" s="3">
        <v>44059</v>
      </c>
      <c r="N147" s="3">
        <v>44085</v>
      </c>
      <c r="O147" s="4">
        <v>496.24099999999999</v>
      </c>
      <c r="P147" s="2" t="s">
        <v>48</v>
      </c>
      <c r="Q147" s="2" t="s">
        <v>34</v>
      </c>
      <c r="R147" s="2" t="s">
        <v>35</v>
      </c>
      <c r="S147" s="2" t="s">
        <v>428</v>
      </c>
      <c r="T147" s="2" t="s">
        <v>36</v>
      </c>
      <c r="U147" s="2" t="s">
        <v>37</v>
      </c>
      <c r="V147" s="2" t="s">
        <v>65</v>
      </c>
      <c r="W147" s="2" t="s">
        <v>1167</v>
      </c>
      <c r="X147" s="2" t="s">
        <v>412</v>
      </c>
      <c r="Y147" s="2" t="s">
        <v>429</v>
      </c>
      <c r="Z147" s="2" t="s">
        <v>412</v>
      </c>
      <c r="AA147" s="2" t="s">
        <v>39</v>
      </c>
      <c r="AB147" s="2" t="s">
        <v>414</v>
      </c>
    </row>
    <row r="148" spans="1:28" x14ac:dyDescent="0.2">
      <c r="A148" s="2" t="s">
        <v>427</v>
      </c>
      <c r="B148" s="3">
        <v>44073</v>
      </c>
      <c r="C148" s="2" t="s">
        <v>1164</v>
      </c>
      <c r="D148" s="2" t="s">
        <v>28</v>
      </c>
      <c r="E148" s="2" t="s">
        <v>98</v>
      </c>
      <c r="F148" s="2" t="s">
        <v>205</v>
      </c>
      <c r="G148" s="2" t="s">
        <v>1168</v>
      </c>
      <c r="H148" s="2" t="s">
        <v>1169</v>
      </c>
      <c r="I148" s="2" t="s">
        <v>77</v>
      </c>
      <c r="J148" s="2" t="s">
        <v>32</v>
      </c>
      <c r="K148" s="2" t="s">
        <v>494</v>
      </c>
      <c r="L148" s="2" t="s">
        <v>1152</v>
      </c>
      <c r="M148" s="3">
        <v>44059</v>
      </c>
      <c r="N148" s="3">
        <v>44085</v>
      </c>
      <c r="O148" s="4">
        <v>198.97300000000001</v>
      </c>
      <c r="P148" s="2" t="s">
        <v>48</v>
      </c>
      <c r="Q148" s="2" t="s">
        <v>34</v>
      </c>
      <c r="R148" s="2" t="s">
        <v>35</v>
      </c>
      <c r="S148" s="2" t="s">
        <v>420</v>
      </c>
      <c r="T148" s="2" t="s">
        <v>36</v>
      </c>
      <c r="U148" s="2" t="s">
        <v>37</v>
      </c>
      <c r="V148" s="2" t="s">
        <v>65</v>
      </c>
      <c r="W148" s="2" t="s">
        <v>1170</v>
      </c>
      <c r="X148" s="2" t="s">
        <v>412</v>
      </c>
      <c r="Y148" s="2" t="s">
        <v>421</v>
      </c>
      <c r="Z148" s="2" t="s">
        <v>412</v>
      </c>
      <c r="AA148" s="2" t="s">
        <v>39</v>
      </c>
      <c r="AB148" s="2" t="s">
        <v>414</v>
      </c>
    </row>
    <row r="149" spans="1:28" x14ac:dyDescent="0.2">
      <c r="A149" s="2" t="s">
        <v>427</v>
      </c>
      <c r="B149" s="3">
        <v>44063</v>
      </c>
      <c r="C149" s="2" t="s">
        <v>1179</v>
      </c>
      <c r="D149" s="2" t="s">
        <v>62</v>
      </c>
      <c r="E149" s="2" t="s">
        <v>217</v>
      </c>
      <c r="F149" s="2" t="s">
        <v>218</v>
      </c>
      <c r="G149" s="2" t="s">
        <v>1180</v>
      </c>
      <c r="H149" s="2" t="s">
        <v>1181</v>
      </c>
      <c r="I149" s="2" t="s">
        <v>77</v>
      </c>
      <c r="J149" s="2" t="s">
        <v>32</v>
      </c>
      <c r="K149" s="2" t="s">
        <v>522</v>
      </c>
      <c r="L149" s="2" t="s">
        <v>1182</v>
      </c>
      <c r="M149" s="3">
        <v>44060</v>
      </c>
      <c r="N149" s="3">
        <v>44089</v>
      </c>
      <c r="O149" s="4">
        <v>497.90600000000001</v>
      </c>
      <c r="P149" s="2" t="s">
        <v>48</v>
      </c>
      <c r="Q149" s="2" t="s">
        <v>34</v>
      </c>
      <c r="R149" s="2" t="s">
        <v>35</v>
      </c>
      <c r="S149" s="2" t="s">
        <v>428</v>
      </c>
      <c r="T149" s="2" t="s">
        <v>36</v>
      </c>
      <c r="U149" s="2" t="s">
        <v>37</v>
      </c>
      <c r="V149" s="2" t="s">
        <v>52</v>
      </c>
      <c r="W149" s="2" t="s">
        <v>1183</v>
      </c>
      <c r="X149" s="2" t="s">
        <v>412</v>
      </c>
      <c r="Y149" s="2" t="s">
        <v>429</v>
      </c>
      <c r="Z149" s="2" t="s">
        <v>412</v>
      </c>
      <c r="AA149" s="2" t="s">
        <v>39</v>
      </c>
      <c r="AB149" s="2" t="s">
        <v>414</v>
      </c>
    </row>
    <row r="150" spans="1:28" x14ac:dyDescent="0.2">
      <c r="A150" s="2" t="s">
        <v>427</v>
      </c>
      <c r="B150" s="3">
        <v>44058</v>
      </c>
      <c r="C150" s="2" t="s">
        <v>1179</v>
      </c>
      <c r="D150" s="2" t="s">
        <v>62</v>
      </c>
      <c r="E150" s="2" t="s">
        <v>217</v>
      </c>
      <c r="F150" s="2" t="s">
        <v>218</v>
      </c>
      <c r="G150" s="2" t="s">
        <v>1184</v>
      </c>
      <c r="H150" s="2" t="s">
        <v>1185</v>
      </c>
      <c r="I150" s="2" t="s">
        <v>77</v>
      </c>
      <c r="J150" s="2" t="s">
        <v>32</v>
      </c>
      <c r="K150" s="2" t="s">
        <v>522</v>
      </c>
      <c r="L150" s="2" t="s">
        <v>1182</v>
      </c>
      <c r="M150" s="3">
        <v>44060</v>
      </c>
      <c r="N150" s="3">
        <v>44089</v>
      </c>
      <c r="O150" s="4">
        <v>496.8</v>
      </c>
      <c r="P150" s="2" t="s">
        <v>48</v>
      </c>
      <c r="Q150" s="2" t="s">
        <v>34</v>
      </c>
      <c r="R150" s="2" t="s">
        <v>35</v>
      </c>
      <c r="S150" s="2" t="s">
        <v>428</v>
      </c>
      <c r="T150" s="2" t="s">
        <v>36</v>
      </c>
      <c r="U150" s="2" t="s">
        <v>1139</v>
      </c>
      <c r="V150" s="2" t="s">
        <v>52</v>
      </c>
      <c r="W150" s="2" t="s">
        <v>1186</v>
      </c>
      <c r="X150" s="2" t="s">
        <v>412</v>
      </c>
      <c r="Y150" s="2" t="s">
        <v>429</v>
      </c>
      <c r="Z150" s="2" t="s">
        <v>412</v>
      </c>
      <c r="AA150" s="2" t="s">
        <v>39</v>
      </c>
      <c r="AB150" s="2" t="s">
        <v>414</v>
      </c>
    </row>
    <row r="151" spans="1:28" hidden="1" x14ac:dyDescent="0.2">
      <c r="A151" s="2" t="s">
        <v>470</v>
      </c>
      <c r="B151" s="3">
        <v>44073</v>
      </c>
      <c r="C151" s="2" t="s">
        <v>1187</v>
      </c>
      <c r="D151" s="2" t="s">
        <v>28</v>
      </c>
      <c r="E151" s="2" t="s">
        <v>129</v>
      </c>
      <c r="F151" s="2" t="s">
        <v>371</v>
      </c>
      <c r="G151" s="2" t="s">
        <v>1188</v>
      </c>
      <c r="H151" s="2" t="s">
        <v>1189</v>
      </c>
      <c r="I151" s="2" t="s">
        <v>372</v>
      </c>
      <c r="J151" s="2" t="s">
        <v>223</v>
      </c>
      <c r="K151" s="2" t="s">
        <v>1190</v>
      </c>
      <c r="L151" s="2" t="s">
        <v>622</v>
      </c>
      <c r="M151" s="3">
        <v>44060</v>
      </c>
      <c r="N151" s="3">
        <v>44113</v>
      </c>
      <c r="O151" s="4">
        <v>412</v>
      </c>
      <c r="P151" s="2" t="s">
        <v>287</v>
      </c>
      <c r="Q151" s="2" t="s">
        <v>373</v>
      </c>
      <c r="R151" s="2" t="s">
        <v>374</v>
      </c>
      <c r="S151" s="2" t="s">
        <v>428</v>
      </c>
      <c r="T151" s="2" t="s">
        <v>87</v>
      </c>
      <c r="U151" s="2" t="s">
        <v>290</v>
      </c>
      <c r="V151" s="2" t="s">
        <v>65</v>
      </c>
      <c r="W151" s="2" t="s">
        <v>1191</v>
      </c>
      <c r="X151" s="2" t="s">
        <v>412</v>
      </c>
      <c r="Y151" s="2" t="s">
        <v>473</v>
      </c>
      <c r="Z151" s="2" t="s">
        <v>412</v>
      </c>
      <c r="AA151" s="2" t="s">
        <v>39</v>
      </c>
      <c r="AB151" s="2" t="s">
        <v>414</v>
      </c>
    </row>
    <row r="152" spans="1:28" hidden="1" x14ac:dyDescent="0.2">
      <c r="A152" s="2" t="s">
        <v>410</v>
      </c>
      <c r="B152" s="3">
        <v>44058</v>
      </c>
      <c r="C152" s="2" t="s">
        <v>1218</v>
      </c>
      <c r="D152" s="2" t="s">
        <v>91</v>
      </c>
      <c r="E152" s="2" t="s">
        <v>217</v>
      </c>
      <c r="F152" s="2" t="s">
        <v>218</v>
      </c>
      <c r="G152" s="2" t="s">
        <v>1219</v>
      </c>
      <c r="H152" s="2" t="s">
        <v>1220</v>
      </c>
      <c r="I152" s="2" t="s">
        <v>267</v>
      </c>
      <c r="J152" s="2" t="s">
        <v>47</v>
      </c>
      <c r="K152" s="2" t="s">
        <v>487</v>
      </c>
      <c r="L152" s="2" t="s">
        <v>764</v>
      </c>
      <c r="M152" s="3">
        <v>44061</v>
      </c>
      <c r="N152" s="3">
        <v>44092</v>
      </c>
      <c r="O152" s="4">
        <v>293.76</v>
      </c>
      <c r="P152" s="2" t="s">
        <v>84</v>
      </c>
      <c r="Q152" s="2" t="s">
        <v>34</v>
      </c>
      <c r="R152" s="2" t="s">
        <v>268</v>
      </c>
      <c r="S152" s="2" t="s">
        <v>417</v>
      </c>
      <c r="T152" s="2" t="s">
        <v>87</v>
      </c>
      <c r="U152" s="2" t="s">
        <v>290</v>
      </c>
      <c r="V152" s="2" t="s">
        <v>88</v>
      </c>
      <c r="W152" s="2" t="s">
        <v>1221</v>
      </c>
      <c r="X152" s="2" t="s">
        <v>412</v>
      </c>
      <c r="Y152" s="2" t="s">
        <v>418</v>
      </c>
      <c r="Z152" s="2" t="s">
        <v>412</v>
      </c>
      <c r="AA152" s="2" t="s">
        <v>39</v>
      </c>
      <c r="AB152" s="2" t="s">
        <v>414</v>
      </c>
    </row>
    <row r="153" spans="1:28" hidden="1" x14ac:dyDescent="0.2">
      <c r="A153" s="2" t="s">
        <v>410</v>
      </c>
      <c r="B153" s="3">
        <v>44055</v>
      </c>
      <c r="C153" s="2" t="s">
        <v>1218</v>
      </c>
      <c r="D153" s="2" t="s">
        <v>62</v>
      </c>
      <c r="E153" s="2" t="s">
        <v>375</v>
      </c>
      <c r="F153" s="2" t="s">
        <v>376</v>
      </c>
      <c r="G153" s="2" t="s">
        <v>1222</v>
      </c>
      <c r="H153" s="2" t="s">
        <v>1223</v>
      </c>
      <c r="I153" s="2" t="s">
        <v>94</v>
      </c>
      <c r="J153" s="2" t="s">
        <v>95</v>
      </c>
      <c r="K153" s="2" t="s">
        <v>487</v>
      </c>
      <c r="L153" s="2" t="s">
        <v>764</v>
      </c>
      <c r="M153" s="3">
        <v>44061</v>
      </c>
      <c r="N153" s="3">
        <v>44090</v>
      </c>
      <c r="O153" s="4">
        <v>168.72</v>
      </c>
      <c r="P153" s="2" t="s">
        <v>84</v>
      </c>
      <c r="Q153" s="2" t="s">
        <v>100</v>
      </c>
      <c r="R153" s="2" t="s">
        <v>101</v>
      </c>
      <c r="S153" s="2" t="s">
        <v>420</v>
      </c>
      <c r="T153" s="2" t="s">
        <v>87</v>
      </c>
      <c r="U153" s="2" t="s">
        <v>290</v>
      </c>
      <c r="V153" s="2" t="s">
        <v>88</v>
      </c>
      <c r="W153" s="2" t="s">
        <v>1224</v>
      </c>
      <c r="X153" s="2" t="s">
        <v>412</v>
      </c>
      <c r="Y153" s="2" t="s">
        <v>469</v>
      </c>
      <c r="Z153" s="2" t="s">
        <v>1225</v>
      </c>
      <c r="AA153" s="2" t="s">
        <v>39</v>
      </c>
      <c r="AB153" s="2" t="s">
        <v>414</v>
      </c>
    </row>
    <row r="154" spans="1:28" hidden="1" x14ac:dyDescent="0.2">
      <c r="A154" s="2" t="s">
        <v>410</v>
      </c>
      <c r="B154" s="3">
        <v>44048</v>
      </c>
      <c r="C154" s="2" t="s">
        <v>1218</v>
      </c>
      <c r="D154" s="2" t="s">
        <v>152</v>
      </c>
      <c r="E154" s="2" t="s">
        <v>200</v>
      </c>
      <c r="F154" s="2" t="s">
        <v>201</v>
      </c>
      <c r="G154" s="2" t="s">
        <v>1161</v>
      </c>
      <c r="H154" s="2" t="s">
        <v>1162</v>
      </c>
      <c r="I154" s="2" t="s">
        <v>202</v>
      </c>
      <c r="J154" s="2" t="s">
        <v>95</v>
      </c>
      <c r="K154" s="2" t="s">
        <v>487</v>
      </c>
      <c r="L154" s="2" t="s">
        <v>764</v>
      </c>
      <c r="M154" s="3">
        <v>44061</v>
      </c>
      <c r="N154" s="3">
        <v>44090</v>
      </c>
      <c r="O154" s="4">
        <v>263.10899999999998</v>
      </c>
      <c r="P154" s="2" t="s">
        <v>84</v>
      </c>
      <c r="Q154" s="2" t="s">
        <v>203</v>
      </c>
      <c r="R154" s="2" t="s">
        <v>204</v>
      </c>
      <c r="S154" s="2" t="s">
        <v>456</v>
      </c>
      <c r="T154" s="2" t="s">
        <v>87</v>
      </c>
      <c r="U154" s="2" t="s">
        <v>290</v>
      </c>
      <c r="V154" s="2" t="s">
        <v>88</v>
      </c>
      <c r="W154" s="2" t="s">
        <v>1806</v>
      </c>
      <c r="X154" s="2" t="s">
        <v>412</v>
      </c>
      <c r="Y154" s="2" t="s">
        <v>510</v>
      </c>
      <c r="Z154" s="2" t="s">
        <v>412</v>
      </c>
      <c r="AA154" s="2" t="s">
        <v>39</v>
      </c>
      <c r="AB154" s="2" t="s">
        <v>414</v>
      </c>
    </row>
    <row r="155" spans="1:28" hidden="1" x14ac:dyDescent="0.2">
      <c r="A155" s="2" t="s">
        <v>410</v>
      </c>
      <c r="B155" s="3">
        <v>44073</v>
      </c>
      <c r="C155" s="2" t="s">
        <v>1218</v>
      </c>
      <c r="D155" s="2" t="s">
        <v>28</v>
      </c>
      <c r="E155" s="2" t="s">
        <v>98</v>
      </c>
      <c r="F155" s="2" t="s">
        <v>205</v>
      </c>
      <c r="G155" s="2" t="s">
        <v>1172</v>
      </c>
      <c r="H155" s="2" t="s">
        <v>1173</v>
      </c>
      <c r="I155" s="2" t="s">
        <v>99</v>
      </c>
      <c r="J155" s="2" t="s">
        <v>32</v>
      </c>
      <c r="K155" s="2" t="s">
        <v>487</v>
      </c>
      <c r="L155" s="2" t="s">
        <v>764</v>
      </c>
      <c r="M155" s="3">
        <v>44061</v>
      </c>
      <c r="N155" s="3">
        <v>44092</v>
      </c>
      <c r="O155" s="4">
        <v>296.71199999999999</v>
      </c>
      <c r="P155" s="2" t="s">
        <v>84</v>
      </c>
      <c r="Q155" s="2" t="s">
        <v>34</v>
      </c>
      <c r="R155" s="2" t="s">
        <v>35</v>
      </c>
      <c r="S155" s="2" t="s">
        <v>411</v>
      </c>
      <c r="T155" s="2" t="s">
        <v>87</v>
      </c>
      <c r="U155" s="2" t="s">
        <v>290</v>
      </c>
      <c r="V155" s="2" t="s">
        <v>88</v>
      </c>
      <c r="W155" s="2" t="s">
        <v>1845</v>
      </c>
      <c r="X155" s="2" t="s">
        <v>412</v>
      </c>
      <c r="Y155" s="2" t="s">
        <v>413</v>
      </c>
      <c r="Z155" s="2" t="s">
        <v>412</v>
      </c>
      <c r="AA155" s="2" t="s">
        <v>39</v>
      </c>
      <c r="AB155" s="2" t="s">
        <v>414</v>
      </c>
    </row>
    <row r="156" spans="1:28" hidden="1" x14ac:dyDescent="0.2">
      <c r="A156" s="2" t="s">
        <v>410</v>
      </c>
      <c r="B156" s="3">
        <v>44058</v>
      </c>
      <c r="C156" s="2" t="s">
        <v>1218</v>
      </c>
      <c r="D156" s="2" t="s">
        <v>28</v>
      </c>
      <c r="E156" s="2" t="s">
        <v>80</v>
      </c>
      <c r="F156" s="2" t="s">
        <v>81</v>
      </c>
      <c r="G156" s="2" t="s">
        <v>1226</v>
      </c>
      <c r="H156" s="2" t="s">
        <v>1227</v>
      </c>
      <c r="I156" s="2" t="s">
        <v>82</v>
      </c>
      <c r="J156" s="2" t="s">
        <v>83</v>
      </c>
      <c r="K156" s="2" t="s">
        <v>487</v>
      </c>
      <c r="L156" s="2" t="s">
        <v>764</v>
      </c>
      <c r="M156" s="3">
        <v>44061</v>
      </c>
      <c r="N156" s="3">
        <v>44105</v>
      </c>
      <c r="O156" s="4">
        <v>293.56799999999998</v>
      </c>
      <c r="P156" s="2" t="s">
        <v>84</v>
      </c>
      <c r="Q156" s="2" t="s">
        <v>85</v>
      </c>
      <c r="R156" s="2" t="s">
        <v>86</v>
      </c>
      <c r="S156" s="2" t="s">
        <v>425</v>
      </c>
      <c r="T156" s="2" t="s">
        <v>87</v>
      </c>
      <c r="U156" s="2" t="s">
        <v>290</v>
      </c>
      <c r="V156" s="2" t="s">
        <v>88</v>
      </c>
      <c r="W156" s="2" t="s">
        <v>1228</v>
      </c>
      <c r="X156" s="2" t="s">
        <v>412</v>
      </c>
      <c r="Y156" s="2" t="s">
        <v>463</v>
      </c>
      <c r="Z156" s="2" t="s">
        <v>412</v>
      </c>
      <c r="AA156" s="2" t="s">
        <v>39</v>
      </c>
      <c r="AB156" s="2" t="s">
        <v>414</v>
      </c>
    </row>
    <row r="157" spans="1:28" hidden="1" x14ac:dyDescent="0.2">
      <c r="A157" s="2" t="s">
        <v>410</v>
      </c>
      <c r="B157" s="3">
        <v>44073</v>
      </c>
      <c r="C157" s="2" t="s">
        <v>1218</v>
      </c>
      <c r="D157" s="2" t="s">
        <v>28</v>
      </c>
      <c r="E157" s="2" t="s">
        <v>98</v>
      </c>
      <c r="F157" s="2" t="s">
        <v>205</v>
      </c>
      <c r="G157" s="2" t="s">
        <v>1229</v>
      </c>
      <c r="H157" s="2" t="s">
        <v>1230</v>
      </c>
      <c r="I157" s="2" t="s">
        <v>89</v>
      </c>
      <c r="J157" s="2" t="s">
        <v>90</v>
      </c>
      <c r="K157" s="2" t="s">
        <v>487</v>
      </c>
      <c r="L157" s="2" t="s">
        <v>764</v>
      </c>
      <c r="M157" s="3">
        <v>44061</v>
      </c>
      <c r="N157" s="3">
        <v>44099</v>
      </c>
      <c r="O157" s="4">
        <v>498.4</v>
      </c>
      <c r="P157" s="2" t="s">
        <v>84</v>
      </c>
      <c r="Q157" s="2" t="s">
        <v>1231</v>
      </c>
      <c r="R157" s="2" t="s">
        <v>1232</v>
      </c>
      <c r="S157" s="2" t="s">
        <v>428</v>
      </c>
      <c r="T157" s="2" t="s">
        <v>87</v>
      </c>
      <c r="U157" s="2" t="s">
        <v>290</v>
      </c>
      <c r="V157" s="2" t="s">
        <v>88</v>
      </c>
      <c r="W157" s="2" t="s">
        <v>1233</v>
      </c>
      <c r="X157" s="2" t="s">
        <v>412</v>
      </c>
      <c r="Y157" s="2" t="s">
        <v>460</v>
      </c>
      <c r="Z157" s="2" t="s">
        <v>412</v>
      </c>
      <c r="AA157" s="2" t="s">
        <v>39</v>
      </c>
      <c r="AB157" s="2" t="s">
        <v>414</v>
      </c>
    </row>
    <row r="158" spans="1:28" hidden="1" x14ac:dyDescent="0.2">
      <c r="A158" s="2" t="s">
        <v>410</v>
      </c>
      <c r="B158" s="3">
        <v>44073</v>
      </c>
      <c r="C158" s="2" t="s">
        <v>1218</v>
      </c>
      <c r="D158" s="2" t="s">
        <v>91</v>
      </c>
      <c r="E158" s="2" t="s">
        <v>107</v>
      </c>
      <c r="F158" s="2" t="s">
        <v>505</v>
      </c>
      <c r="G158" s="2" t="s">
        <v>1234</v>
      </c>
      <c r="H158" s="2" t="s">
        <v>1235</v>
      </c>
      <c r="I158" s="2" t="s">
        <v>31</v>
      </c>
      <c r="J158" s="2" t="s">
        <v>32</v>
      </c>
      <c r="K158" s="2" t="s">
        <v>487</v>
      </c>
      <c r="L158" s="2" t="s">
        <v>764</v>
      </c>
      <c r="M158" s="3">
        <v>44061</v>
      </c>
      <c r="N158" s="3">
        <v>44078</v>
      </c>
      <c r="O158" s="4">
        <v>90.16</v>
      </c>
      <c r="P158" s="2" t="s">
        <v>84</v>
      </c>
      <c r="Q158" s="2" t="s">
        <v>105</v>
      </c>
      <c r="R158" s="2" t="s">
        <v>106</v>
      </c>
      <c r="S158" s="2" t="s">
        <v>419</v>
      </c>
      <c r="T158" s="2" t="s">
        <v>87</v>
      </c>
      <c r="U158" s="2" t="s">
        <v>290</v>
      </c>
      <c r="V158" s="2" t="s">
        <v>88</v>
      </c>
      <c r="W158" s="2" t="s">
        <v>1236</v>
      </c>
      <c r="X158" s="2" t="s">
        <v>412</v>
      </c>
      <c r="Y158" s="2" t="s">
        <v>506</v>
      </c>
      <c r="Z158" s="2" t="s">
        <v>412</v>
      </c>
      <c r="AA158" s="2" t="s">
        <v>109</v>
      </c>
      <c r="AB158" s="2" t="s">
        <v>414</v>
      </c>
    </row>
    <row r="159" spans="1:28" hidden="1" x14ac:dyDescent="0.2">
      <c r="A159" s="2" t="s">
        <v>410</v>
      </c>
      <c r="B159" s="3">
        <v>44063</v>
      </c>
      <c r="C159" s="2" t="s">
        <v>1218</v>
      </c>
      <c r="D159" s="2" t="s">
        <v>91</v>
      </c>
      <c r="E159" s="2" t="s">
        <v>138</v>
      </c>
      <c r="F159" s="2" t="s">
        <v>265</v>
      </c>
      <c r="G159" s="2" t="s">
        <v>1245</v>
      </c>
      <c r="H159" s="2" t="s">
        <v>1246</v>
      </c>
      <c r="I159" s="2" t="s">
        <v>383</v>
      </c>
      <c r="J159" s="2" t="s">
        <v>83</v>
      </c>
      <c r="K159" s="2" t="s">
        <v>487</v>
      </c>
      <c r="L159" s="2" t="s">
        <v>764</v>
      </c>
      <c r="M159" s="3">
        <v>44061</v>
      </c>
      <c r="N159" s="3">
        <v>44092</v>
      </c>
      <c r="O159" s="4">
        <v>441.14</v>
      </c>
      <c r="P159" s="2" t="s">
        <v>84</v>
      </c>
      <c r="Q159" s="2" t="s">
        <v>34</v>
      </c>
      <c r="R159" s="2" t="s">
        <v>384</v>
      </c>
      <c r="S159" s="2" t="s">
        <v>532</v>
      </c>
      <c r="T159" s="2" t="s">
        <v>87</v>
      </c>
      <c r="U159" s="2" t="s">
        <v>290</v>
      </c>
      <c r="V159" s="2" t="s">
        <v>88</v>
      </c>
      <c r="W159" s="2" t="s">
        <v>1247</v>
      </c>
      <c r="X159" s="2" t="s">
        <v>412</v>
      </c>
      <c r="Y159" s="2" t="s">
        <v>597</v>
      </c>
      <c r="Z159" s="2" t="s">
        <v>412</v>
      </c>
      <c r="AA159" s="2" t="s">
        <v>39</v>
      </c>
      <c r="AB159" s="2" t="s">
        <v>414</v>
      </c>
    </row>
    <row r="160" spans="1:28" hidden="1" x14ac:dyDescent="0.2">
      <c r="A160" s="2" t="s">
        <v>410</v>
      </c>
      <c r="B160" s="3">
        <v>44048</v>
      </c>
      <c r="C160" s="2" t="s">
        <v>1218</v>
      </c>
      <c r="D160" s="2" t="s">
        <v>152</v>
      </c>
      <c r="E160" s="2" t="s">
        <v>138</v>
      </c>
      <c r="F160" s="2" t="s">
        <v>265</v>
      </c>
      <c r="G160" s="2" t="s">
        <v>1248</v>
      </c>
      <c r="H160" s="2" t="s">
        <v>1249</v>
      </c>
      <c r="I160" s="2" t="s">
        <v>598</v>
      </c>
      <c r="J160" s="2" t="s">
        <v>47</v>
      </c>
      <c r="K160" s="2" t="s">
        <v>487</v>
      </c>
      <c r="L160" s="2" t="s">
        <v>764</v>
      </c>
      <c r="M160" s="3">
        <v>44061</v>
      </c>
      <c r="N160" s="3">
        <v>44092</v>
      </c>
      <c r="O160" s="4">
        <v>291.48</v>
      </c>
      <c r="P160" s="2" t="s">
        <v>84</v>
      </c>
      <c r="Q160" s="2" t="s">
        <v>34</v>
      </c>
      <c r="R160" s="2" t="s">
        <v>266</v>
      </c>
      <c r="S160" s="2" t="s">
        <v>459</v>
      </c>
      <c r="T160" s="2" t="s">
        <v>87</v>
      </c>
      <c r="U160" s="2" t="s">
        <v>290</v>
      </c>
      <c r="V160" s="2" t="s">
        <v>88</v>
      </c>
      <c r="W160" s="2" t="s">
        <v>1250</v>
      </c>
      <c r="X160" s="2" t="s">
        <v>412</v>
      </c>
      <c r="Y160" s="2" t="s">
        <v>482</v>
      </c>
      <c r="Z160" s="2" t="s">
        <v>856</v>
      </c>
      <c r="AA160" s="2" t="s">
        <v>39</v>
      </c>
      <c r="AB160" s="2" t="s">
        <v>414</v>
      </c>
    </row>
    <row r="161" spans="1:28" hidden="1" x14ac:dyDescent="0.2">
      <c r="A161" s="2" t="s">
        <v>410</v>
      </c>
      <c r="B161" s="3">
        <v>44048</v>
      </c>
      <c r="C161" s="2" t="s">
        <v>1218</v>
      </c>
      <c r="D161" s="2" t="s">
        <v>152</v>
      </c>
      <c r="E161" s="2" t="s">
        <v>138</v>
      </c>
      <c r="F161" s="2" t="s">
        <v>265</v>
      </c>
      <c r="G161" s="2" t="s">
        <v>1251</v>
      </c>
      <c r="H161" s="2" t="s">
        <v>1252</v>
      </c>
      <c r="I161" s="2" t="s">
        <v>1253</v>
      </c>
      <c r="J161" s="2" t="s">
        <v>47</v>
      </c>
      <c r="K161" s="2" t="s">
        <v>487</v>
      </c>
      <c r="L161" s="2" t="s">
        <v>764</v>
      </c>
      <c r="M161" s="3">
        <v>44061</v>
      </c>
      <c r="N161" s="3">
        <v>44092</v>
      </c>
      <c r="O161" s="4">
        <v>387.29599999999999</v>
      </c>
      <c r="P161" s="2" t="s">
        <v>84</v>
      </c>
      <c r="Q161" s="2" t="s">
        <v>34</v>
      </c>
      <c r="R161" s="2" t="s">
        <v>266</v>
      </c>
      <c r="S161" s="2" t="s">
        <v>459</v>
      </c>
      <c r="T161" s="2" t="s">
        <v>87</v>
      </c>
      <c r="U161" s="2" t="s">
        <v>290</v>
      </c>
      <c r="V161" s="2" t="s">
        <v>88</v>
      </c>
      <c r="W161" s="2" t="s">
        <v>1254</v>
      </c>
      <c r="X161" s="2" t="s">
        <v>412</v>
      </c>
      <c r="Y161" s="2" t="s">
        <v>482</v>
      </c>
      <c r="Z161" s="2" t="s">
        <v>856</v>
      </c>
      <c r="AA161" s="2" t="s">
        <v>39</v>
      </c>
      <c r="AB161" s="2" t="s">
        <v>414</v>
      </c>
    </row>
    <row r="162" spans="1:28" hidden="1" x14ac:dyDescent="0.2">
      <c r="A162" s="2" t="s">
        <v>410</v>
      </c>
      <c r="B162" s="3">
        <v>44048</v>
      </c>
      <c r="C162" s="2" t="s">
        <v>1218</v>
      </c>
      <c r="D162" s="2" t="s">
        <v>152</v>
      </c>
      <c r="E162" s="2" t="s">
        <v>138</v>
      </c>
      <c r="F162" s="2" t="s">
        <v>265</v>
      </c>
      <c r="G162" s="2" t="s">
        <v>1255</v>
      </c>
      <c r="H162" s="2" t="s">
        <v>1256</v>
      </c>
      <c r="I162" s="2" t="s">
        <v>1257</v>
      </c>
      <c r="J162" s="2" t="s">
        <v>47</v>
      </c>
      <c r="K162" s="2" t="s">
        <v>487</v>
      </c>
      <c r="L162" s="2" t="s">
        <v>764</v>
      </c>
      <c r="M162" s="3">
        <v>44061</v>
      </c>
      <c r="N162" s="3">
        <v>44092</v>
      </c>
      <c r="O162" s="4">
        <v>260</v>
      </c>
      <c r="P162" s="2" t="s">
        <v>84</v>
      </c>
      <c r="Q162" s="2" t="s">
        <v>34</v>
      </c>
      <c r="R162" s="2" t="s">
        <v>266</v>
      </c>
      <c r="S162" s="2" t="s">
        <v>411</v>
      </c>
      <c r="T162" s="2" t="s">
        <v>87</v>
      </c>
      <c r="U162" s="2" t="s">
        <v>290</v>
      </c>
      <c r="V162" s="2" t="s">
        <v>88</v>
      </c>
      <c r="W162" s="2" t="s">
        <v>1258</v>
      </c>
      <c r="X162" s="2" t="s">
        <v>412</v>
      </c>
      <c r="Y162" s="2" t="s">
        <v>432</v>
      </c>
      <c r="Z162" s="2" t="s">
        <v>856</v>
      </c>
      <c r="AA162" s="2" t="s">
        <v>39</v>
      </c>
      <c r="AB162" s="2" t="s">
        <v>414</v>
      </c>
    </row>
    <row r="163" spans="1:28" hidden="1" x14ac:dyDescent="0.2">
      <c r="A163" s="2" t="s">
        <v>410</v>
      </c>
      <c r="B163" s="3">
        <v>44048</v>
      </c>
      <c r="C163" s="2" t="s">
        <v>1218</v>
      </c>
      <c r="D163" s="2" t="s">
        <v>152</v>
      </c>
      <c r="E163" s="2" t="s">
        <v>138</v>
      </c>
      <c r="F163" s="2" t="s">
        <v>265</v>
      </c>
      <c r="G163" s="2" t="s">
        <v>1259</v>
      </c>
      <c r="H163" s="2" t="s">
        <v>1260</v>
      </c>
      <c r="I163" s="2" t="s">
        <v>1261</v>
      </c>
      <c r="J163" s="2" t="s">
        <v>47</v>
      </c>
      <c r="K163" s="2" t="s">
        <v>487</v>
      </c>
      <c r="L163" s="2" t="s">
        <v>764</v>
      </c>
      <c r="M163" s="3">
        <v>44061</v>
      </c>
      <c r="N163" s="3">
        <v>44092</v>
      </c>
      <c r="O163" s="4">
        <v>281.30399999999997</v>
      </c>
      <c r="P163" s="2" t="s">
        <v>84</v>
      </c>
      <c r="Q163" s="2" t="s">
        <v>34</v>
      </c>
      <c r="R163" s="2" t="s">
        <v>266</v>
      </c>
      <c r="S163" s="2" t="s">
        <v>425</v>
      </c>
      <c r="T163" s="2" t="s">
        <v>87</v>
      </c>
      <c r="U163" s="2" t="s">
        <v>290</v>
      </c>
      <c r="V163" s="2" t="s">
        <v>88</v>
      </c>
      <c r="W163" s="2" t="s">
        <v>1262</v>
      </c>
      <c r="X163" s="2" t="s">
        <v>412</v>
      </c>
      <c r="Y163" s="2" t="s">
        <v>455</v>
      </c>
      <c r="Z163" s="2" t="s">
        <v>856</v>
      </c>
      <c r="AA163" s="2" t="s">
        <v>39</v>
      </c>
      <c r="AB163" s="2" t="s">
        <v>414</v>
      </c>
    </row>
    <row r="164" spans="1:28" hidden="1" x14ac:dyDescent="0.2">
      <c r="A164" s="2" t="s">
        <v>410</v>
      </c>
      <c r="B164" s="3">
        <v>44042</v>
      </c>
      <c r="C164" s="2" t="s">
        <v>1218</v>
      </c>
      <c r="D164" s="2" t="s">
        <v>91</v>
      </c>
      <c r="E164" s="2" t="s">
        <v>217</v>
      </c>
      <c r="F164" s="2" t="s">
        <v>218</v>
      </c>
      <c r="G164" s="2" t="s">
        <v>1263</v>
      </c>
      <c r="H164" s="2" t="s">
        <v>1264</v>
      </c>
      <c r="I164" s="2" t="s">
        <v>540</v>
      </c>
      <c r="J164" s="2" t="s">
        <v>47</v>
      </c>
      <c r="K164" s="2" t="s">
        <v>487</v>
      </c>
      <c r="L164" s="2" t="s">
        <v>764</v>
      </c>
      <c r="M164" s="3">
        <v>44061</v>
      </c>
      <c r="N164" s="3">
        <v>44092</v>
      </c>
      <c r="O164" s="4">
        <v>23.712</v>
      </c>
      <c r="P164" s="2" t="s">
        <v>84</v>
      </c>
      <c r="Q164" s="2" t="s">
        <v>34</v>
      </c>
      <c r="R164" s="2" t="s">
        <v>35</v>
      </c>
      <c r="S164" s="2" t="s">
        <v>450</v>
      </c>
      <c r="T164" s="2" t="s">
        <v>87</v>
      </c>
      <c r="U164" s="2" t="s">
        <v>290</v>
      </c>
      <c r="V164" s="2" t="s">
        <v>88</v>
      </c>
      <c r="W164" s="2" t="s">
        <v>765</v>
      </c>
      <c r="X164" s="2" t="s">
        <v>412</v>
      </c>
      <c r="Y164" s="2" t="s">
        <v>449</v>
      </c>
      <c r="Z164" s="2" t="s">
        <v>412</v>
      </c>
      <c r="AA164" s="2" t="s">
        <v>39</v>
      </c>
      <c r="AB164" s="2" t="s">
        <v>414</v>
      </c>
    </row>
    <row r="165" spans="1:28" hidden="1" x14ac:dyDescent="0.2">
      <c r="A165" s="2" t="s">
        <v>410</v>
      </c>
      <c r="B165" s="3">
        <v>44058</v>
      </c>
      <c r="C165" s="2" t="s">
        <v>1218</v>
      </c>
      <c r="D165" s="2" t="s">
        <v>152</v>
      </c>
      <c r="E165" s="2" t="s">
        <v>200</v>
      </c>
      <c r="F165" s="2" t="s">
        <v>201</v>
      </c>
      <c r="G165" s="2" t="s">
        <v>1808</v>
      </c>
      <c r="H165" s="2" t="s">
        <v>1809</v>
      </c>
      <c r="I165" s="2" t="s">
        <v>202</v>
      </c>
      <c r="J165" s="2" t="s">
        <v>95</v>
      </c>
      <c r="K165" s="2" t="s">
        <v>487</v>
      </c>
      <c r="L165" s="2" t="s">
        <v>764</v>
      </c>
      <c r="M165" s="3">
        <v>44061</v>
      </c>
      <c r="N165" s="3">
        <v>44090</v>
      </c>
      <c r="O165" s="4">
        <v>143.51400000000001</v>
      </c>
      <c r="P165" s="2" t="s">
        <v>84</v>
      </c>
      <c r="Q165" s="2" t="s">
        <v>203</v>
      </c>
      <c r="R165" s="2" t="s">
        <v>204</v>
      </c>
      <c r="S165" s="2" t="s">
        <v>465</v>
      </c>
      <c r="T165" s="2" t="s">
        <v>87</v>
      </c>
      <c r="U165" s="2" t="s">
        <v>290</v>
      </c>
      <c r="V165" s="2" t="s">
        <v>88</v>
      </c>
      <c r="W165" s="2" t="s">
        <v>1810</v>
      </c>
      <c r="X165" s="2" t="s">
        <v>412</v>
      </c>
      <c r="Y165" s="2" t="s">
        <v>1846</v>
      </c>
      <c r="Z165" s="2" t="s">
        <v>412</v>
      </c>
      <c r="AA165" s="2" t="s">
        <v>39</v>
      </c>
      <c r="AB165" s="2" t="s">
        <v>414</v>
      </c>
    </row>
    <row r="166" spans="1:28" hidden="1" x14ac:dyDescent="0.2">
      <c r="A166" s="2" t="s">
        <v>431</v>
      </c>
      <c r="B166" s="3">
        <v>44058</v>
      </c>
      <c r="C166" s="2" t="s">
        <v>1192</v>
      </c>
      <c r="D166" s="2" t="s">
        <v>62</v>
      </c>
      <c r="E166" s="2" t="s">
        <v>217</v>
      </c>
      <c r="F166" s="2" t="s">
        <v>218</v>
      </c>
      <c r="G166" s="2" t="s">
        <v>1193</v>
      </c>
      <c r="H166" s="2" t="s">
        <v>1194</v>
      </c>
      <c r="I166" s="2" t="s">
        <v>31</v>
      </c>
      <c r="J166" s="2" t="s">
        <v>32</v>
      </c>
      <c r="K166" s="2" t="s">
        <v>500</v>
      </c>
      <c r="L166" s="2" t="s">
        <v>1081</v>
      </c>
      <c r="M166" s="3">
        <v>44066</v>
      </c>
      <c r="N166" s="3">
        <v>44074</v>
      </c>
      <c r="O166" s="4">
        <v>512.06399999999996</v>
      </c>
      <c r="P166" s="2" t="s">
        <v>33</v>
      </c>
      <c r="Q166" s="2" t="s">
        <v>34</v>
      </c>
      <c r="R166" s="2" t="s">
        <v>35</v>
      </c>
      <c r="S166" s="2" t="s">
        <v>435</v>
      </c>
      <c r="T166" s="2" t="s">
        <v>36</v>
      </c>
      <c r="U166" s="2" t="s">
        <v>290</v>
      </c>
      <c r="V166" s="2" t="s">
        <v>43</v>
      </c>
      <c r="W166" s="2" t="s">
        <v>1195</v>
      </c>
      <c r="X166" s="2" t="s">
        <v>412</v>
      </c>
      <c r="Y166" s="2" t="s">
        <v>436</v>
      </c>
      <c r="Z166" s="2" t="s">
        <v>412</v>
      </c>
      <c r="AA166" s="2" t="s">
        <v>39</v>
      </c>
      <c r="AB166" s="2" t="s">
        <v>414</v>
      </c>
    </row>
    <row r="167" spans="1:28" x14ac:dyDescent="0.2">
      <c r="A167" s="2" t="s">
        <v>427</v>
      </c>
      <c r="B167" s="3">
        <v>44048</v>
      </c>
      <c r="C167" s="2" t="s">
        <v>1119</v>
      </c>
      <c r="D167" s="2" t="s">
        <v>91</v>
      </c>
      <c r="E167" s="2" t="s">
        <v>242</v>
      </c>
      <c r="F167" s="2" t="s">
        <v>243</v>
      </c>
      <c r="G167" s="2" t="s">
        <v>1120</v>
      </c>
      <c r="H167" s="2" t="s">
        <v>1121</v>
      </c>
      <c r="I167" s="2" t="s">
        <v>244</v>
      </c>
      <c r="J167" s="2" t="s">
        <v>47</v>
      </c>
      <c r="K167" s="2" t="s">
        <v>503</v>
      </c>
      <c r="L167" s="2" t="s">
        <v>1116</v>
      </c>
      <c r="M167" s="3">
        <v>44061</v>
      </c>
      <c r="N167" s="3">
        <v>44080</v>
      </c>
      <c r="O167" s="4">
        <v>94.724999999999994</v>
      </c>
      <c r="P167" s="2" t="s">
        <v>48</v>
      </c>
      <c r="Q167" s="2" t="s">
        <v>100</v>
      </c>
      <c r="R167" s="2" t="s">
        <v>101</v>
      </c>
      <c r="S167" s="2" t="s">
        <v>415</v>
      </c>
      <c r="T167" s="2" t="s">
        <v>140</v>
      </c>
      <c r="U167" s="2" t="s">
        <v>37</v>
      </c>
      <c r="V167" s="2" t="s">
        <v>155</v>
      </c>
      <c r="W167" s="2" t="s">
        <v>1122</v>
      </c>
      <c r="X167" s="2" t="s">
        <v>412</v>
      </c>
      <c r="Y167" s="2" t="s">
        <v>416</v>
      </c>
      <c r="Z167" s="2" t="s">
        <v>53</v>
      </c>
      <c r="AA167" s="2" t="s">
        <v>39</v>
      </c>
      <c r="AB167" s="2" t="s">
        <v>414</v>
      </c>
    </row>
    <row r="168" spans="1:28" x14ac:dyDescent="0.2">
      <c r="A168" s="2" t="s">
        <v>427</v>
      </c>
      <c r="B168" s="3">
        <v>44048</v>
      </c>
      <c r="C168" s="2" t="s">
        <v>1119</v>
      </c>
      <c r="D168" s="2" t="s">
        <v>91</v>
      </c>
      <c r="E168" s="2" t="s">
        <v>242</v>
      </c>
      <c r="F168" s="2" t="s">
        <v>243</v>
      </c>
      <c r="G168" s="2" t="s">
        <v>1123</v>
      </c>
      <c r="H168" s="2" t="s">
        <v>1124</v>
      </c>
      <c r="I168" s="2" t="s">
        <v>246</v>
      </c>
      <c r="J168" s="2" t="s">
        <v>47</v>
      </c>
      <c r="K168" s="2" t="s">
        <v>503</v>
      </c>
      <c r="L168" s="2" t="s">
        <v>1116</v>
      </c>
      <c r="M168" s="3">
        <v>44061</v>
      </c>
      <c r="N168" s="3">
        <v>44080</v>
      </c>
      <c r="O168" s="4">
        <v>151.745</v>
      </c>
      <c r="P168" s="2" t="s">
        <v>48</v>
      </c>
      <c r="Q168" s="2" t="s">
        <v>100</v>
      </c>
      <c r="R168" s="2" t="s">
        <v>101</v>
      </c>
      <c r="S168" s="2" t="s">
        <v>420</v>
      </c>
      <c r="T168" s="2" t="s">
        <v>140</v>
      </c>
      <c r="U168" s="2" t="s">
        <v>37</v>
      </c>
      <c r="V168" s="2" t="s">
        <v>155</v>
      </c>
      <c r="W168" s="2" t="s">
        <v>1125</v>
      </c>
      <c r="X168" s="2" t="s">
        <v>412</v>
      </c>
      <c r="Y168" s="2" t="s">
        <v>451</v>
      </c>
      <c r="Z168" s="2" t="s">
        <v>53</v>
      </c>
      <c r="AA168" s="2" t="s">
        <v>39</v>
      </c>
      <c r="AB168" s="2" t="s">
        <v>414</v>
      </c>
    </row>
    <row r="169" spans="1:28" x14ac:dyDescent="0.2">
      <c r="A169" s="2" t="s">
        <v>427</v>
      </c>
      <c r="B169" s="3">
        <v>44063</v>
      </c>
      <c r="C169" s="2" t="s">
        <v>1119</v>
      </c>
      <c r="D169" s="2" t="s">
        <v>91</v>
      </c>
      <c r="E169" s="2" t="s">
        <v>553</v>
      </c>
      <c r="F169" s="2" t="s">
        <v>554</v>
      </c>
      <c r="G169" s="2" t="s">
        <v>1126</v>
      </c>
      <c r="H169" s="2" t="s">
        <v>1127</v>
      </c>
      <c r="I169" s="2" t="s">
        <v>77</v>
      </c>
      <c r="J169" s="2" t="s">
        <v>32</v>
      </c>
      <c r="K169" s="2" t="s">
        <v>503</v>
      </c>
      <c r="L169" s="2" t="s">
        <v>1116</v>
      </c>
      <c r="M169" s="3">
        <v>44061</v>
      </c>
      <c r="N169" s="3">
        <v>44080</v>
      </c>
      <c r="O169" s="4">
        <v>298.822</v>
      </c>
      <c r="P169" s="2" t="s">
        <v>48</v>
      </c>
      <c r="Q169" s="2" t="s">
        <v>100</v>
      </c>
      <c r="R169" s="2" t="s">
        <v>101</v>
      </c>
      <c r="S169" s="2" t="s">
        <v>425</v>
      </c>
      <c r="T169" s="2" t="s">
        <v>36</v>
      </c>
      <c r="U169" s="2" t="s">
        <v>37</v>
      </c>
      <c r="V169" s="2" t="s">
        <v>155</v>
      </c>
      <c r="W169" s="2" t="s">
        <v>1128</v>
      </c>
      <c r="X169" s="2" t="s">
        <v>412</v>
      </c>
      <c r="Y169" s="2" t="s">
        <v>426</v>
      </c>
      <c r="Z169" s="2" t="s">
        <v>412</v>
      </c>
      <c r="AA169" s="2" t="s">
        <v>39</v>
      </c>
      <c r="AB169" s="2" t="s">
        <v>414</v>
      </c>
    </row>
    <row r="170" spans="1:28" x14ac:dyDescent="0.2">
      <c r="A170" s="2" t="s">
        <v>427</v>
      </c>
      <c r="B170" s="3">
        <v>44055</v>
      </c>
      <c r="C170" s="2" t="s">
        <v>1201</v>
      </c>
      <c r="D170" s="2" t="s">
        <v>62</v>
      </c>
      <c r="E170" s="2" t="s">
        <v>167</v>
      </c>
      <c r="F170" s="2" t="s">
        <v>168</v>
      </c>
      <c r="G170" s="2" t="s">
        <v>1202</v>
      </c>
      <c r="H170" s="2" t="s">
        <v>1203</v>
      </c>
      <c r="I170" s="2" t="s">
        <v>77</v>
      </c>
      <c r="J170" s="2" t="s">
        <v>32</v>
      </c>
      <c r="K170" s="2" t="s">
        <v>1087</v>
      </c>
      <c r="L170" s="2" t="s">
        <v>760</v>
      </c>
      <c r="M170" s="3">
        <v>44061</v>
      </c>
      <c r="N170" s="3">
        <v>44081</v>
      </c>
      <c r="O170" s="4">
        <v>198.72</v>
      </c>
      <c r="P170" s="2" t="s">
        <v>48</v>
      </c>
      <c r="Q170" s="2" t="s">
        <v>166</v>
      </c>
      <c r="R170" s="2" t="s">
        <v>169</v>
      </c>
      <c r="S170" s="2" t="s">
        <v>420</v>
      </c>
      <c r="T170" s="2" t="s">
        <v>36</v>
      </c>
      <c r="U170" s="2" t="s">
        <v>1139</v>
      </c>
      <c r="V170" s="2" t="s">
        <v>52</v>
      </c>
      <c r="W170" s="2" t="s">
        <v>1204</v>
      </c>
      <c r="X170" s="2" t="s">
        <v>412</v>
      </c>
      <c r="Y170" s="2" t="s">
        <v>421</v>
      </c>
      <c r="Z170" s="2" t="s">
        <v>1205</v>
      </c>
      <c r="AA170" s="2" t="s">
        <v>39</v>
      </c>
      <c r="AB170" s="2" t="s">
        <v>414</v>
      </c>
    </row>
    <row r="171" spans="1:28" x14ac:dyDescent="0.2">
      <c r="A171" s="2" t="s">
        <v>427</v>
      </c>
      <c r="B171" s="3">
        <v>44055</v>
      </c>
      <c r="C171" s="2" t="s">
        <v>1201</v>
      </c>
      <c r="D171" s="2" t="s">
        <v>62</v>
      </c>
      <c r="E171" s="2" t="s">
        <v>251</v>
      </c>
      <c r="F171" s="2" t="s">
        <v>252</v>
      </c>
      <c r="G171" s="2" t="s">
        <v>1206</v>
      </c>
      <c r="H171" s="2" t="s">
        <v>1207</v>
      </c>
      <c r="I171" s="2" t="s">
        <v>77</v>
      </c>
      <c r="J171" s="2" t="s">
        <v>32</v>
      </c>
      <c r="K171" s="2" t="s">
        <v>1087</v>
      </c>
      <c r="L171" s="2" t="s">
        <v>760</v>
      </c>
      <c r="M171" s="3">
        <v>44061</v>
      </c>
      <c r="N171" s="3">
        <v>44081</v>
      </c>
      <c r="O171" s="4">
        <v>414</v>
      </c>
      <c r="P171" s="2" t="s">
        <v>48</v>
      </c>
      <c r="Q171" s="2" t="s">
        <v>166</v>
      </c>
      <c r="R171" s="2" t="s">
        <v>250</v>
      </c>
      <c r="S171" s="2" t="s">
        <v>428</v>
      </c>
      <c r="T171" s="2" t="s">
        <v>42</v>
      </c>
      <c r="U171" s="2" t="s">
        <v>1139</v>
      </c>
      <c r="V171" s="2" t="s">
        <v>52</v>
      </c>
      <c r="W171" s="2" t="s">
        <v>1208</v>
      </c>
      <c r="X171" s="2" t="s">
        <v>412</v>
      </c>
      <c r="Y171" s="2" t="s">
        <v>473</v>
      </c>
      <c r="Z171" s="2" t="s">
        <v>981</v>
      </c>
      <c r="AA171" s="2" t="s">
        <v>39</v>
      </c>
      <c r="AB171" s="2" t="s">
        <v>414</v>
      </c>
    </row>
    <row r="172" spans="1:28" x14ac:dyDescent="0.2">
      <c r="A172" s="2" t="s">
        <v>427</v>
      </c>
      <c r="B172" s="3">
        <v>44058</v>
      </c>
      <c r="C172" s="2" t="s">
        <v>1129</v>
      </c>
      <c r="D172" s="2" t="s">
        <v>62</v>
      </c>
      <c r="E172" s="2" t="s">
        <v>217</v>
      </c>
      <c r="F172" s="2" t="s">
        <v>218</v>
      </c>
      <c r="G172" s="2" t="s">
        <v>1130</v>
      </c>
      <c r="H172" s="2" t="s">
        <v>1131</v>
      </c>
      <c r="I172" s="2" t="s">
        <v>77</v>
      </c>
      <c r="J172" s="2" t="s">
        <v>32</v>
      </c>
      <c r="K172" s="2" t="s">
        <v>503</v>
      </c>
      <c r="L172" s="2" t="s">
        <v>1116</v>
      </c>
      <c r="M172" s="3">
        <v>44061</v>
      </c>
      <c r="N172" s="3">
        <v>44093</v>
      </c>
      <c r="O172" s="4">
        <v>498.721</v>
      </c>
      <c r="P172" s="2" t="s">
        <v>48</v>
      </c>
      <c r="Q172" s="2" t="s">
        <v>34</v>
      </c>
      <c r="R172" s="2" t="s">
        <v>35</v>
      </c>
      <c r="S172" s="2" t="s">
        <v>428</v>
      </c>
      <c r="T172" s="2" t="s">
        <v>36</v>
      </c>
      <c r="U172" s="2" t="s">
        <v>37</v>
      </c>
      <c r="V172" s="2" t="s">
        <v>52</v>
      </c>
      <c r="W172" s="2" t="s">
        <v>1132</v>
      </c>
      <c r="X172" s="2" t="s">
        <v>412</v>
      </c>
      <c r="Y172" s="2" t="s">
        <v>429</v>
      </c>
      <c r="Z172" s="2" t="s">
        <v>412</v>
      </c>
      <c r="AA172" s="2" t="s">
        <v>39</v>
      </c>
      <c r="AB172" s="2" t="s">
        <v>414</v>
      </c>
    </row>
    <row r="173" spans="1:28" x14ac:dyDescent="0.2">
      <c r="A173" s="2" t="s">
        <v>427</v>
      </c>
      <c r="B173" s="3">
        <v>44073</v>
      </c>
      <c r="C173" s="2" t="s">
        <v>1129</v>
      </c>
      <c r="D173" s="2" t="s">
        <v>28</v>
      </c>
      <c r="E173" s="2" t="s">
        <v>98</v>
      </c>
      <c r="F173" s="2" t="s">
        <v>205</v>
      </c>
      <c r="G173" s="2" t="s">
        <v>1133</v>
      </c>
      <c r="H173" s="2" t="s">
        <v>1134</v>
      </c>
      <c r="I173" s="2" t="s">
        <v>77</v>
      </c>
      <c r="J173" s="2" t="s">
        <v>32</v>
      </c>
      <c r="K173" s="2" t="s">
        <v>503</v>
      </c>
      <c r="L173" s="2" t="s">
        <v>1116</v>
      </c>
      <c r="M173" s="3">
        <v>44061</v>
      </c>
      <c r="N173" s="3">
        <v>44093</v>
      </c>
      <c r="O173" s="4">
        <v>499.745</v>
      </c>
      <c r="P173" s="2" t="s">
        <v>48</v>
      </c>
      <c r="Q173" s="2" t="s">
        <v>34</v>
      </c>
      <c r="R173" s="2" t="s">
        <v>35</v>
      </c>
      <c r="S173" s="2" t="s">
        <v>428</v>
      </c>
      <c r="T173" s="2" t="s">
        <v>72</v>
      </c>
      <c r="U173" s="2" t="s">
        <v>37</v>
      </c>
      <c r="V173" s="2" t="s">
        <v>52</v>
      </c>
      <c r="W173" s="2" t="s">
        <v>1135</v>
      </c>
      <c r="X173" s="2" t="s">
        <v>412</v>
      </c>
      <c r="Y173" s="2" t="s">
        <v>429</v>
      </c>
      <c r="Z173" s="2" t="s">
        <v>412</v>
      </c>
      <c r="AA173" s="2" t="s">
        <v>39</v>
      </c>
      <c r="AB173" s="2" t="s">
        <v>414</v>
      </c>
    </row>
    <row r="174" spans="1:28" x14ac:dyDescent="0.2">
      <c r="A174" s="2" t="s">
        <v>427</v>
      </c>
      <c r="B174" s="3">
        <v>44073</v>
      </c>
      <c r="C174" s="2" t="s">
        <v>1265</v>
      </c>
      <c r="D174" s="2" t="s">
        <v>74</v>
      </c>
      <c r="E174" s="2" t="s">
        <v>75</v>
      </c>
      <c r="F174" s="2" t="s">
        <v>966</v>
      </c>
      <c r="G174" s="2" t="s">
        <v>1266</v>
      </c>
      <c r="H174" s="2" t="s">
        <v>1267</v>
      </c>
      <c r="I174" s="2" t="s">
        <v>77</v>
      </c>
      <c r="J174" s="2" t="s">
        <v>32</v>
      </c>
      <c r="K174" s="2" t="s">
        <v>1268</v>
      </c>
      <c r="L174" s="2" t="s">
        <v>1269</v>
      </c>
      <c r="M174" s="3">
        <v>44062</v>
      </c>
      <c r="N174" s="3">
        <v>44109</v>
      </c>
      <c r="O174" s="4">
        <v>496.8</v>
      </c>
      <c r="P174" s="2" t="s">
        <v>48</v>
      </c>
      <c r="Q174" s="2" t="s">
        <v>149</v>
      </c>
      <c r="R174" s="2" t="s">
        <v>150</v>
      </c>
      <c r="S174" s="2" t="s">
        <v>428</v>
      </c>
      <c r="T174" s="2" t="s">
        <v>36</v>
      </c>
      <c r="U174" s="2" t="s">
        <v>1692</v>
      </c>
      <c r="V174" s="2" t="s">
        <v>65</v>
      </c>
      <c r="W174" s="2" t="s">
        <v>1270</v>
      </c>
      <c r="X174" s="2" t="s">
        <v>412</v>
      </c>
      <c r="Y174" s="2" t="s">
        <v>429</v>
      </c>
      <c r="Z174" s="2" t="s">
        <v>412</v>
      </c>
      <c r="AA174" s="2" t="s">
        <v>39</v>
      </c>
      <c r="AB174" s="2" t="s">
        <v>414</v>
      </c>
    </row>
    <row r="175" spans="1:28" x14ac:dyDescent="0.2">
      <c r="A175" s="2" t="s">
        <v>427</v>
      </c>
      <c r="B175" s="3">
        <v>44073</v>
      </c>
      <c r="C175" s="2" t="s">
        <v>1265</v>
      </c>
      <c r="D175" s="2" t="s">
        <v>74</v>
      </c>
      <c r="E175" s="2" t="s">
        <v>75</v>
      </c>
      <c r="F175" s="2" t="s">
        <v>966</v>
      </c>
      <c r="G175" s="2" t="s">
        <v>1271</v>
      </c>
      <c r="H175" s="2" t="s">
        <v>1272</v>
      </c>
      <c r="I175" s="2" t="s">
        <v>77</v>
      </c>
      <c r="J175" s="2" t="s">
        <v>32</v>
      </c>
      <c r="K175" s="2" t="s">
        <v>1268</v>
      </c>
      <c r="L175" s="2" t="s">
        <v>1269</v>
      </c>
      <c r="M175" s="3">
        <v>44062</v>
      </c>
      <c r="N175" s="3">
        <v>44109</v>
      </c>
      <c r="O175" s="4">
        <v>496.8</v>
      </c>
      <c r="P175" s="2" t="s">
        <v>48</v>
      </c>
      <c r="Q175" s="2" t="s">
        <v>149</v>
      </c>
      <c r="R175" s="2" t="s">
        <v>150</v>
      </c>
      <c r="S175" s="2" t="s">
        <v>428</v>
      </c>
      <c r="T175" s="2" t="s">
        <v>36</v>
      </c>
      <c r="U175" s="2" t="s">
        <v>1692</v>
      </c>
      <c r="V175" s="2" t="s">
        <v>65</v>
      </c>
      <c r="W175" s="2" t="s">
        <v>1273</v>
      </c>
      <c r="X175" s="2" t="s">
        <v>412</v>
      </c>
      <c r="Y175" s="2" t="s">
        <v>429</v>
      </c>
      <c r="Z175" s="2" t="s">
        <v>412</v>
      </c>
      <c r="AA175" s="2" t="s">
        <v>39</v>
      </c>
      <c r="AB175" s="2" t="s">
        <v>414</v>
      </c>
    </row>
    <row r="176" spans="1:28" hidden="1" x14ac:dyDescent="0.2">
      <c r="A176" s="2" t="s">
        <v>470</v>
      </c>
      <c r="B176" s="3">
        <v>44058</v>
      </c>
      <c r="C176" s="2" t="s">
        <v>1274</v>
      </c>
      <c r="D176" s="2" t="s">
        <v>28</v>
      </c>
      <c r="E176" s="2" t="s">
        <v>280</v>
      </c>
      <c r="F176" s="2" t="s">
        <v>281</v>
      </c>
      <c r="G176" s="2" t="s">
        <v>1275</v>
      </c>
      <c r="H176" s="2" t="s">
        <v>1276</v>
      </c>
      <c r="I176" s="2" t="s">
        <v>282</v>
      </c>
      <c r="J176" s="2" t="s">
        <v>223</v>
      </c>
      <c r="K176" s="2" t="s">
        <v>593</v>
      </c>
      <c r="L176" s="2" t="s">
        <v>1277</v>
      </c>
      <c r="M176" s="3">
        <v>44063</v>
      </c>
      <c r="N176" s="3">
        <v>44104</v>
      </c>
      <c r="O176" s="4">
        <v>51.5</v>
      </c>
      <c r="P176" s="2" t="s">
        <v>224</v>
      </c>
      <c r="Q176" s="2" t="s">
        <v>283</v>
      </c>
      <c r="R176" s="2" t="s">
        <v>284</v>
      </c>
      <c r="S176" s="2" t="s">
        <v>449</v>
      </c>
      <c r="T176" s="2" t="s">
        <v>87</v>
      </c>
      <c r="U176" s="2" t="s">
        <v>290</v>
      </c>
      <c r="V176" s="2" t="s">
        <v>88</v>
      </c>
      <c r="W176" s="2" t="s">
        <v>1278</v>
      </c>
      <c r="X176" s="2" t="s">
        <v>412</v>
      </c>
      <c r="Y176" s="2" t="s">
        <v>467</v>
      </c>
      <c r="Z176" s="2" t="s">
        <v>1279</v>
      </c>
      <c r="AA176" s="2" t="s">
        <v>39</v>
      </c>
      <c r="AB176" s="2" t="s">
        <v>414</v>
      </c>
    </row>
    <row r="177" spans="1:28" hidden="1" x14ac:dyDescent="0.2">
      <c r="A177" s="2" t="s">
        <v>470</v>
      </c>
      <c r="B177" s="3">
        <v>44058</v>
      </c>
      <c r="C177" s="2" t="s">
        <v>1274</v>
      </c>
      <c r="D177" s="2" t="s">
        <v>28</v>
      </c>
      <c r="E177" s="2" t="s">
        <v>280</v>
      </c>
      <c r="F177" s="2" t="s">
        <v>281</v>
      </c>
      <c r="G177" s="2" t="s">
        <v>1280</v>
      </c>
      <c r="H177" s="2" t="s">
        <v>1281</v>
      </c>
      <c r="I177" s="2" t="s">
        <v>239</v>
      </c>
      <c r="J177" s="2" t="s">
        <v>223</v>
      </c>
      <c r="K177" s="2" t="s">
        <v>593</v>
      </c>
      <c r="L177" s="2" t="s">
        <v>1277</v>
      </c>
      <c r="M177" s="3">
        <v>44063</v>
      </c>
      <c r="N177" s="3">
        <v>44104</v>
      </c>
      <c r="O177" s="4">
        <v>103</v>
      </c>
      <c r="P177" s="2" t="s">
        <v>224</v>
      </c>
      <c r="Q177" s="2" t="s">
        <v>283</v>
      </c>
      <c r="R177" s="2" t="s">
        <v>284</v>
      </c>
      <c r="S177" s="2" t="s">
        <v>419</v>
      </c>
      <c r="T177" s="2" t="s">
        <v>87</v>
      </c>
      <c r="U177" s="2" t="s">
        <v>290</v>
      </c>
      <c r="V177" s="2" t="s">
        <v>88</v>
      </c>
      <c r="W177" s="2" t="s">
        <v>1282</v>
      </c>
      <c r="X177" s="2" t="s">
        <v>412</v>
      </c>
      <c r="Y177" s="2" t="s">
        <v>468</v>
      </c>
      <c r="Z177" s="2" t="s">
        <v>1279</v>
      </c>
      <c r="AA177" s="2" t="s">
        <v>39</v>
      </c>
      <c r="AB177" s="2" t="s">
        <v>414</v>
      </c>
    </row>
    <row r="178" spans="1:28" hidden="1" x14ac:dyDescent="0.2">
      <c r="A178" s="2" t="s">
        <v>470</v>
      </c>
      <c r="B178" s="3">
        <v>44058</v>
      </c>
      <c r="C178" s="2" t="s">
        <v>1274</v>
      </c>
      <c r="D178" s="2" t="s">
        <v>137</v>
      </c>
      <c r="E178" s="2" t="s">
        <v>138</v>
      </c>
      <c r="F178" s="2" t="s">
        <v>139</v>
      </c>
      <c r="G178" s="2" t="s">
        <v>1283</v>
      </c>
      <c r="H178" s="2" t="s">
        <v>1284</v>
      </c>
      <c r="I178" s="2" t="s">
        <v>846</v>
      </c>
      <c r="J178" s="2" t="s">
        <v>32</v>
      </c>
      <c r="K178" s="2" t="s">
        <v>593</v>
      </c>
      <c r="L178" s="2" t="s">
        <v>1277</v>
      </c>
      <c r="M178" s="3">
        <v>44063</v>
      </c>
      <c r="N178" s="3">
        <v>44093</v>
      </c>
      <c r="O178" s="4">
        <v>508.82</v>
      </c>
      <c r="P178" s="2" t="s">
        <v>224</v>
      </c>
      <c r="Q178" s="2" t="s">
        <v>34</v>
      </c>
      <c r="R178" s="2" t="s">
        <v>35</v>
      </c>
      <c r="S178" s="2" t="s">
        <v>447</v>
      </c>
      <c r="T178" s="2" t="s">
        <v>87</v>
      </c>
      <c r="U178" s="2" t="s">
        <v>290</v>
      </c>
      <c r="V178" s="2" t="s">
        <v>88</v>
      </c>
      <c r="W178" s="2" t="s">
        <v>1285</v>
      </c>
      <c r="X178" s="2" t="s">
        <v>412</v>
      </c>
      <c r="Y178" s="2" t="s">
        <v>448</v>
      </c>
      <c r="Z178" s="2" t="s">
        <v>412</v>
      </c>
      <c r="AA178" s="2" t="s">
        <v>39</v>
      </c>
      <c r="AB178" s="2" t="s">
        <v>414</v>
      </c>
    </row>
    <row r="179" spans="1:28" hidden="1" x14ac:dyDescent="0.2">
      <c r="A179" s="2" t="s">
        <v>470</v>
      </c>
      <c r="B179" s="3">
        <v>44068</v>
      </c>
      <c r="C179" s="2" t="s">
        <v>1274</v>
      </c>
      <c r="D179" s="2" t="s">
        <v>28</v>
      </c>
      <c r="E179" s="2" t="s">
        <v>233</v>
      </c>
      <c r="F179" s="2" t="s">
        <v>234</v>
      </c>
      <c r="G179" s="2" t="s">
        <v>1286</v>
      </c>
      <c r="H179" s="2" t="s">
        <v>1287</v>
      </c>
      <c r="I179" s="2" t="s">
        <v>222</v>
      </c>
      <c r="J179" s="2" t="s">
        <v>223</v>
      </c>
      <c r="K179" s="2" t="s">
        <v>593</v>
      </c>
      <c r="L179" s="2" t="s">
        <v>1277</v>
      </c>
      <c r="M179" s="3">
        <v>44063</v>
      </c>
      <c r="N179" s="3">
        <v>44118</v>
      </c>
      <c r="O179" s="4">
        <v>74.16</v>
      </c>
      <c r="P179" s="2" t="s">
        <v>224</v>
      </c>
      <c r="Q179" s="2" t="s">
        <v>235</v>
      </c>
      <c r="R179" s="2" t="s">
        <v>236</v>
      </c>
      <c r="S179" s="2" t="s">
        <v>446</v>
      </c>
      <c r="T179" s="2" t="s">
        <v>87</v>
      </c>
      <c r="U179" s="2" t="s">
        <v>290</v>
      </c>
      <c r="V179" s="2" t="s">
        <v>88</v>
      </c>
      <c r="W179" s="2" t="s">
        <v>1288</v>
      </c>
      <c r="X179" s="2" t="s">
        <v>412</v>
      </c>
      <c r="Y179" s="2" t="s">
        <v>471</v>
      </c>
      <c r="Z179" s="2" t="s">
        <v>412</v>
      </c>
      <c r="AA179" s="2" t="s">
        <v>39</v>
      </c>
      <c r="AB179" s="2" t="s">
        <v>414</v>
      </c>
    </row>
    <row r="180" spans="1:28" hidden="1" x14ac:dyDescent="0.2">
      <c r="A180" s="2" t="s">
        <v>470</v>
      </c>
      <c r="B180" s="3">
        <v>43951</v>
      </c>
      <c r="C180" s="2" t="s">
        <v>1274</v>
      </c>
      <c r="D180" s="2" t="s">
        <v>152</v>
      </c>
      <c r="E180" s="2" t="s">
        <v>138</v>
      </c>
      <c r="F180" s="2" t="s">
        <v>265</v>
      </c>
      <c r="G180" s="2" t="s">
        <v>1289</v>
      </c>
      <c r="H180" s="2" t="s">
        <v>1290</v>
      </c>
      <c r="I180" s="2" t="s">
        <v>1291</v>
      </c>
      <c r="J180" s="2" t="s">
        <v>47</v>
      </c>
      <c r="K180" s="2" t="s">
        <v>593</v>
      </c>
      <c r="L180" s="2" t="s">
        <v>1277</v>
      </c>
      <c r="M180" s="3">
        <v>44063</v>
      </c>
      <c r="N180" s="3">
        <v>44092</v>
      </c>
      <c r="O180" s="4">
        <v>113.88</v>
      </c>
      <c r="P180" s="2" t="s">
        <v>224</v>
      </c>
      <c r="Q180" s="2" t="s">
        <v>206</v>
      </c>
      <c r="R180" s="2" t="s">
        <v>266</v>
      </c>
      <c r="S180" s="2" t="s">
        <v>465</v>
      </c>
      <c r="T180" s="2" t="s">
        <v>87</v>
      </c>
      <c r="U180" s="2" t="s">
        <v>290</v>
      </c>
      <c r="V180" s="2" t="s">
        <v>88</v>
      </c>
      <c r="W180" s="2" t="s">
        <v>1292</v>
      </c>
      <c r="X180" s="2" t="s">
        <v>412</v>
      </c>
      <c r="Y180" s="2" t="s">
        <v>425</v>
      </c>
      <c r="Z180" s="2" t="s">
        <v>412</v>
      </c>
      <c r="AA180" s="2" t="s">
        <v>39</v>
      </c>
      <c r="AB180" s="2" t="s">
        <v>414</v>
      </c>
    </row>
    <row r="181" spans="1:28" hidden="1" x14ac:dyDescent="0.2">
      <c r="A181" s="2" t="s">
        <v>470</v>
      </c>
      <c r="B181" s="3">
        <v>43951</v>
      </c>
      <c r="C181" s="2" t="s">
        <v>1274</v>
      </c>
      <c r="D181" s="2" t="s">
        <v>152</v>
      </c>
      <c r="E181" s="2" t="s">
        <v>138</v>
      </c>
      <c r="F181" s="2" t="s">
        <v>265</v>
      </c>
      <c r="G181" s="2" t="s">
        <v>1293</v>
      </c>
      <c r="H181" s="2" t="s">
        <v>1294</v>
      </c>
      <c r="I181" s="2" t="s">
        <v>1295</v>
      </c>
      <c r="J181" s="2" t="s">
        <v>47</v>
      </c>
      <c r="K181" s="2" t="s">
        <v>593</v>
      </c>
      <c r="L181" s="2" t="s">
        <v>1277</v>
      </c>
      <c r="M181" s="3">
        <v>44063</v>
      </c>
      <c r="N181" s="3">
        <v>44092</v>
      </c>
      <c r="O181" s="4">
        <v>284.7</v>
      </c>
      <c r="P181" s="2" t="s">
        <v>224</v>
      </c>
      <c r="Q181" s="2" t="s">
        <v>206</v>
      </c>
      <c r="R181" s="2" t="s">
        <v>266</v>
      </c>
      <c r="S181" s="2" t="s">
        <v>417</v>
      </c>
      <c r="T181" s="2" t="s">
        <v>87</v>
      </c>
      <c r="U181" s="2" t="s">
        <v>290</v>
      </c>
      <c r="V181" s="2" t="s">
        <v>88</v>
      </c>
      <c r="W181" s="2" t="s">
        <v>1296</v>
      </c>
      <c r="X181" s="2" t="s">
        <v>412</v>
      </c>
      <c r="Y181" s="2" t="s">
        <v>418</v>
      </c>
      <c r="Z181" s="2" t="s">
        <v>412</v>
      </c>
      <c r="AA181" s="2" t="s">
        <v>39</v>
      </c>
      <c r="AB181" s="2" t="s">
        <v>414</v>
      </c>
    </row>
    <row r="182" spans="1:28" hidden="1" x14ac:dyDescent="0.2">
      <c r="A182" s="2" t="s">
        <v>470</v>
      </c>
      <c r="B182" s="3">
        <v>44073</v>
      </c>
      <c r="C182" s="2" t="s">
        <v>1274</v>
      </c>
      <c r="D182" s="2" t="s">
        <v>28</v>
      </c>
      <c r="E182" s="2" t="s">
        <v>129</v>
      </c>
      <c r="F182" s="2" t="s">
        <v>507</v>
      </c>
      <c r="G182" s="2" t="s">
        <v>1812</v>
      </c>
      <c r="H182" s="2" t="s">
        <v>1813</v>
      </c>
      <c r="I182" s="2" t="s">
        <v>31</v>
      </c>
      <c r="J182" s="2" t="s">
        <v>32</v>
      </c>
      <c r="K182" s="2" t="s">
        <v>593</v>
      </c>
      <c r="L182" s="2" t="s">
        <v>1277</v>
      </c>
      <c r="M182" s="3">
        <v>44063</v>
      </c>
      <c r="N182" s="3">
        <v>44089</v>
      </c>
      <c r="O182" s="4">
        <v>508.82</v>
      </c>
      <c r="P182" s="2" t="s">
        <v>224</v>
      </c>
      <c r="Q182" s="2" t="s">
        <v>405</v>
      </c>
      <c r="R182" s="2" t="s">
        <v>406</v>
      </c>
      <c r="S182" s="2" t="s">
        <v>477</v>
      </c>
      <c r="T182" s="2" t="s">
        <v>87</v>
      </c>
      <c r="U182" s="2" t="s">
        <v>290</v>
      </c>
      <c r="V182" s="2" t="s">
        <v>88</v>
      </c>
      <c r="W182" s="2" t="s">
        <v>1847</v>
      </c>
      <c r="X182" s="2" t="s">
        <v>412</v>
      </c>
      <c r="Y182" s="2" t="s">
        <v>448</v>
      </c>
      <c r="Z182" s="2" t="s">
        <v>412</v>
      </c>
      <c r="AA182" s="2" t="s">
        <v>39</v>
      </c>
      <c r="AB182" s="2" t="s">
        <v>414</v>
      </c>
    </row>
    <row r="183" spans="1:28" hidden="1" x14ac:dyDescent="0.2">
      <c r="A183" s="2" t="s">
        <v>470</v>
      </c>
      <c r="B183" s="3">
        <v>44058</v>
      </c>
      <c r="C183" s="2" t="s">
        <v>1297</v>
      </c>
      <c r="D183" s="2" t="s">
        <v>91</v>
      </c>
      <c r="E183" s="2" t="s">
        <v>217</v>
      </c>
      <c r="F183" s="2" t="s">
        <v>218</v>
      </c>
      <c r="G183" s="2" t="s">
        <v>1298</v>
      </c>
      <c r="H183" s="2" t="s">
        <v>1299</v>
      </c>
      <c r="I183" s="2" t="s">
        <v>302</v>
      </c>
      <c r="J183" s="2" t="s">
        <v>47</v>
      </c>
      <c r="K183" s="2" t="s">
        <v>1300</v>
      </c>
      <c r="L183" s="2" t="s">
        <v>113</v>
      </c>
      <c r="M183" s="3">
        <v>44063</v>
      </c>
      <c r="N183" s="3">
        <v>44101</v>
      </c>
      <c r="O183" s="4">
        <v>396.197</v>
      </c>
      <c r="P183" s="2" t="s">
        <v>303</v>
      </c>
      <c r="Q183" s="2" t="s">
        <v>206</v>
      </c>
      <c r="R183" s="2" t="s">
        <v>268</v>
      </c>
      <c r="S183" s="2" t="s">
        <v>439</v>
      </c>
      <c r="T183" s="2" t="s">
        <v>117</v>
      </c>
      <c r="U183" s="2" t="s">
        <v>304</v>
      </c>
      <c r="V183" s="2" t="s">
        <v>118</v>
      </c>
      <c r="W183" s="2" t="s">
        <v>412</v>
      </c>
      <c r="X183" s="2" t="s">
        <v>412</v>
      </c>
      <c r="Y183" s="2" t="s">
        <v>474</v>
      </c>
      <c r="Z183" s="2" t="s">
        <v>412</v>
      </c>
      <c r="AA183" s="2" t="s">
        <v>39</v>
      </c>
      <c r="AB183" s="2" t="s">
        <v>441</v>
      </c>
    </row>
    <row r="184" spans="1:28" hidden="1" x14ac:dyDescent="0.2">
      <c r="A184" s="2" t="s">
        <v>470</v>
      </c>
      <c r="B184" s="3">
        <v>44058</v>
      </c>
      <c r="C184" s="2" t="s">
        <v>1297</v>
      </c>
      <c r="D184" s="2" t="s">
        <v>91</v>
      </c>
      <c r="E184" s="2" t="s">
        <v>217</v>
      </c>
      <c r="F184" s="2" t="s">
        <v>218</v>
      </c>
      <c r="G184" s="2" t="s">
        <v>1301</v>
      </c>
      <c r="H184" s="2" t="s">
        <v>1302</v>
      </c>
      <c r="I184" s="2" t="s">
        <v>305</v>
      </c>
      <c r="J184" s="2" t="s">
        <v>47</v>
      </c>
      <c r="K184" s="2" t="s">
        <v>1300</v>
      </c>
      <c r="L184" s="2" t="s">
        <v>113</v>
      </c>
      <c r="M184" s="3">
        <v>44063</v>
      </c>
      <c r="N184" s="3">
        <v>44101</v>
      </c>
      <c r="O184" s="4">
        <v>202.946</v>
      </c>
      <c r="P184" s="2" t="s">
        <v>303</v>
      </c>
      <c r="Q184" s="2" t="s">
        <v>206</v>
      </c>
      <c r="R184" s="2" t="s">
        <v>268</v>
      </c>
      <c r="S184" s="2" t="s">
        <v>439</v>
      </c>
      <c r="T184" s="2" t="s">
        <v>117</v>
      </c>
      <c r="U184" s="2" t="s">
        <v>304</v>
      </c>
      <c r="V184" s="2" t="s">
        <v>118</v>
      </c>
      <c r="W184" s="2" t="s">
        <v>412</v>
      </c>
      <c r="X184" s="2" t="s">
        <v>412</v>
      </c>
      <c r="Y184" s="2" t="s">
        <v>435</v>
      </c>
      <c r="Z184" s="2" t="s">
        <v>412</v>
      </c>
      <c r="AA184" s="2" t="s">
        <v>39</v>
      </c>
      <c r="AB184" s="2" t="s">
        <v>441</v>
      </c>
    </row>
    <row r="185" spans="1:28" hidden="1" x14ac:dyDescent="0.2">
      <c r="A185" s="2" t="s">
        <v>470</v>
      </c>
      <c r="B185" s="3">
        <v>44058</v>
      </c>
      <c r="C185" s="2" t="s">
        <v>1297</v>
      </c>
      <c r="D185" s="2" t="s">
        <v>91</v>
      </c>
      <c r="E185" s="2" t="s">
        <v>217</v>
      </c>
      <c r="F185" s="2" t="s">
        <v>218</v>
      </c>
      <c r="G185" s="2" t="s">
        <v>1303</v>
      </c>
      <c r="H185" s="2" t="s">
        <v>1304</v>
      </c>
      <c r="I185" s="2" t="s">
        <v>306</v>
      </c>
      <c r="J185" s="2" t="s">
        <v>47</v>
      </c>
      <c r="K185" s="2" t="s">
        <v>1300</v>
      </c>
      <c r="L185" s="2" t="s">
        <v>113</v>
      </c>
      <c r="M185" s="3">
        <v>44063</v>
      </c>
      <c r="N185" s="3">
        <v>44101</v>
      </c>
      <c r="O185" s="4">
        <v>97.042000000000002</v>
      </c>
      <c r="P185" s="2" t="s">
        <v>303</v>
      </c>
      <c r="Q185" s="2" t="s">
        <v>206</v>
      </c>
      <c r="R185" s="2" t="s">
        <v>268</v>
      </c>
      <c r="S185" s="2" t="s">
        <v>439</v>
      </c>
      <c r="T185" s="2" t="s">
        <v>117</v>
      </c>
      <c r="U185" s="2" t="s">
        <v>304</v>
      </c>
      <c r="V185" s="2" t="s">
        <v>118</v>
      </c>
      <c r="W185" s="2" t="s">
        <v>412</v>
      </c>
      <c r="X185" s="2" t="s">
        <v>412</v>
      </c>
      <c r="Y185" s="2" t="s">
        <v>425</v>
      </c>
      <c r="Z185" s="2" t="s">
        <v>412</v>
      </c>
      <c r="AA185" s="2" t="s">
        <v>39</v>
      </c>
      <c r="AB185" s="2" t="s">
        <v>441</v>
      </c>
    </row>
    <row r="186" spans="1:28" hidden="1" x14ac:dyDescent="0.2">
      <c r="A186" s="2" t="s">
        <v>470</v>
      </c>
      <c r="B186" s="3">
        <v>44058</v>
      </c>
      <c r="C186" s="2" t="s">
        <v>1297</v>
      </c>
      <c r="D186" s="2" t="s">
        <v>62</v>
      </c>
      <c r="E186" s="2" t="s">
        <v>307</v>
      </c>
      <c r="F186" s="2" t="s">
        <v>308</v>
      </c>
      <c r="G186" s="2" t="s">
        <v>1305</v>
      </c>
      <c r="H186" s="2" t="s">
        <v>1306</v>
      </c>
      <c r="I186" s="2" t="s">
        <v>309</v>
      </c>
      <c r="J186" s="2" t="s">
        <v>223</v>
      </c>
      <c r="K186" s="2" t="s">
        <v>1300</v>
      </c>
      <c r="L186" s="2" t="s">
        <v>113</v>
      </c>
      <c r="M186" s="3">
        <v>44063</v>
      </c>
      <c r="N186" s="3">
        <v>44108</v>
      </c>
      <c r="O186" s="4">
        <v>123.893</v>
      </c>
      <c r="P186" s="2" t="s">
        <v>303</v>
      </c>
      <c r="Q186" s="2" t="s">
        <v>115</v>
      </c>
      <c r="R186" s="2" t="s">
        <v>116</v>
      </c>
      <c r="S186" s="2" t="s">
        <v>439</v>
      </c>
      <c r="T186" s="2" t="s">
        <v>117</v>
      </c>
      <c r="U186" s="2" t="s">
        <v>304</v>
      </c>
      <c r="V186" s="2" t="s">
        <v>118</v>
      </c>
      <c r="W186" s="2" t="s">
        <v>412</v>
      </c>
      <c r="X186" s="2" t="s">
        <v>412</v>
      </c>
      <c r="Y186" s="2" t="s">
        <v>469</v>
      </c>
      <c r="Z186" s="2" t="s">
        <v>412</v>
      </c>
      <c r="AA186" s="2" t="s">
        <v>39</v>
      </c>
      <c r="AB186" s="2" t="s">
        <v>441</v>
      </c>
    </row>
    <row r="187" spans="1:28" hidden="1" x14ac:dyDescent="0.2">
      <c r="A187" s="2" t="s">
        <v>470</v>
      </c>
      <c r="B187" s="3">
        <v>44073</v>
      </c>
      <c r="C187" s="2" t="s">
        <v>1297</v>
      </c>
      <c r="D187" s="2" t="s">
        <v>28</v>
      </c>
      <c r="E187" s="2" t="s">
        <v>162</v>
      </c>
      <c r="F187" s="2" t="s">
        <v>163</v>
      </c>
      <c r="G187" s="2" t="s">
        <v>1307</v>
      </c>
      <c r="H187" s="2" t="s">
        <v>1308</v>
      </c>
      <c r="I187" s="2" t="s">
        <v>112</v>
      </c>
      <c r="J187" s="2" t="s">
        <v>32</v>
      </c>
      <c r="K187" s="2" t="s">
        <v>1300</v>
      </c>
      <c r="L187" s="2" t="s">
        <v>113</v>
      </c>
      <c r="M187" s="3">
        <v>44063</v>
      </c>
      <c r="N187" s="3">
        <v>44108</v>
      </c>
      <c r="O187" s="4">
        <v>494.78</v>
      </c>
      <c r="P187" s="2" t="s">
        <v>303</v>
      </c>
      <c r="Q187" s="2" t="s">
        <v>115</v>
      </c>
      <c r="R187" s="2" t="s">
        <v>116</v>
      </c>
      <c r="S187" s="2" t="s">
        <v>439</v>
      </c>
      <c r="T187" s="2" t="s">
        <v>117</v>
      </c>
      <c r="U187" s="2" t="s">
        <v>304</v>
      </c>
      <c r="V187" s="2" t="s">
        <v>118</v>
      </c>
      <c r="W187" s="2" t="s">
        <v>412</v>
      </c>
      <c r="X187" s="2" t="s">
        <v>412</v>
      </c>
      <c r="Y187" s="2" t="s">
        <v>429</v>
      </c>
      <c r="Z187" s="2" t="s">
        <v>412</v>
      </c>
      <c r="AA187" s="2" t="s">
        <v>39</v>
      </c>
      <c r="AB187" s="2" t="s">
        <v>441</v>
      </c>
    </row>
    <row r="188" spans="1:28" hidden="1" x14ac:dyDescent="0.2">
      <c r="A188" s="2" t="s">
        <v>470</v>
      </c>
      <c r="B188" s="3">
        <v>44073</v>
      </c>
      <c r="C188" s="2" t="s">
        <v>1297</v>
      </c>
      <c r="D188" s="2" t="s">
        <v>28</v>
      </c>
      <c r="E188" s="2" t="s">
        <v>162</v>
      </c>
      <c r="F188" s="2" t="s">
        <v>163</v>
      </c>
      <c r="G188" s="2" t="s">
        <v>1309</v>
      </c>
      <c r="H188" s="2" t="s">
        <v>1310</v>
      </c>
      <c r="I188" s="2" t="s">
        <v>112</v>
      </c>
      <c r="J188" s="2" t="s">
        <v>32</v>
      </c>
      <c r="K188" s="2" t="s">
        <v>1300</v>
      </c>
      <c r="L188" s="2" t="s">
        <v>113</v>
      </c>
      <c r="M188" s="3">
        <v>44063</v>
      </c>
      <c r="N188" s="3">
        <v>44108</v>
      </c>
      <c r="O188" s="4">
        <v>494.77</v>
      </c>
      <c r="P188" s="2" t="s">
        <v>303</v>
      </c>
      <c r="Q188" s="2" t="s">
        <v>115</v>
      </c>
      <c r="R188" s="2" t="s">
        <v>116</v>
      </c>
      <c r="S188" s="2" t="s">
        <v>439</v>
      </c>
      <c r="T188" s="2" t="s">
        <v>117</v>
      </c>
      <c r="U188" s="2" t="s">
        <v>304</v>
      </c>
      <c r="V188" s="2" t="s">
        <v>118</v>
      </c>
      <c r="W188" s="2" t="s">
        <v>412</v>
      </c>
      <c r="X188" s="2" t="s">
        <v>412</v>
      </c>
      <c r="Y188" s="2" t="s">
        <v>429</v>
      </c>
      <c r="Z188" s="2" t="s">
        <v>412</v>
      </c>
      <c r="AA188" s="2" t="s">
        <v>39</v>
      </c>
      <c r="AB188" s="2" t="s">
        <v>441</v>
      </c>
    </row>
    <row r="189" spans="1:28" hidden="1" x14ac:dyDescent="0.2">
      <c r="A189" s="2" t="s">
        <v>470</v>
      </c>
      <c r="B189" s="3">
        <v>44073</v>
      </c>
      <c r="C189" s="2" t="s">
        <v>1297</v>
      </c>
      <c r="D189" s="2" t="s">
        <v>28</v>
      </c>
      <c r="E189" s="2" t="s">
        <v>162</v>
      </c>
      <c r="F189" s="2" t="s">
        <v>163</v>
      </c>
      <c r="G189" s="2" t="s">
        <v>1311</v>
      </c>
      <c r="H189" s="2" t="s">
        <v>1312</v>
      </c>
      <c r="I189" s="2" t="s">
        <v>112</v>
      </c>
      <c r="J189" s="2" t="s">
        <v>32</v>
      </c>
      <c r="K189" s="2" t="s">
        <v>1300</v>
      </c>
      <c r="L189" s="2" t="s">
        <v>113</v>
      </c>
      <c r="M189" s="3">
        <v>44063</v>
      </c>
      <c r="N189" s="3">
        <v>44108</v>
      </c>
      <c r="O189" s="4">
        <v>494.87299999999999</v>
      </c>
      <c r="P189" s="2" t="s">
        <v>303</v>
      </c>
      <c r="Q189" s="2" t="s">
        <v>115</v>
      </c>
      <c r="R189" s="2" t="s">
        <v>116</v>
      </c>
      <c r="S189" s="2" t="s">
        <v>439</v>
      </c>
      <c r="T189" s="2" t="s">
        <v>117</v>
      </c>
      <c r="U189" s="2" t="s">
        <v>304</v>
      </c>
      <c r="V189" s="2" t="s">
        <v>118</v>
      </c>
      <c r="W189" s="2" t="s">
        <v>412</v>
      </c>
      <c r="X189" s="2" t="s">
        <v>412</v>
      </c>
      <c r="Y189" s="2" t="s">
        <v>429</v>
      </c>
      <c r="Z189" s="2" t="s">
        <v>412</v>
      </c>
      <c r="AA189" s="2" t="s">
        <v>39</v>
      </c>
      <c r="AB189" s="2" t="s">
        <v>441</v>
      </c>
    </row>
    <row r="190" spans="1:28" hidden="1" x14ac:dyDescent="0.2">
      <c r="A190" s="2" t="s">
        <v>470</v>
      </c>
      <c r="B190" s="3">
        <v>44073</v>
      </c>
      <c r="C190" s="2" t="s">
        <v>1297</v>
      </c>
      <c r="D190" s="2" t="s">
        <v>28</v>
      </c>
      <c r="E190" s="2" t="s">
        <v>162</v>
      </c>
      <c r="F190" s="2" t="s">
        <v>163</v>
      </c>
      <c r="G190" s="2" t="s">
        <v>1313</v>
      </c>
      <c r="H190" s="2" t="s">
        <v>1314</v>
      </c>
      <c r="I190" s="2" t="s">
        <v>112</v>
      </c>
      <c r="J190" s="2" t="s">
        <v>32</v>
      </c>
      <c r="K190" s="2" t="s">
        <v>1300</v>
      </c>
      <c r="L190" s="2" t="s">
        <v>113</v>
      </c>
      <c r="M190" s="3">
        <v>44063</v>
      </c>
      <c r="N190" s="3">
        <v>44108</v>
      </c>
      <c r="O190" s="4">
        <v>500</v>
      </c>
      <c r="P190" s="2" t="s">
        <v>303</v>
      </c>
      <c r="Q190" s="2" t="s">
        <v>115</v>
      </c>
      <c r="R190" s="2" t="s">
        <v>116</v>
      </c>
      <c r="S190" s="2" t="s">
        <v>439</v>
      </c>
      <c r="T190" s="2" t="s">
        <v>117</v>
      </c>
      <c r="U190" s="2" t="s">
        <v>290</v>
      </c>
      <c r="V190" s="2" t="s">
        <v>118</v>
      </c>
      <c r="W190" s="2" t="s">
        <v>412</v>
      </c>
      <c r="X190" s="2" t="s">
        <v>412</v>
      </c>
      <c r="Y190" s="2" t="s">
        <v>476</v>
      </c>
      <c r="Z190" s="2" t="s">
        <v>412</v>
      </c>
      <c r="AA190" s="2" t="s">
        <v>39</v>
      </c>
      <c r="AB190" s="2" t="s">
        <v>441</v>
      </c>
    </row>
    <row r="191" spans="1:28" hidden="1" x14ac:dyDescent="0.2">
      <c r="A191" s="2" t="s">
        <v>470</v>
      </c>
      <c r="B191" s="3">
        <v>44073</v>
      </c>
      <c r="C191" s="2" t="s">
        <v>1297</v>
      </c>
      <c r="D191" s="2" t="s">
        <v>28</v>
      </c>
      <c r="E191" s="2" t="s">
        <v>162</v>
      </c>
      <c r="F191" s="2" t="s">
        <v>163</v>
      </c>
      <c r="G191" s="2" t="s">
        <v>1315</v>
      </c>
      <c r="H191" s="2" t="s">
        <v>1316</v>
      </c>
      <c r="I191" s="2" t="s">
        <v>112</v>
      </c>
      <c r="J191" s="2" t="s">
        <v>32</v>
      </c>
      <c r="K191" s="2" t="s">
        <v>1300</v>
      </c>
      <c r="L191" s="2" t="s">
        <v>113</v>
      </c>
      <c r="M191" s="3">
        <v>44063</v>
      </c>
      <c r="N191" s="3">
        <v>44108</v>
      </c>
      <c r="O191" s="4">
        <v>500</v>
      </c>
      <c r="P191" s="2" t="s">
        <v>303</v>
      </c>
      <c r="Q191" s="2" t="s">
        <v>115</v>
      </c>
      <c r="R191" s="2" t="s">
        <v>116</v>
      </c>
      <c r="S191" s="2" t="s">
        <v>439</v>
      </c>
      <c r="T191" s="2" t="s">
        <v>117</v>
      </c>
      <c r="U191" s="2" t="s">
        <v>290</v>
      </c>
      <c r="V191" s="2" t="s">
        <v>118</v>
      </c>
      <c r="W191" s="2" t="s">
        <v>412</v>
      </c>
      <c r="X191" s="2" t="s">
        <v>412</v>
      </c>
      <c r="Y191" s="2" t="s">
        <v>476</v>
      </c>
      <c r="Z191" s="2" t="s">
        <v>412</v>
      </c>
      <c r="AA191" s="2" t="s">
        <v>39</v>
      </c>
      <c r="AB191" s="2" t="s">
        <v>441</v>
      </c>
    </row>
    <row r="192" spans="1:28" hidden="1" x14ac:dyDescent="0.2">
      <c r="A192" s="2" t="s">
        <v>470</v>
      </c>
      <c r="B192" s="3">
        <v>44048</v>
      </c>
      <c r="C192" s="2" t="s">
        <v>1297</v>
      </c>
      <c r="D192" s="2" t="s">
        <v>152</v>
      </c>
      <c r="E192" s="2" t="s">
        <v>127</v>
      </c>
      <c r="F192" s="2" t="s">
        <v>314</v>
      </c>
      <c r="G192" s="2" t="s">
        <v>1317</v>
      </c>
      <c r="H192" s="2" t="s">
        <v>1318</v>
      </c>
      <c r="I192" s="2" t="s">
        <v>315</v>
      </c>
      <c r="J192" s="2" t="s">
        <v>58</v>
      </c>
      <c r="K192" s="2" t="s">
        <v>1300</v>
      </c>
      <c r="L192" s="2" t="s">
        <v>113</v>
      </c>
      <c r="M192" s="3">
        <v>44063</v>
      </c>
      <c r="N192" s="3">
        <v>44090</v>
      </c>
      <c r="O192" s="4">
        <v>100</v>
      </c>
      <c r="P192" s="2" t="s">
        <v>303</v>
      </c>
      <c r="Q192" s="2" t="s">
        <v>85</v>
      </c>
      <c r="R192" s="2" t="s">
        <v>86</v>
      </c>
      <c r="S192" s="2" t="s">
        <v>439</v>
      </c>
      <c r="T192" s="2" t="s">
        <v>117</v>
      </c>
      <c r="U192" s="2" t="s">
        <v>290</v>
      </c>
      <c r="V192" s="2" t="s">
        <v>118</v>
      </c>
      <c r="W192" s="2" t="s">
        <v>412</v>
      </c>
      <c r="X192" s="2" t="s">
        <v>412</v>
      </c>
      <c r="Y192" s="2" t="s">
        <v>1319</v>
      </c>
      <c r="Z192" s="2" t="s">
        <v>412</v>
      </c>
      <c r="AA192" s="2" t="s">
        <v>39</v>
      </c>
      <c r="AB192" s="2" t="s">
        <v>441</v>
      </c>
    </row>
    <row r="193" spans="1:28" hidden="1" x14ac:dyDescent="0.2">
      <c r="A193" s="2" t="s">
        <v>470</v>
      </c>
      <c r="B193" s="3">
        <v>44048</v>
      </c>
      <c r="C193" s="2" t="s">
        <v>1297</v>
      </c>
      <c r="D193" s="2" t="s">
        <v>152</v>
      </c>
      <c r="E193" s="2" t="s">
        <v>316</v>
      </c>
      <c r="F193" s="2" t="s">
        <v>314</v>
      </c>
      <c r="G193" s="2" t="s">
        <v>1320</v>
      </c>
      <c r="H193" s="2" t="s">
        <v>1321</v>
      </c>
      <c r="I193" s="2" t="s">
        <v>315</v>
      </c>
      <c r="J193" s="2" t="s">
        <v>58</v>
      </c>
      <c r="K193" s="2" t="s">
        <v>1300</v>
      </c>
      <c r="L193" s="2" t="s">
        <v>113</v>
      </c>
      <c r="M193" s="3">
        <v>44063</v>
      </c>
      <c r="N193" s="3">
        <v>44090</v>
      </c>
      <c r="O193" s="4">
        <v>100</v>
      </c>
      <c r="P193" s="2" t="s">
        <v>303</v>
      </c>
      <c r="Q193" s="2" t="s">
        <v>85</v>
      </c>
      <c r="R193" s="2" t="s">
        <v>86</v>
      </c>
      <c r="S193" s="2" t="s">
        <v>439</v>
      </c>
      <c r="T193" s="2" t="s">
        <v>117</v>
      </c>
      <c r="U193" s="2" t="s">
        <v>290</v>
      </c>
      <c r="V193" s="2" t="s">
        <v>118</v>
      </c>
      <c r="W193" s="2" t="s">
        <v>412</v>
      </c>
      <c r="X193" s="2" t="s">
        <v>412</v>
      </c>
      <c r="Y193" s="2" t="s">
        <v>1319</v>
      </c>
      <c r="Z193" s="2" t="s">
        <v>412</v>
      </c>
      <c r="AA193" s="2" t="s">
        <v>39</v>
      </c>
      <c r="AB193" s="2" t="s">
        <v>441</v>
      </c>
    </row>
    <row r="194" spans="1:28" hidden="1" x14ac:dyDescent="0.2">
      <c r="A194" s="2" t="s">
        <v>470</v>
      </c>
      <c r="B194" s="3">
        <v>44048</v>
      </c>
      <c r="C194" s="2" t="s">
        <v>1297</v>
      </c>
      <c r="D194" s="2" t="s">
        <v>102</v>
      </c>
      <c r="E194" s="2" t="s">
        <v>316</v>
      </c>
      <c r="F194" s="2" t="s">
        <v>317</v>
      </c>
      <c r="G194" s="2" t="s">
        <v>1322</v>
      </c>
      <c r="H194" s="2" t="s">
        <v>1323</v>
      </c>
      <c r="I194" s="2" t="s">
        <v>318</v>
      </c>
      <c r="J194" s="2" t="s">
        <v>58</v>
      </c>
      <c r="K194" s="2" t="s">
        <v>1300</v>
      </c>
      <c r="L194" s="2" t="s">
        <v>113</v>
      </c>
      <c r="M194" s="3">
        <v>44063</v>
      </c>
      <c r="N194" s="3">
        <v>44090</v>
      </c>
      <c r="O194" s="4">
        <v>25.738</v>
      </c>
      <c r="P194" s="2" t="s">
        <v>303</v>
      </c>
      <c r="Q194" s="2" t="s">
        <v>85</v>
      </c>
      <c r="R194" s="2" t="s">
        <v>319</v>
      </c>
      <c r="S194" s="2" t="s">
        <v>439</v>
      </c>
      <c r="T194" s="2" t="s">
        <v>117</v>
      </c>
      <c r="U194" s="2" t="s">
        <v>304</v>
      </c>
      <c r="V194" s="2" t="s">
        <v>118</v>
      </c>
      <c r="W194" s="2" t="s">
        <v>412</v>
      </c>
      <c r="X194" s="2" t="s">
        <v>412</v>
      </c>
      <c r="Y194" s="2" t="s">
        <v>416</v>
      </c>
      <c r="Z194" s="2" t="s">
        <v>412</v>
      </c>
      <c r="AA194" s="2" t="s">
        <v>109</v>
      </c>
      <c r="AB194" s="2" t="s">
        <v>441</v>
      </c>
    </row>
    <row r="195" spans="1:28" hidden="1" x14ac:dyDescent="0.2">
      <c r="A195" s="2" t="s">
        <v>470</v>
      </c>
      <c r="B195" s="3">
        <v>44048</v>
      </c>
      <c r="C195" s="2" t="s">
        <v>1297</v>
      </c>
      <c r="D195" s="2" t="s">
        <v>102</v>
      </c>
      <c r="E195" s="2" t="s">
        <v>316</v>
      </c>
      <c r="F195" s="2" t="s">
        <v>317</v>
      </c>
      <c r="G195" s="2" t="s">
        <v>1324</v>
      </c>
      <c r="H195" s="2" t="s">
        <v>1325</v>
      </c>
      <c r="I195" s="2" t="s">
        <v>320</v>
      </c>
      <c r="J195" s="2" t="s">
        <v>58</v>
      </c>
      <c r="K195" s="2" t="s">
        <v>1300</v>
      </c>
      <c r="L195" s="2" t="s">
        <v>113</v>
      </c>
      <c r="M195" s="3">
        <v>44063</v>
      </c>
      <c r="N195" s="3">
        <v>44090</v>
      </c>
      <c r="O195" s="4">
        <v>28.32</v>
      </c>
      <c r="P195" s="2" t="s">
        <v>303</v>
      </c>
      <c r="Q195" s="2" t="s">
        <v>85</v>
      </c>
      <c r="R195" s="2" t="s">
        <v>319</v>
      </c>
      <c r="S195" s="2" t="s">
        <v>439</v>
      </c>
      <c r="T195" s="2" t="s">
        <v>117</v>
      </c>
      <c r="U195" s="2" t="s">
        <v>304</v>
      </c>
      <c r="V195" s="2" t="s">
        <v>118</v>
      </c>
      <c r="W195" s="2" t="s">
        <v>412</v>
      </c>
      <c r="X195" s="2" t="s">
        <v>412</v>
      </c>
      <c r="Y195" s="2" t="s">
        <v>456</v>
      </c>
      <c r="Z195" s="2" t="s">
        <v>412</v>
      </c>
      <c r="AA195" s="2" t="s">
        <v>109</v>
      </c>
      <c r="AB195" s="2" t="s">
        <v>441</v>
      </c>
    </row>
    <row r="196" spans="1:28" hidden="1" x14ac:dyDescent="0.2">
      <c r="A196" s="2" t="s">
        <v>470</v>
      </c>
      <c r="B196" s="3">
        <v>44048</v>
      </c>
      <c r="C196" s="2" t="s">
        <v>1297</v>
      </c>
      <c r="D196" s="2" t="s">
        <v>102</v>
      </c>
      <c r="E196" s="2" t="s">
        <v>316</v>
      </c>
      <c r="F196" s="2" t="s">
        <v>317</v>
      </c>
      <c r="G196" s="2" t="s">
        <v>1326</v>
      </c>
      <c r="H196" s="2" t="s">
        <v>1327</v>
      </c>
      <c r="I196" s="2" t="s">
        <v>321</v>
      </c>
      <c r="J196" s="2" t="s">
        <v>58</v>
      </c>
      <c r="K196" s="2" t="s">
        <v>1300</v>
      </c>
      <c r="L196" s="2" t="s">
        <v>113</v>
      </c>
      <c r="M196" s="3">
        <v>44063</v>
      </c>
      <c r="N196" s="3">
        <v>44090</v>
      </c>
      <c r="O196" s="4">
        <v>79.772000000000006</v>
      </c>
      <c r="P196" s="2" t="s">
        <v>303</v>
      </c>
      <c r="Q196" s="2" t="s">
        <v>85</v>
      </c>
      <c r="R196" s="2" t="s">
        <v>319</v>
      </c>
      <c r="S196" s="2" t="s">
        <v>439</v>
      </c>
      <c r="T196" s="2" t="s">
        <v>117</v>
      </c>
      <c r="U196" s="2" t="s">
        <v>304</v>
      </c>
      <c r="V196" s="2" t="s">
        <v>118</v>
      </c>
      <c r="W196" s="2" t="s">
        <v>412</v>
      </c>
      <c r="X196" s="2" t="s">
        <v>412</v>
      </c>
      <c r="Y196" s="2" t="s">
        <v>414</v>
      </c>
      <c r="Z196" s="2" t="s">
        <v>412</v>
      </c>
      <c r="AA196" s="2" t="s">
        <v>109</v>
      </c>
      <c r="AB196" s="2" t="s">
        <v>441</v>
      </c>
    </row>
    <row r="197" spans="1:28" hidden="1" x14ac:dyDescent="0.2">
      <c r="A197" s="2" t="s">
        <v>470</v>
      </c>
      <c r="B197" s="3">
        <v>44048</v>
      </c>
      <c r="C197" s="2" t="s">
        <v>1297</v>
      </c>
      <c r="D197" s="2" t="s">
        <v>102</v>
      </c>
      <c r="E197" s="2" t="s">
        <v>316</v>
      </c>
      <c r="F197" s="2" t="s">
        <v>326</v>
      </c>
      <c r="G197" s="2" t="s">
        <v>1328</v>
      </c>
      <c r="H197" s="2" t="s">
        <v>1329</v>
      </c>
      <c r="I197" s="2" t="s">
        <v>327</v>
      </c>
      <c r="J197" s="2" t="s">
        <v>58</v>
      </c>
      <c r="K197" s="2" t="s">
        <v>1300</v>
      </c>
      <c r="L197" s="2" t="s">
        <v>113</v>
      </c>
      <c r="M197" s="3">
        <v>44063</v>
      </c>
      <c r="N197" s="3">
        <v>44087</v>
      </c>
      <c r="O197" s="4">
        <v>205.886</v>
      </c>
      <c r="P197" s="2" t="s">
        <v>303</v>
      </c>
      <c r="Q197" s="2" t="s">
        <v>131</v>
      </c>
      <c r="R197" s="2" t="s">
        <v>313</v>
      </c>
      <c r="S197" s="2" t="s">
        <v>439</v>
      </c>
      <c r="T197" s="2" t="s">
        <v>117</v>
      </c>
      <c r="U197" s="2" t="s">
        <v>304</v>
      </c>
      <c r="V197" s="2" t="s">
        <v>118</v>
      </c>
      <c r="W197" s="2" t="s">
        <v>412</v>
      </c>
      <c r="X197" s="2" t="s">
        <v>412</v>
      </c>
      <c r="Y197" s="2" t="s">
        <v>1814</v>
      </c>
      <c r="Z197" s="2" t="s">
        <v>412</v>
      </c>
      <c r="AA197" s="2" t="s">
        <v>109</v>
      </c>
      <c r="AB197" s="2" t="s">
        <v>441</v>
      </c>
    </row>
    <row r="198" spans="1:28" hidden="1" x14ac:dyDescent="0.2">
      <c r="A198" s="2" t="s">
        <v>470</v>
      </c>
      <c r="B198" s="3">
        <v>44048</v>
      </c>
      <c r="C198" s="2" t="s">
        <v>1297</v>
      </c>
      <c r="D198" s="2" t="s">
        <v>102</v>
      </c>
      <c r="E198" s="2" t="s">
        <v>316</v>
      </c>
      <c r="F198" s="2" t="s">
        <v>326</v>
      </c>
      <c r="G198" s="2" t="s">
        <v>1330</v>
      </c>
      <c r="H198" s="2" t="s">
        <v>1331</v>
      </c>
      <c r="I198" s="2" t="s">
        <v>328</v>
      </c>
      <c r="J198" s="2" t="s">
        <v>58</v>
      </c>
      <c r="K198" s="2" t="s">
        <v>1300</v>
      </c>
      <c r="L198" s="2" t="s">
        <v>113</v>
      </c>
      <c r="M198" s="3">
        <v>44063</v>
      </c>
      <c r="N198" s="3">
        <v>44087</v>
      </c>
      <c r="O198" s="4">
        <v>200</v>
      </c>
      <c r="P198" s="2" t="s">
        <v>303</v>
      </c>
      <c r="Q198" s="2" t="s">
        <v>131</v>
      </c>
      <c r="R198" s="2" t="s">
        <v>313</v>
      </c>
      <c r="S198" s="2" t="s">
        <v>439</v>
      </c>
      <c r="T198" s="2" t="s">
        <v>117</v>
      </c>
      <c r="U198" s="2" t="s">
        <v>290</v>
      </c>
      <c r="V198" s="2" t="s">
        <v>118</v>
      </c>
      <c r="W198" s="2" t="s">
        <v>412</v>
      </c>
      <c r="X198" s="2" t="s">
        <v>412</v>
      </c>
      <c r="Y198" s="2" t="s">
        <v>1332</v>
      </c>
      <c r="Z198" s="2" t="s">
        <v>412</v>
      </c>
      <c r="AA198" s="2" t="s">
        <v>109</v>
      </c>
      <c r="AB198" s="2" t="s">
        <v>441</v>
      </c>
    </row>
    <row r="199" spans="1:28" hidden="1" x14ac:dyDescent="0.2">
      <c r="A199" s="2" t="s">
        <v>470</v>
      </c>
      <c r="B199" s="3">
        <v>44048</v>
      </c>
      <c r="C199" s="2" t="s">
        <v>1297</v>
      </c>
      <c r="D199" s="2" t="s">
        <v>102</v>
      </c>
      <c r="E199" s="2" t="s">
        <v>316</v>
      </c>
      <c r="F199" s="2" t="s">
        <v>326</v>
      </c>
      <c r="G199" s="2" t="s">
        <v>1333</v>
      </c>
      <c r="H199" s="2" t="s">
        <v>1334</v>
      </c>
      <c r="I199" s="2" t="s">
        <v>1335</v>
      </c>
      <c r="J199" s="2" t="s">
        <v>58</v>
      </c>
      <c r="K199" s="2" t="s">
        <v>1300</v>
      </c>
      <c r="L199" s="2" t="s">
        <v>113</v>
      </c>
      <c r="M199" s="3">
        <v>44063</v>
      </c>
      <c r="N199" s="3">
        <v>44087</v>
      </c>
      <c r="O199" s="4">
        <v>52.017000000000003</v>
      </c>
      <c r="P199" s="2" t="s">
        <v>303</v>
      </c>
      <c r="Q199" s="2" t="s">
        <v>131</v>
      </c>
      <c r="R199" s="2" t="s">
        <v>313</v>
      </c>
      <c r="S199" s="2" t="s">
        <v>439</v>
      </c>
      <c r="T199" s="2" t="s">
        <v>117</v>
      </c>
      <c r="U199" s="2" t="s">
        <v>304</v>
      </c>
      <c r="V199" s="2" t="s">
        <v>118</v>
      </c>
      <c r="W199" s="2" t="s">
        <v>412</v>
      </c>
      <c r="X199" s="2" t="s">
        <v>412</v>
      </c>
      <c r="Y199" s="2" t="s">
        <v>434</v>
      </c>
      <c r="Z199" s="2" t="s">
        <v>412</v>
      </c>
      <c r="AA199" s="2" t="s">
        <v>109</v>
      </c>
      <c r="AB199" s="2" t="s">
        <v>441</v>
      </c>
    </row>
    <row r="200" spans="1:28" hidden="1" x14ac:dyDescent="0.2">
      <c r="A200" s="2" t="s">
        <v>470</v>
      </c>
      <c r="B200" s="3">
        <v>44048</v>
      </c>
      <c r="C200" s="2" t="s">
        <v>1297</v>
      </c>
      <c r="D200" s="2" t="s">
        <v>102</v>
      </c>
      <c r="E200" s="2" t="s">
        <v>316</v>
      </c>
      <c r="F200" s="2" t="s">
        <v>326</v>
      </c>
      <c r="G200" s="2" t="s">
        <v>1336</v>
      </c>
      <c r="H200" s="2" t="s">
        <v>1337</v>
      </c>
      <c r="I200" s="2" t="s">
        <v>329</v>
      </c>
      <c r="J200" s="2" t="s">
        <v>58</v>
      </c>
      <c r="K200" s="2" t="s">
        <v>1300</v>
      </c>
      <c r="L200" s="2" t="s">
        <v>113</v>
      </c>
      <c r="M200" s="3">
        <v>44063</v>
      </c>
      <c r="N200" s="3">
        <v>44087</v>
      </c>
      <c r="O200" s="4">
        <v>108.19199999999999</v>
      </c>
      <c r="P200" s="2" t="s">
        <v>303</v>
      </c>
      <c r="Q200" s="2" t="s">
        <v>131</v>
      </c>
      <c r="R200" s="2" t="s">
        <v>313</v>
      </c>
      <c r="S200" s="2" t="s">
        <v>439</v>
      </c>
      <c r="T200" s="2" t="s">
        <v>117</v>
      </c>
      <c r="U200" s="2" t="s">
        <v>304</v>
      </c>
      <c r="V200" s="2" t="s">
        <v>118</v>
      </c>
      <c r="W200" s="2" t="s">
        <v>412</v>
      </c>
      <c r="X200" s="2" t="s">
        <v>412</v>
      </c>
      <c r="Y200" s="2" t="s">
        <v>1815</v>
      </c>
      <c r="Z200" s="2" t="s">
        <v>412</v>
      </c>
      <c r="AA200" s="2" t="s">
        <v>109</v>
      </c>
      <c r="AB200" s="2" t="s">
        <v>441</v>
      </c>
    </row>
    <row r="201" spans="1:28" hidden="1" x14ac:dyDescent="0.2">
      <c r="A201" s="2" t="s">
        <v>470</v>
      </c>
      <c r="B201" s="3">
        <v>44048</v>
      </c>
      <c r="C201" s="2" t="s">
        <v>1297</v>
      </c>
      <c r="D201" s="2" t="s">
        <v>102</v>
      </c>
      <c r="E201" s="2" t="s">
        <v>316</v>
      </c>
      <c r="F201" s="2" t="s">
        <v>326</v>
      </c>
      <c r="G201" s="2" t="s">
        <v>1339</v>
      </c>
      <c r="H201" s="2" t="s">
        <v>1340</v>
      </c>
      <c r="I201" s="2" t="s">
        <v>330</v>
      </c>
      <c r="J201" s="2" t="s">
        <v>58</v>
      </c>
      <c r="K201" s="2" t="s">
        <v>1300</v>
      </c>
      <c r="L201" s="2" t="s">
        <v>113</v>
      </c>
      <c r="M201" s="3">
        <v>44063</v>
      </c>
      <c r="N201" s="3">
        <v>44087</v>
      </c>
      <c r="O201" s="4">
        <v>52.192999999999998</v>
      </c>
      <c r="P201" s="2" t="s">
        <v>303</v>
      </c>
      <c r="Q201" s="2" t="s">
        <v>131</v>
      </c>
      <c r="R201" s="2" t="s">
        <v>313</v>
      </c>
      <c r="S201" s="2" t="s">
        <v>439</v>
      </c>
      <c r="T201" s="2" t="s">
        <v>117</v>
      </c>
      <c r="U201" s="2" t="s">
        <v>304</v>
      </c>
      <c r="V201" s="2" t="s">
        <v>118</v>
      </c>
      <c r="W201" s="2" t="s">
        <v>412</v>
      </c>
      <c r="X201" s="2" t="s">
        <v>412</v>
      </c>
      <c r="Y201" s="2" t="s">
        <v>434</v>
      </c>
      <c r="Z201" s="2" t="s">
        <v>412</v>
      </c>
      <c r="AA201" s="2" t="s">
        <v>109</v>
      </c>
      <c r="AB201" s="2" t="s">
        <v>441</v>
      </c>
    </row>
    <row r="202" spans="1:28" hidden="1" x14ac:dyDescent="0.2">
      <c r="A202" s="2" t="s">
        <v>470</v>
      </c>
      <c r="B202" s="3">
        <v>44048</v>
      </c>
      <c r="C202" s="2" t="s">
        <v>1297</v>
      </c>
      <c r="D202" s="2" t="s">
        <v>102</v>
      </c>
      <c r="E202" s="2" t="s">
        <v>322</v>
      </c>
      <c r="F202" s="2" t="s">
        <v>311</v>
      </c>
      <c r="G202" s="2" t="s">
        <v>1341</v>
      </c>
      <c r="H202" s="2" t="s">
        <v>1342</v>
      </c>
      <c r="I202" s="2" t="s">
        <v>323</v>
      </c>
      <c r="J202" s="2" t="s">
        <v>223</v>
      </c>
      <c r="K202" s="2" t="s">
        <v>1300</v>
      </c>
      <c r="L202" s="2" t="s">
        <v>113</v>
      </c>
      <c r="M202" s="3">
        <v>44063</v>
      </c>
      <c r="N202" s="3">
        <v>44087</v>
      </c>
      <c r="O202" s="4">
        <v>495.09800000000001</v>
      </c>
      <c r="P202" s="2" t="s">
        <v>303</v>
      </c>
      <c r="Q202" s="2" t="s">
        <v>131</v>
      </c>
      <c r="R202" s="2" t="s">
        <v>132</v>
      </c>
      <c r="S202" s="2" t="s">
        <v>439</v>
      </c>
      <c r="T202" s="2" t="s">
        <v>117</v>
      </c>
      <c r="U202" s="2" t="s">
        <v>304</v>
      </c>
      <c r="V202" s="2" t="s">
        <v>118</v>
      </c>
      <c r="W202" s="2" t="s">
        <v>412</v>
      </c>
      <c r="X202" s="2" t="s">
        <v>412</v>
      </c>
      <c r="Y202" s="2" t="s">
        <v>429</v>
      </c>
      <c r="Z202" s="2" t="s">
        <v>412</v>
      </c>
      <c r="AA202" s="2" t="s">
        <v>39</v>
      </c>
      <c r="AB202" s="2" t="s">
        <v>441</v>
      </c>
    </row>
    <row r="203" spans="1:28" hidden="1" x14ac:dyDescent="0.2">
      <c r="A203" s="2" t="s">
        <v>470</v>
      </c>
      <c r="B203" s="3">
        <v>44048</v>
      </c>
      <c r="C203" s="2" t="s">
        <v>1297</v>
      </c>
      <c r="D203" s="2" t="s">
        <v>102</v>
      </c>
      <c r="E203" s="2" t="s">
        <v>322</v>
      </c>
      <c r="F203" s="2" t="s">
        <v>311</v>
      </c>
      <c r="G203" s="2" t="s">
        <v>1343</v>
      </c>
      <c r="H203" s="2" t="s">
        <v>1344</v>
      </c>
      <c r="I203" s="2" t="s">
        <v>323</v>
      </c>
      <c r="J203" s="2" t="s">
        <v>223</v>
      </c>
      <c r="K203" s="2" t="s">
        <v>1300</v>
      </c>
      <c r="L203" s="2" t="s">
        <v>113</v>
      </c>
      <c r="M203" s="3">
        <v>44063</v>
      </c>
      <c r="N203" s="3">
        <v>44087</v>
      </c>
      <c r="O203" s="4">
        <v>197.964</v>
      </c>
      <c r="P203" s="2" t="s">
        <v>303</v>
      </c>
      <c r="Q203" s="2" t="s">
        <v>131</v>
      </c>
      <c r="R203" s="2" t="s">
        <v>132</v>
      </c>
      <c r="S203" s="2" t="s">
        <v>439</v>
      </c>
      <c r="T203" s="2" t="s">
        <v>117</v>
      </c>
      <c r="U203" s="2" t="s">
        <v>304</v>
      </c>
      <c r="V203" s="2" t="s">
        <v>118</v>
      </c>
      <c r="W203" s="2" t="s">
        <v>412</v>
      </c>
      <c r="X203" s="2" t="s">
        <v>412</v>
      </c>
      <c r="Y203" s="2" t="s">
        <v>421</v>
      </c>
      <c r="Z203" s="2" t="s">
        <v>412</v>
      </c>
      <c r="AA203" s="2" t="s">
        <v>39</v>
      </c>
      <c r="AB203" s="2" t="s">
        <v>441</v>
      </c>
    </row>
    <row r="204" spans="1:28" hidden="1" x14ac:dyDescent="0.2">
      <c r="A204" s="2" t="s">
        <v>470</v>
      </c>
      <c r="B204" s="3">
        <v>44048</v>
      </c>
      <c r="C204" s="2" t="s">
        <v>1297</v>
      </c>
      <c r="D204" s="2" t="s">
        <v>102</v>
      </c>
      <c r="E204" s="2" t="s">
        <v>310</v>
      </c>
      <c r="F204" s="2" t="s">
        <v>311</v>
      </c>
      <c r="G204" s="2" t="s">
        <v>1345</v>
      </c>
      <c r="H204" s="2" t="s">
        <v>1346</v>
      </c>
      <c r="I204" s="2" t="s">
        <v>528</v>
      </c>
      <c r="J204" s="2" t="s">
        <v>47</v>
      </c>
      <c r="K204" s="2" t="s">
        <v>1300</v>
      </c>
      <c r="L204" s="2" t="s">
        <v>113</v>
      </c>
      <c r="M204" s="3">
        <v>44063</v>
      </c>
      <c r="N204" s="3">
        <v>44087</v>
      </c>
      <c r="O204" s="4">
        <v>503</v>
      </c>
      <c r="P204" s="2" t="s">
        <v>303</v>
      </c>
      <c r="Q204" s="2" t="s">
        <v>131</v>
      </c>
      <c r="R204" s="2" t="s">
        <v>313</v>
      </c>
      <c r="S204" s="2" t="s">
        <v>439</v>
      </c>
      <c r="T204" s="2" t="s">
        <v>117</v>
      </c>
      <c r="U204" s="2" t="s">
        <v>290</v>
      </c>
      <c r="V204" s="2" t="s">
        <v>118</v>
      </c>
      <c r="W204" s="2" t="s">
        <v>412</v>
      </c>
      <c r="X204" s="2" t="s">
        <v>412</v>
      </c>
      <c r="Y204" s="2" t="s">
        <v>1347</v>
      </c>
      <c r="Z204" s="2" t="s">
        <v>412</v>
      </c>
      <c r="AA204" s="2" t="s">
        <v>109</v>
      </c>
      <c r="AB204" s="2" t="s">
        <v>441</v>
      </c>
    </row>
    <row r="205" spans="1:28" hidden="1" x14ac:dyDescent="0.2">
      <c r="A205" s="2" t="s">
        <v>470</v>
      </c>
      <c r="B205" s="3">
        <v>44048</v>
      </c>
      <c r="C205" s="2" t="s">
        <v>1297</v>
      </c>
      <c r="D205" s="2" t="s">
        <v>102</v>
      </c>
      <c r="E205" s="2" t="s">
        <v>310</v>
      </c>
      <c r="F205" s="2" t="s">
        <v>311</v>
      </c>
      <c r="G205" s="2" t="s">
        <v>1348</v>
      </c>
      <c r="H205" s="2" t="s">
        <v>1349</v>
      </c>
      <c r="I205" s="2" t="s">
        <v>312</v>
      </c>
      <c r="J205" s="2" t="s">
        <v>47</v>
      </c>
      <c r="K205" s="2" t="s">
        <v>1300</v>
      </c>
      <c r="L205" s="2" t="s">
        <v>113</v>
      </c>
      <c r="M205" s="3">
        <v>44063</v>
      </c>
      <c r="N205" s="3">
        <v>44087</v>
      </c>
      <c r="O205" s="4">
        <v>692</v>
      </c>
      <c r="P205" s="2" t="s">
        <v>303</v>
      </c>
      <c r="Q205" s="2" t="s">
        <v>131</v>
      </c>
      <c r="R205" s="2" t="s">
        <v>313</v>
      </c>
      <c r="S205" s="2" t="s">
        <v>439</v>
      </c>
      <c r="T205" s="2" t="s">
        <v>117</v>
      </c>
      <c r="U205" s="2" t="s">
        <v>290</v>
      </c>
      <c r="V205" s="2" t="s">
        <v>118</v>
      </c>
      <c r="W205" s="2" t="s">
        <v>412</v>
      </c>
      <c r="X205" s="2" t="s">
        <v>412</v>
      </c>
      <c r="Y205" s="2" t="s">
        <v>475</v>
      </c>
      <c r="Z205" s="2" t="s">
        <v>412</v>
      </c>
      <c r="AA205" s="2" t="s">
        <v>109</v>
      </c>
      <c r="AB205" s="2" t="s">
        <v>441</v>
      </c>
    </row>
    <row r="206" spans="1:28" hidden="1" x14ac:dyDescent="0.2">
      <c r="A206" s="2" t="s">
        <v>470</v>
      </c>
      <c r="B206" s="3">
        <v>44048</v>
      </c>
      <c r="C206" s="2" t="s">
        <v>1297</v>
      </c>
      <c r="D206" s="2" t="s">
        <v>102</v>
      </c>
      <c r="E206" s="2" t="s">
        <v>310</v>
      </c>
      <c r="F206" s="2" t="s">
        <v>311</v>
      </c>
      <c r="G206" s="2" t="s">
        <v>1350</v>
      </c>
      <c r="H206" s="2" t="s">
        <v>1351</v>
      </c>
      <c r="I206" s="2" t="s">
        <v>530</v>
      </c>
      <c r="J206" s="2" t="s">
        <v>47</v>
      </c>
      <c r="K206" s="2" t="s">
        <v>1300</v>
      </c>
      <c r="L206" s="2" t="s">
        <v>113</v>
      </c>
      <c r="M206" s="3">
        <v>44063</v>
      </c>
      <c r="N206" s="3">
        <v>44087</v>
      </c>
      <c r="O206" s="4">
        <v>194</v>
      </c>
      <c r="P206" s="2" t="s">
        <v>303</v>
      </c>
      <c r="Q206" s="2" t="s">
        <v>131</v>
      </c>
      <c r="R206" s="2" t="s">
        <v>313</v>
      </c>
      <c r="S206" s="2" t="s">
        <v>439</v>
      </c>
      <c r="T206" s="2" t="s">
        <v>117</v>
      </c>
      <c r="U206" s="2" t="s">
        <v>290</v>
      </c>
      <c r="V206" s="2" t="s">
        <v>118</v>
      </c>
      <c r="W206" s="2" t="s">
        <v>412</v>
      </c>
      <c r="X206" s="2" t="s">
        <v>412</v>
      </c>
      <c r="Y206" s="2" t="s">
        <v>462</v>
      </c>
      <c r="Z206" s="2" t="s">
        <v>412</v>
      </c>
      <c r="AA206" s="2" t="s">
        <v>109</v>
      </c>
      <c r="AB206" s="2" t="s">
        <v>441</v>
      </c>
    </row>
    <row r="207" spans="1:28" hidden="1" x14ac:dyDescent="0.2">
      <c r="A207" s="2" t="s">
        <v>470</v>
      </c>
      <c r="B207" s="3">
        <v>44048</v>
      </c>
      <c r="C207" s="2" t="s">
        <v>1297</v>
      </c>
      <c r="D207" s="2" t="s">
        <v>102</v>
      </c>
      <c r="E207" s="2" t="s">
        <v>333</v>
      </c>
      <c r="F207" s="2" t="s">
        <v>334</v>
      </c>
      <c r="G207" s="2" t="s">
        <v>1352</v>
      </c>
      <c r="H207" s="2" t="s">
        <v>1353</v>
      </c>
      <c r="I207" s="2" t="s">
        <v>335</v>
      </c>
      <c r="J207" s="2" t="s">
        <v>223</v>
      </c>
      <c r="K207" s="2" t="s">
        <v>1300</v>
      </c>
      <c r="L207" s="2" t="s">
        <v>113</v>
      </c>
      <c r="M207" s="3">
        <v>44063</v>
      </c>
      <c r="N207" s="3">
        <v>44093</v>
      </c>
      <c r="O207" s="4">
        <v>247.44900000000001</v>
      </c>
      <c r="P207" s="2" t="s">
        <v>303</v>
      </c>
      <c r="Q207" s="2" t="s">
        <v>182</v>
      </c>
      <c r="R207" s="2" t="s">
        <v>183</v>
      </c>
      <c r="S207" s="2" t="s">
        <v>439</v>
      </c>
      <c r="T207" s="2" t="s">
        <v>117</v>
      </c>
      <c r="U207" s="2" t="s">
        <v>304</v>
      </c>
      <c r="V207" s="2" t="s">
        <v>118</v>
      </c>
      <c r="W207" s="2" t="s">
        <v>412</v>
      </c>
      <c r="X207" s="2" t="s">
        <v>412</v>
      </c>
      <c r="Y207" s="2" t="s">
        <v>481</v>
      </c>
      <c r="Z207" s="2" t="s">
        <v>412</v>
      </c>
      <c r="AA207" s="2" t="s">
        <v>39</v>
      </c>
      <c r="AB207" s="2" t="s">
        <v>441</v>
      </c>
    </row>
    <row r="208" spans="1:28" hidden="1" x14ac:dyDescent="0.2">
      <c r="A208" s="2" t="s">
        <v>470</v>
      </c>
      <c r="B208" s="3">
        <v>44048</v>
      </c>
      <c r="C208" s="2" t="s">
        <v>1297</v>
      </c>
      <c r="D208" s="2" t="s">
        <v>102</v>
      </c>
      <c r="E208" s="2" t="s">
        <v>333</v>
      </c>
      <c r="F208" s="2" t="s">
        <v>334</v>
      </c>
      <c r="G208" s="2" t="s">
        <v>1354</v>
      </c>
      <c r="H208" s="2" t="s">
        <v>1355</v>
      </c>
      <c r="I208" s="2" t="s">
        <v>336</v>
      </c>
      <c r="J208" s="2" t="s">
        <v>223</v>
      </c>
      <c r="K208" s="2" t="s">
        <v>1300</v>
      </c>
      <c r="L208" s="2" t="s">
        <v>113</v>
      </c>
      <c r="M208" s="3">
        <v>44063</v>
      </c>
      <c r="N208" s="3">
        <v>44093</v>
      </c>
      <c r="O208" s="4">
        <v>493.68599999999998</v>
      </c>
      <c r="P208" s="2" t="s">
        <v>303</v>
      </c>
      <c r="Q208" s="2" t="s">
        <v>182</v>
      </c>
      <c r="R208" s="2" t="s">
        <v>183</v>
      </c>
      <c r="S208" s="2" t="s">
        <v>439</v>
      </c>
      <c r="T208" s="2" t="s">
        <v>117</v>
      </c>
      <c r="U208" s="2" t="s">
        <v>304</v>
      </c>
      <c r="V208" s="2" t="s">
        <v>118</v>
      </c>
      <c r="W208" s="2" t="s">
        <v>412</v>
      </c>
      <c r="X208" s="2" t="s">
        <v>412</v>
      </c>
      <c r="Y208" s="2" t="s">
        <v>429</v>
      </c>
      <c r="Z208" s="2" t="s">
        <v>412</v>
      </c>
      <c r="AA208" s="2" t="s">
        <v>39</v>
      </c>
      <c r="AB208" s="2" t="s">
        <v>441</v>
      </c>
    </row>
    <row r="209" spans="1:28" hidden="1" x14ac:dyDescent="0.2">
      <c r="A209" s="2" t="s">
        <v>470</v>
      </c>
      <c r="B209" s="3">
        <v>44048</v>
      </c>
      <c r="C209" s="2" t="s">
        <v>1297</v>
      </c>
      <c r="D209" s="2" t="s">
        <v>102</v>
      </c>
      <c r="E209" s="2" t="s">
        <v>333</v>
      </c>
      <c r="F209" s="2" t="s">
        <v>334</v>
      </c>
      <c r="G209" s="2" t="s">
        <v>1356</v>
      </c>
      <c r="H209" s="2" t="s">
        <v>1357</v>
      </c>
      <c r="I209" s="2" t="s">
        <v>336</v>
      </c>
      <c r="J209" s="2" t="s">
        <v>223</v>
      </c>
      <c r="K209" s="2" t="s">
        <v>1300</v>
      </c>
      <c r="L209" s="2" t="s">
        <v>113</v>
      </c>
      <c r="M209" s="3">
        <v>44063</v>
      </c>
      <c r="N209" s="3">
        <v>44093</v>
      </c>
      <c r="O209" s="4">
        <v>99.207999999999998</v>
      </c>
      <c r="P209" s="2" t="s">
        <v>303</v>
      </c>
      <c r="Q209" s="2" t="s">
        <v>182</v>
      </c>
      <c r="R209" s="2" t="s">
        <v>183</v>
      </c>
      <c r="S209" s="2" t="s">
        <v>439</v>
      </c>
      <c r="T209" s="2" t="s">
        <v>117</v>
      </c>
      <c r="U209" s="2" t="s">
        <v>304</v>
      </c>
      <c r="V209" s="2" t="s">
        <v>118</v>
      </c>
      <c r="W209" s="2" t="s">
        <v>412</v>
      </c>
      <c r="X209" s="2" t="s">
        <v>412</v>
      </c>
      <c r="Y209" s="2" t="s">
        <v>437</v>
      </c>
      <c r="Z209" s="2" t="s">
        <v>412</v>
      </c>
      <c r="AA209" s="2" t="s">
        <v>39</v>
      </c>
      <c r="AB209" s="2" t="s">
        <v>441</v>
      </c>
    </row>
    <row r="210" spans="1:28" hidden="1" x14ac:dyDescent="0.2">
      <c r="A210" s="2" t="s">
        <v>470</v>
      </c>
      <c r="B210" s="3">
        <v>44048</v>
      </c>
      <c r="C210" s="2" t="s">
        <v>1297</v>
      </c>
      <c r="D210" s="2" t="s">
        <v>102</v>
      </c>
      <c r="E210" s="2" t="s">
        <v>333</v>
      </c>
      <c r="F210" s="2" t="s">
        <v>334</v>
      </c>
      <c r="G210" s="2" t="s">
        <v>1358</v>
      </c>
      <c r="H210" s="2" t="s">
        <v>1359</v>
      </c>
      <c r="I210" s="2" t="s">
        <v>1360</v>
      </c>
      <c r="J210" s="2" t="s">
        <v>223</v>
      </c>
      <c r="K210" s="2" t="s">
        <v>1300</v>
      </c>
      <c r="L210" s="2" t="s">
        <v>113</v>
      </c>
      <c r="M210" s="3">
        <v>44063</v>
      </c>
      <c r="N210" s="3">
        <v>44093</v>
      </c>
      <c r="O210" s="4">
        <v>49.414000000000001</v>
      </c>
      <c r="P210" s="2" t="s">
        <v>303</v>
      </c>
      <c r="Q210" s="2" t="s">
        <v>182</v>
      </c>
      <c r="R210" s="2" t="s">
        <v>183</v>
      </c>
      <c r="S210" s="2" t="s">
        <v>439</v>
      </c>
      <c r="T210" s="2" t="s">
        <v>117</v>
      </c>
      <c r="U210" s="2" t="s">
        <v>304</v>
      </c>
      <c r="V210" s="2" t="s">
        <v>118</v>
      </c>
      <c r="W210" s="2" t="s">
        <v>412</v>
      </c>
      <c r="X210" s="2" t="s">
        <v>412</v>
      </c>
      <c r="Y210" s="2" t="s">
        <v>457</v>
      </c>
      <c r="Z210" s="2" t="s">
        <v>412</v>
      </c>
      <c r="AA210" s="2" t="s">
        <v>39</v>
      </c>
      <c r="AB210" s="2" t="s">
        <v>441</v>
      </c>
    </row>
    <row r="211" spans="1:28" hidden="1" x14ac:dyDescent="0.2">
      <c r="A211" s="2" t="s">
        <v>470</v>
      </c>
      <c r="B211" s="3">
        <v>44073</v>
      </c>
      <c r="C211" s="2" t="s">
        <v>1297</v>
      </c>
      <c r="D211" s="2" t="s">
        <v>28</v>
      </c>
      <c r="E211" s="2" t="s">
        <v>162</v>
      </c>
      <c r="F211" s="2" t="s">
        <v>1361</v>
      </c>
      <c r="G211" s="2" t="s">
        <v>1362</v>
      </c>
      <c r="H211" s="2" t="s">
        <v>1363</v>
      </c>
      <c r="I211" s="2" t="s">
        <v>112</v>
      </c>
      <c r="J211" s="2" t="s">
        <v>32</v>
      </c>
      <c r="K211" s="2" t="s">
        <v>1300</v>
      </c>
      <c r="L211" s="2" t="s">
        <v>113</v>
      </c>
      <c r="M211" s="3">
        <v>44063</v>
      </c>
      <c r="N211" s="3">
        <v>44090</v>
      </c>
      <c r="O211" s="4">
        <v>500</v>
      </c>
      <c r="P211" s="2" t="s">
        <v>303</v>
      </c>
      <c r="Q211" s="2" t="s">
        <v>85</v>
      </c>
      <c r="R211" s="2" t="s">
        <v>86</v>
      </c>
      <c r="S211" s="2" t="s">
        <v>439</v>
      </c>
      <c r="T211" s="2" t="s">
        <v>117</v>
      </c>
      <c r="U211" s="2" t="s">
        <v>290</v>
      </c>
      <c r="V211" s="2" t="s">
        <v>118</v>
      </c>
      <c r="W211" s="2" t="s">
        <v>412</v>
      </c>
      <c r="X211" s="2" t="s">
        <v>412</v>
      </c>
      <c r="Y211" s="2" t="s">
        <v>476</v>
      </c>
      <c r="Z211" s="2" t="s">
        <v>412</v>
      </c>
      <c r="AA211" s="2" t="s">
        <v>39</v>
      </c>
      <c r="AB211" s="2" t="s">
        <v>441</v>
      </c>
    </row>
    <row r="212" spans="1:28" hidden="1" x14ac:dyDescent="0.2">
      <c r="A212" s="2" t="s">
        <v>470</v>
      </c>
      <c r="B212" s="3">
        <v>44058</v>
      </c>
      <c r="C212" s="2" t="s">
        <v>1297</v>
      </c>
      <c r="D212" s="2" t="s">
        <v>54</v>
      </c>
      <c r="E212" s="2" t="s">
        <v>212</v>
      </c>
      <c r="F212" s="2" t="s">
        <v>213</v>
      </c>
      <c r="G212" s="2" t="s">
        <v>1364</v>
      </c>
      <c r="H212" s="2" t="s">
        <v>1365</v>
      </c>
      <c r="I212" s="2" t="s">
        <v>337</v>
      </c>
      <c r="J212" s="2" t="s">
        <v>58</v>
      </c>
      <c r="K212" s="2" t="s">
        <v>1300</v>
      </c>
      <c r="L212" s="2" t="s">
        <v>113</v>
      </c>
      <c r="M212" s="3">
        <v>44063</v>
      </c>
      <c r="N212" s="3">
        <v>44108</v>
      </c>
      <c r="O212" s="4">
        <v>150</v>
      </c>
      <c r="P212" s="2" t="s">
        <v>303</v>
      </c>
      <c r="Q212" s="2" t="s">
        <v>115</v>
      </c>
      <c r="R212" s="2" t="s">
        <v>338</v>
      </c>
      <c r="S212" s="2" t="s">
        <v>439</v>
      </c>
      <c r="T212" s="2" t="s">
        <v>117</v>
      </c>
      <c r="U212" s="2" t="s">
        <v>290</v>
      </c>
      <c r="V212" s="2" t="s">
        <v>118</v>
      </c>
      <c r="W212" s="2" t="s">
        <v>412</v>
      </c>
      <c r="X212" s="2" t="s">
        <v>412</v>
      </c>
      <c r="Y212" s="2" t="s">
        <v>1319</v>
      </c>
      <c r="Z212" s="2" t="s">
        <v>412</v>
      </c>
      <c r="AA212" s="2" t="s">
        <v>39</v>
      </c>
      <c r="AB212" s="2" t="s">
        <v>441</v>
      </c>
    </row>
    <row r="213" spans="1:28" hidden="1" x14ac:dyDescent="0.2">
      <c r="A213" s="2" t="s">
        <v>470</v>
      </c>
      <c r="B213" s="3">
        <v>44048</v>
      </c>
      <c r="C213" s="2" t="s">
        <v>1297</v>
      </c>
      <c r="D213" s="2" t="s">
        <v>102</v>
      </c>
      <c r="E213" s="2" t="s">
        <v>195</v>
      </c>
      <c r="F213" s="2" t="s">
        <v>355</v>
      </c>
      <c r="G213" s="2" t="s">
        <v>1366</v>
      </c>
      <c r="H213" s="2" t="s">
        <v>1367</v>
      </c>
      <c r="I213" s="2" t="s">
        <v>112</v>
      </c>
      <c r="J213" s="2" t="s">
        <v>32</v>
      </c>
      <c r="K213" s="2" t="s">
        <v>1300</v>
      </c>
      <c r="L213" s="2" t="s">
        <v>113</v>
      </c>
      <c r="M213" s="3">
        <v>44063</v>
      </c>
      <c r="N213" s="3">
        <v>44087</v>
      </c>
      <c r="O213" s="4">
        <v>247.26499999999999</v>
      </c>
      <c r="P213" s="2" t="s">
        <v>303</v>
      </c>
      <c r="Q213" s="2" t="s">
        <v>131</v>
      </c>
      <c r="R213" s="2" t="s">
        <v>185</v>
      </c>
      <c r="S213" s="2" t="s">
        <v>439</v>
      </c>
      <c r="T213" s="2" t="s">
        <v>117</v>
      </c>
      <c r="U213" s="2" t="s">
        <v>304</v>
      </c>
      <c r="V213" s="2" t="s">
        <v>118</v>
      </c>
      <c r="W213" s="2" t="s">
        <v>412</v>
      </c>
      <c r="X213" s="2" t="s">
        <v>412</v>
      </c>
      <c r="Y213" s="2" t="s">
        <v>481</v>
      </c>
      <c r="Z213" s="2" t="s">
        <v>412</v>
      </c>
      <c r="AA213" s="2" t="s">
        <v>39</v>
      </c>
      <c r="AB213" s="2" t="s">
        <v>441</v>
      </c>
    </row>
    <row r="214" spans="1:28" hidden="1" x14ac:dyDescent="0.2">
      <c r="A214" s="2" t="s">
        <v>470</v>
      </c>
      <c r="B214" s="3">
        <v>44048</v>
      </c>
      <c r="C214" s="2" t="s">
        <v>1297</v>
      </c>
      <c r="D214" s="2" t="s">
        <v>44</v>
      </c>
      <c r="E214" s="2" t="s">
        <v>341</v>
      </c>
      <c r="F214" s="2" t="s">
        <v>342</v>
      </c>
      <c r="G214" s="2" t="s">
        <v>1368</v>
      </c>
      <c r="H214" s="2" t="s">
        <v>1369</v>
      </c>
      <c r="I214" s="2" t="s">
        <v>343</v>
      </c>
      <c r="J214" s="2" t="s">
        <v>58</v>
      </c>
      <c r="K214" s="2" t="s">
        <v>1300</v>
      </c>
      <c r="L214" s="2" t="s">
        <v>113</v>
      </c>
      <c r="M214" s="3">
        <v>44063</v>
      </c>
      <c r="N214" s="3">
        <v>44087</v>
      </c>
      <c r="O214" s="4">
        <v>200</v>
      </c>
      <c r="P214" s="2" t="s">
        <v>303</v>
      </c>
      <c r="Q214" s="2" t="s">
        <v>131</v>
      </c>
      <c r="R214" s="2" t="s">
        <v>185</v>
      </c>
      <c r="S214" s="2" t="s">
        <v>439</v>
      </c>
      <c r="T214" s="2" t="s">
        <v>117</v>
      </c>
      <c r="U214" s="2" t="s">
        <v>290</v>
      </c>
      <c r="V214" s="2" t="s">
        <v>118</v>
      </c>
      <c r="W214" s="2" t="s">
        <v>412</v>
      </c>
      <c r="X214" s="2" t="s">
        <v>412</v>
      </c>
      <c r="Y214" s="2" t="s">
        <v>531</v>
      </c>
      <c r="Z214" s="2" t="s">
        <v>412</v>
      </c>
      <c r="AA214" s="2" t="s">
        <v>39</v>
      </c>
      <c r="AB214" s="2" t="s">
        <v>441</v>
      </c>
    </row>
    <row r="215" spans="1:28" hidden="1" x14ac:dyDescent="0.2">
      <c r="A215" s="2" t="s">
        <v>470</v>
      </c>
      <c r="B215" s="3">
        <v>44048</v>
      </c>
      <c r="C215" s="2" t="s">
        <v>1297</v>
      </c>
      <c r="D215" s="2" t="s">
        <v>44</v>
      </c>
      <c r="E215" s="2" t="s">
        <v>341</v>
      </c>
      <c r="F215" s="2" t="s">
        <v>342</v>
      </c>
      <c r="G215" s="2" t="s">
        <v>1370</v>
      </c>
      <c r="H215" s="2" t="s">
        <v>1371</v>
      </c>
      <c r="I215" s="2" t="s">
        <v>344</v>
      </c>
      <c r="J215" s="2" t="s">
        <v>58</v>
      </c>
      <c r="K215" s="2" t="s">
        <v>1300</v>
      </c>
      <c r="L215" s="2" t="s">
        <v>113</v>
      </c>
      <c r="M215" s="3">
        <v>44063</v>
      </c>
      <c r="N215" s="3">
        <v>44087</v>
      </c>
      <c r="O215" s="4">
        <v>250</v>
      </c>
      <c r="P215" s="2" t="s">
        <v>303</v>
      </c>
      <c r="Q215" s="2" t="s">
        <v>131</v>
      </c>
      <c r="R215" s="2" t="s">
        <v>185</v>
      </c>
      <c r="S215" s="2" t="s">
        <v>439</v>
      </c>
      <c r="T215" s="2" t="s">
        <v>117</v>
      </c>
      <c r="U215" s="2" t="s">
        <v>290</v>
      </c>
      <c r="V215" s="2" t="s">
        <v>118</v>
      </c>
      <c r="W215" s="2" t="s">
        <v>412</v>
      </c>
      <c r="X215" s="2" t="s">
        <v>412</v>
      </c>
      <c r="Y215" s="2" t="s">
        <v>1372</v>
      </c>
      <c r="Z215" s="2" t="s">
        <v>412</v>
      </c>
      <c r="AA215" s="2" t="s">
        <v>39</v>
      </c>
      <c r="AB215" s="2" t="s">
        <v>441</v>
      </c>
    </row>
    <row r="216" spans="1:28" hidden="1" x14ac:dyDescent="0.2">
      <c r="A216" s="2" t="s">
        <v>470</v>
      </c>
      <c r="B216" s="3">
        <v>44048</v>
      </c>
      <c r="C216" s="2" t="s">
        <v>1297</v>
      </c>
      <c r="D216" s="2" t="s">
        <v>44</v>
      </c>
      <c r="E216" s="2" t="s">
        <v>341</v>
      </c>
      <c r="F216" s="2" t="s">
        <v>342</v>
      </c>
      <c r="G216" s="2" t="s">
        <v>1373</v>
      </c>
      <c r="H216" s="2" t="s">
        <v>1374</v>
      </c>
      <c r="I216" s="2" t="s">
        <v>345</v>
      </c>
      <c r="J216" s="2" t="s">
        <v>223</v>
      </c>
      <c r="K216" s="2" t="s">
        <v>1300</v>
      </c>
      <c r="L216" s="2" t="s">
        <v>113</v>
      </c>
      <c r="M216" s="3">
        <v>44063</v>
      </c>
      <c r="N216" s="3">
        <v>44090</v>
      </c>
      <c r="O216" s="4">
        <v>74.275999999999996</v>
      </c>
      <c r="P216" s="2" t="s">
        <v>303</v>
      </c>
      <c r="Q216" s="2" t="s">
        <v>85</v>
      </c>
      <c r="R216" s="2" t="s">
        <v>194</v>
      </c>
      <c r="S216" s="2" t="s">
        <v>439</v>
      </c>
      <c r="T216" s="2" t="s">
        <v>117</v>
      </c>
      <c r="U216" s="2" t="s">
        <v>304</v>
      </c>
      <c r="V216" s="2" t="s">
        <v>118</v>
      </c>
      <c r="W216" s="2" t="s">
        <v>412</v>
      </c>
      <c r="X216" s="2" t="s">
        <v>412</v>
      </c>
      <c r="Y216" s="2" t="s">
        <v>471</v>
      </c>
      <c r="Z216" s="2" t="s">
        <v>412</v>
      </c>
      <c r="AA216" s="2" t="s">
        <v>39</v>
      </c>
      <c r="AB216" s="2" t="s">
        <v>441</v>
      </c>
    </row>
    <row r="217" spans="1:28" hidden="1" x14ac:dyDescent="0.2">
      <c r="A217" s="2" t="s">
        <v>470</v>
      </c>
      <c r="B217" s="3">
        <v>44058</v>
      </c>
      <c r="C217" s="2" t="s">
        <v>1297</v>
      </c>
      <c r="D217" s="2" t="s">
        <v>62</v>
      </c>
      <c r="E217" s="2" t="s">
        <v>212</v>
      </c>
      <c r="F217" s="2" t="s">
        <v>213</v>
      </c>
      <c r="G217" s="2" t="s">
        <v>1375</v>
      </c>
      <c r="H217" s="2" t="s">
        <v>1376</v>
      </c>
      <c r="I217" s="2" t="s">
        <v>337</v>
      </c>
      <c r="J217" s="2" t="s">
        <v>58</v>
      </c>
      <c r="K217" s="2" t="s">
        <v>1300</v>
      </c>
      <c r="L217" s="2" t="s">
        <v>113</v>
      </c>
      <c r="M217" s="3">
        <v>44063</v>
      </c>
      <c r="N217" s="3">
        <v>44108</v>
      </c>
      <c r="O217" s="4">
        <v>400</v>
      </c>
      <c r="P217" s="2" t="s">
        <v>303</v>
      </c>
      <c r="Q217" s="2" t="s">
        <v>115</v>
      </c>
      <c r="R217" s="2" t="s">
        <v>338</v>
      </c>
      <c r="S217" s="2" t="s">
        <v>439</v>
      </c>
      <c r="T217" s="2" t="s">
        <v>117</v>
      </c>
      <c r="U217" s="2" t="s">
        <v>290</v>
      </c>
      <c r="V217" s="2" t="s">
        <v>118</v>
      </c>
      <c r="W217" s="2" t="s">
        <v>412</v>
      </c>
      <c r="X217" s="2" t="s">
        <v>412</v>
      </c>
      <c r="Y217" s="2" t="s">
        <v>840</v>
      </c>
      <c r="Z217" s="2" t="s">
        <v>412</v>
      </c>
      <c r="AA217" s="2" t="s">
        <v>39</v>
      </c>
      <c r="AB217" s="2" t="s">
        <v>441</v>
      </c>
    </row>
    <row r="218" spans="1:28" hidden="1" x14ac:dyDescent="0.2">
      <c r="A218" s="2" t="s">
        <v>470</v>
      </c>
      <c r="B218" s="3">
        <v>44058</v>
      </c>
      <c r="C218" s="2" t="s">
        <v>1297</v>
      </c>
      <c r="D218" s="2" t="s">
        <v>62</v>
      </c>
      <c r="E218" s="2" t="s">
        <v>212</v>
      </c>
      <c r="F218" s="2" t="s">
        <v>213</v>
      </c>
      <c r="G218" s="2" t="s">
        <v>1377</v>
      </c>
      <c r="H218" s="2" t="s">
        <v>1378</v>
      </c>
      <c r="I218" s="2" t="s">
        <v>339</v>
      </c>
      <c r="J218" s="2" t="s">
        <v>58</v>
      </c>
      <c r="K218" s="2" t="s">
        <v>1300</v>
      </c>
      <c r="L218" s="2" t="s">
        <v>113</v>
      </c>
      <c r="M218" s="3">
        <v>44063</v>
      </c>
      <c r="N218" s="3">
        <v>44108</v>
      </c>
      <c r="O218" s="4">
        <v>61.195</v>
      </c>
      <c r="P218" s="2" t="s">
        <v>303</v>
      </c>
      <c r="Q218" s="2" t="s">
        <v>115</v>
      </c>
      <c r="R218" s="2" t="s">
        <v>338</v>
      </c>
      <c r="S218" s="2" t="s">
        <v>439</v>
      </c>
      <c r="T218" s="2" t="s">
        <v>117</v>
      </c>
      <c r="U218" s="2" t="s">
        <v>304</v>
      </c>
      <c r="V218" s="2" t="s">
        <v>118</v>
      </c>
      <c r="W218" s="2" t="s">
        <v>412</v>
      </c>
      <c r="X218" s="2" t="s">
        <v>412</v>
      </c>
      <c r="Y218" s="2" t="s">
        <v>432</v>
      </c>
      <c r="Z218" s="2" t="s">
        <v>412</v>
      </c>
      <c r="AA218" s="2" t="s">
        <v>39</v>
      </c>
      <c r="AB218" s="2" t="s">
        <v>441</v>
      </c>
    </row>
    <row r="219" spans="1:28" hidden="1" x14ac:dyDescent="0.2">
      <c r="A219" s="2" t="s">
        <v>470</v>
      </c>
      <c r="B219" s="3">
        <v>44058</v>
      </c>
      <c r="C219" s="2" t="s">
        <v>1297</v>
      </c>
      <c r="D219" s="2" t="s">
        <v>62</v>
      </c>
      <c r="E219" s="2" t="s">
        <v>212</v>
      </c>
      <c r="F219" s="2" t="s">
        <v>213</v>
      </c>
      <c r="G219" s="2" t="s">
        <v>1379</v>
      </c>
      <c r="H219" s="2" t="s">
        <v>1380</v>
      </c>
      <c r="I219" s="2" t="s">
        <v>340</v>
      </c>
      <c r="J219" s="2" t="s">
        <v>58</v>
      </c>
      <c r="K219" s="2" t="s">
        <v>1300</v>
      </c>
      <c r="L219" s="2" t="s">
        <v>113</v>
      </c>
      <c r="M219" s="3">
        <v>44063</v>
      </c>
      <c r="N219" s="3">
        <v>44108</v>
      </c>
      <c r="O219" s="4">
        <v>40</v>
      </c>
      <c r="P219" s="2" t="s">
        <v>303</v>
      </c>
      <c r="Q219" s="2" t="s">
        <v>115</v>
      </c>
      <c r="R219" s="2" t="s">
        <v>338</v>
      </c>
      <c r="S219" s="2" t="s">
        <v>439</v>
      </c>
      <c r="T219" s="2" t="s">
        <v>117</v>
      </c>
      <c r="U219" s="2" t="s">
        <v>290</v>
      </c>
      <c r="V219" s="2" t="s">
        <v>118</v>
      </c>
      <c r="W219" s="2" t="s">
        <v>412</v>
      </c>
      <c r="X219" s="2" t="s">
        <v>412</v>
      </c>
      <c r="Y219" s="2" t="s">
        <v>416</v>
      </c>
      <c r="Z219" s="2" t="s">
        <v>412</v>
      </c>
      <c r="AA219" s="2" t="s">
        <v>39</v>
      </c>
      <c r="AB219" s="2" t="s">
        <v>441</v>
      </c>
    </row>
    <row r="220" spans="1:28" hidden="1" x14ac:dyDescent="0.2">
      <c r="A220" s="2" t="s">
        <v>470</v>
      </c>
      <c r="B220" s="3">
        <v>44079</v>
      </c>
      <c r="C220" s="2" t="s">
        <v>1297</v>
      </c>
      <c r="D220" s="2" t="s">
        <v>152</v>
      </c>
      <c r="E220" s="2" t="s">
        <v>138</v>
      </c>
      <c r="F220" s="2" t="s">
        <v>265</v>
      </c>
      <c r="G220" s="2" t="s">
        <v>1381</v>
      </c>
      <c r="H220" s="2" t="s">
        <v>1382</v>
      </c>
      <c r="I220" s="2" t="s">
        <v>1383</v>
      </c>
      <c r="J220" s="2" t="s">
        <v>47</v>
      </c>
      <c r="K220" s="2" t="s">
        <v>1300</v>
      </c>
      <c r="L220" s="2" t="s">
        <v>113</v>
      </c>
      <c r="M220" s="3">
        <v>44063</v>
      </c>
      <c r="N220" s="3">
        <v>44101</v>
      </c>
      <c r="O220" s="4">
        <v>113.77200000000001</v>
      </c>
      <c r="P220" s="2" t="s">
        <v>303</v>
      </c>
      <c r="Q220" s="2" t="s">
        <v>206</v>
      </c>
      <c r="R220" s="2" t="s">
        <v>266</v>
      </c>
      <c r="S220" s="2" t="s">
        <v>439</v>
      </c>
      <c r="T220" s="2" t="s">
        <v>117</v>
      </c>
      <c r="U220" s="2" t="s">
        <v>290</v>
      </c>
      <c r="V220" s="2" t="s">
        <v>118</v>
      </c>
      <c r="W220" s="2" t="s">
        <v>412</v>
      </c>
      <c r="X220" s="2" t="s">
        <v>412</v>
      </c>
      <c r="Y220" s="2" t="s">
        <v>425</v>
      </c>
      <c r="Z220" s="2" t="s">
        <v>412</v>
      </c>
      <c r="AA220" s="2" t="s">
        <v>39</v>
      </c>
      <c r="AB220" s="2" t="s">
        <v>441</v>
      </c>
    </row>
    <row r="221" spans="1:28" hidden="1" x14ac:dyDescent="0.2">
      <c r="A221" s="2" t="s">
        <v>470</v>
      </c>
      <c r="B221" s="3">
        <v>44079</v>
      </c>
      <c r="C221" s="2" t="s">
        <v>1297</v>
      </c>
      <c r="D221" s="2" t="s">
        <v>152</v>
      </c>
      <c r="E221" s="2" t="s">
        <v>138</v>
      </c>
      <c r="F221" s="2" t="s">
        <v>265</v>
      </c>
      <c r="G221" s="2" t="s">
        <v>1384</v>
      </c>
      <c r="H221" s="2" t="s">
        <v>1385</v>
      </c>
      <c r="I221" s="2" t="s">
        <v>533</v>
      </c>
      <c r="J221" s="2" t="s">
        <v>47</v>
      </c>
      <c r="K221" s="2" t="s">
        <v>1300</v>
      </c>
      <c r="L221" s="2" t="s">
        <v>113</v>
      </c>
      <c r="M221" s="3">
        <v>44063</v>
      </c>
      <c r="N221" s="3">
        <v>44101</v>
      </c>
      <c r="O221" s="4">
        <v>199.12200000000001</v>
      </c>
      <c r="P221" s="2" t="s">
        <v>303</v>
      </c>
      <c r="Q221" s="2" t="s">
        <v>206</v>
      </c>
      <c r="R221" s="2" t="s">
        <v>266</v>
      </c>
      <c r="S221" s="2" t="s">
        <v>439</v>
      </c>
      <c r="T221" s="2" t="s">
        <v>117</v>
      </c>
      <c r="U221" s="2" t="s">
        <v>290</v>
      </c>
      <c r="V221" s="2" t="s">
        <v>118</v>
      </c>
      <c r="W221" s="2" t="s">
        <v>412</v>
      </c>
      <c r="X221" s="2" t="s">
        <v>412</v>
      </c>
      <c r="Y221" s="2" t="s">
        <v>435</v>
      </c>
      <c r="Z221" s="2" t="s">
        <v>412</v>
      </c>
      <c r="AA221" s="2" t="s">
        <v>39</v>
      </c>
      <c r="AB221" s="2" t="s">
        <v>441</v>
      </c>
    </row>
    <row r="222" spans="1:28" hidden="1" x14ac:dyDescent="0.2">
      <c r="A222" s="2" t="s">
        <v>470</v>
      </c>
      <c r="B222" s="3">
        <v>44048</v>
      </c>
      <c r="C222" s="2" t="s">
        <v>1297</v>
      </c>
      <c r="D222" s="2" t="s">
        <v>152</v>
      </c>
      <c r="E222" s="2" t="s">
        <v>138</v>
      </c>
      <c r="F222" s="2" t="s">
        <v>265</v>
      </c>
      <c r="G222" s="2" t="s">
        <v>1386</v>
      </c>
      <c r="H222" s="2" t="s">
        <v>1387</v>
      </c>
      <c r="I222" s="2" t="s">
        <v>1388</v>
      </c>
      <c r="J222" s="2" t="s">
        <v>47</v>
      </c>
      <c r="K222" s="2" t="s">
        <v>1300</v>
      </c>
      <c r="L222" s="2" t="s">
        <v>113</v>
      </c>
      <c r="M222" s="3">
        <v>44063</v>
      </c>
      <c r="N222" s="3">
        <v>44101</v>
      </c>
      <c r="O222" s="4">
        <v>50.77</v>
      </c>
      <c r="P222" s="2" t="s">
        <v>303</v>
      </c>
      <c r="Q222" s="2" t="s">
        <v>206</v>
      </c>
      <c r="R222" s="2" t="s">
        <v>266</v>
      </c>
      <c r="S222" s="2" t="s">
        <v>439</v>
      </c>
      <c r="T222" s="2" t="s">
        <v>117</v>
      </c>
      <c r="U222" s="2" t="s">
        <v>304</v>
      </c>
      <c r="V222" s="2" t="s">
        <v>118</v>
      </c>
      <c r="W222" s="2" t="s">
        <v>412</v>
      </c>
      <c r="X222" s="2" t="s">
        <v>412</v>
      </c>
      <c r="Y222" s="2" t="s">
        <v>415</v>
      </c>
      <c r="Z222" s="2" t="s">
        <v>412</v>
      </c>
      <c r="AA222" s="2" t="s">
        <v>39</v>
      </c>
      <c r="AB222" s="2" t="s">
        <v>441</v>
      </c>
    </row>
    <row r="223" spans="1:28" hidden="1" x14ac:dyDescent="0.2">
      <c r="A223" s="2" t="s">
        <v>431</v>
      </c>
      <c r="B223" s="3">
        <v>44073</v>
      </c>
      <c r="C223" s="2" t="s">
        <v>1389</v>
      </c>
      <c r="D223" s="2" t="s">
        <v>28</v>
      </c>
      <c r="E223" s="2" t="s">
        <v>29</v>
      </c>
      <c r="F223" s="2" t="s">
        <v>397</v>
      </c>
      <c r="G223" s="2" t="s">
        <v>1390</v>
      </c>
      <c r="H223" s="2" t="s">
        <v>1391</v>
      </c>
      <c r="I223" s="2" t="s">
        <v>31</v>
      </c>
      <c r="J223" s="2" t="s">
        <v>32</v>
      </c>
      <c r="K223" s="2" t="s">
        <v>1199</v>
      </c>
      <c r="L223" s="2" t="s">
        <v>740</v>
      </c>
      <c r="M223" s="3">
        <v>44071</v>
      </c>
      <c r="N223" s="3">
        <v>44087</v>
      </c>
      <c r="O223" s="4">
        <v>501.904</v>
      </c>
      <c r="P223" s="2" t="s">
        <v>33</v>
      </c>
      <c r="Q223" s="2" t="s">
        <v>153</v>
      </c>
      <c r="R223" s="2" t="s">
        <v>154</v>
      </c>
      <c r="S223" s="2" t="s">
        <v>477</v>
      </c>
      <c r="T223" s="2" t="s">
        <v>362</v>
      </c>
      <c r="U223" s="2" t="s">
        <v>290</v>
      </c>
      <c r="V223" s="2" t="s">
        <v>155</v>
      </c>
      <c r="W223" s="2" t="s">
        <v>1392</v>
      </c>
      <c r="X223" s="2" t="s">
        <v>412</v>
      </c>
      <c r="Y223" s="2" t="s">
        <v>448</v>
      </c>
      <c r="Z223" s="2" t="s">
        <v>412</v>
      </c>
      <c r="AA223" s="2" t="s">
        <v>39</v>
      </c>
      <c r="AB223" s="2" t="s">
        <v>414</v>
      </c>
    </row>
    <row r="224" spans="1:28" x14ac:dyDescent="0.2">
      <c r="A224" s="2" t="s">
        <v>427</v>
      </c>
      <c r="B224" s="3">
        <v>44073</v>
      </c>
      <c r="C224" s="2" t="s">
        <v>1399</v>
      </c>
      <c r="D224" s="2" t="s">
        <v>74</v>
      </c>
      <c r="E224" s="2" t="s">
        <v>75</v>
      </c>
      <c r="F224" s="2" t="s">
        <v>966</v>
      </c>
      <c r="G224" s="2" t="s">
        <v>1400</v>
      </c>
      <c r="H224" s="2" t="s">
        <v>1401</v>
      </c>
      <c r="I224" s="2" t="s">
        <v>77</v>
      </c>
      <c r="J224" s="2" t="s">
        <v>32</v>
      </c>
      <c r="K224" s="2" t="s">
        <v>1693</v>
      </c>
      <c r="L224" s="2" t="s">
        <v>1403</v>
      </c>
      <c r="M224" s="3">
        <v>44064</v>
      </c>
      <c r="N224" s="3">
        <v>44124</v>
      </c>
      <c r="O224" s="4">
        <v>496.8</v>
      </c>
      <c r="P224" s="2" t="s">
        <v>48</v>
      </c>
      <c r="Q224" s="2" t="s">
        <v>149</v>
      </c>
      <c r="R224" s="2" t="s">
        <v>150</v>
      </c>
      <c r="S224" s="2" t="s">
        <v>428</v>
      </c>
      <c r="T224" s="2" t="s">
        <v>36</v>
      </c>
      <c r="U224" s="2" t="s">
        <v>1816</v>
      </c>
      <c r="V224" s="2" t="s">
        <v>73</v>
      </c>
      <c r="W224" s="2" t="s">
        <v>1404</v>
      </c>
      <c r="X224" s="2" t="s">
        <v>412</v>
      </c>
      <c r="Y224" s="2" t="s">
        <v>429</v>
      </c>
      <c r="Z224" s="2" t="s">
        <v>412</v>
      </c>
      <c r="AA224" s="2" t="s">
        <v>39</v>
      </c>
      <c r="AB224" s="2" t="s">
        <v>414</v>
      </c>
    </row>
    <row r="225" spans="1:28" x14ac:dyDescent="0.2">
      <c r="A225" s="2" t="s">
        <v>427</v>
      </c>
      <c r="B225" s="3">
        <v>44073</v>
      </c>
      <c r="C225" s="2" t="s">
        <v>1399</v>
      </c>
      <c r="D225" s="2" t="s">
        <v>74</v>
      </c>
      <c r="E225" s="2" t="s">
        <v>75</v>
      </c>
      <c r="F225" s="2" t="s">
        <v>966</v>
      </c>
      <c r="G225" s="2" t="s">
        <v>1405</v>
      </c>
      <c r="H225" s="2" t="s">
        <v>1406</v>
      </c>
      <c r="I225" s="2" t="s">
        <v>77</v>
      </c>
      <c r="J225" s="2" t="s">
        <v>32</v>
      </c>
      <c r="K225" s="2" t="s">
        <v>1693</v>
      </c>
      <c r="L225" s="2" t="s">
        <v>1403</v>
      </c>
      <c r="M225" s="3">
        <v>44064</v>
      </c>
      <c r="N225" s="3">
        <v>44124</v>
      </c>
      <c r="O225" s="4">
        <v>496.8</v>
      </c>
      <c r="P225" s="2" t="s">
        <v>48</v>
      </c>
      <c r="Q225" s="2" t="s">
        <v>149</v>
      </c>
      <c r="R225" s="2" t="s">
        <v>150</v>
      </c>
      <c r="S225" s="2" t="s">
        <v>428</v>
      </c>
      <c r="T225" s="2" t="s">
        <v>36</v>
      </c>
      <c r="U225" s="2" t="s">
        <v>1816</v>
      </c>
      <c r="V225" s="2" t="s">
        <v>73</v>
      </c>
      <c r="W225" s="2" t="s">
        <v>1407</v>
      </c>
      <c r="X225" s="2" t="s">
        <v>412</v>
      </c>
      <c r="Y225" s="2" t="s">
        <v>429</v>
      </c>
      <c r="Z225" s="2" t="s">
        <v>412</v>
      </c>
      <c r="AA225" s="2" t="s">
        <v>39</v>
      </c>
      <c r="AB225" s="2" t="s">
        <v>414</v>
      </c>
    </row>
    <row r="226" spans="1:28" hidden="1" x14ac:dyDescent="0.2">
      <c r="A226" s="2" t="s">
        <v>431</v>
      </c>
      <c r="B226" s="3">
        <v>44048</v>
      </c>
      <c r="C226" s="2" t="s">
        <v>1408</v>
      </c>
      <c r="D226" s="2" t="s">
        <v>62</v>
      </c>
      <c r="E226" s="2" t="s">
        <v>324</v>
      </c>
      <c r="F226" s="2" t="s">
        <v>325</v>
      </c>
      <c r="G226" s="2" t="s">
        <v>1409</v>
      </c>
      <c r="H226" s="2" t="s">
        <v>1410</v>
      </c>
      <c r="I226" s="2" t="s">
        <v>31</v>
      </c>
      <c r="J226" s="2" t="s">
        <v>32</v>
      </c>
      <c r="K226" s="2" t="s">
        <v>500</v>
      </c>
      <c r="L226" s="2" t="s">
        <v>1081</v>
      </c>
      <c r="M226" s="3">
        <v>44066</v>
      </c>
      <c r="N226" s="3">
        <v>44074</v>
      </c>
      <c r="O226" s="4">
        <v>501.904</v>
      </c>
      <c r="P226" s="2" t="s">
        <v>33</v>
      </c>
      <c r="Q226" s="2" t="s">
        <v>34</v>
      </c>
      <c r="R226" s="2" t="s">
        <v>35</v>
      </c>
      <c r="S226" s="2" t="s">
        <v>447</v>
      </c>
      <c r="T226" s="2" t="s">
        <v>140</v>
      </c>
      <c r="U226" s="2" t="s">
        <v>290</v>
      </c>
      <c r="V226" s="2" t="s">
        <v>38</v>
      </c>
      <c r="W226" s="2" t="s">
        <v>1411</v>
      </c>
      <c r="X226" s="2" t="s">
        <v>412</v>
      </c>
      <c r="Y226" s="2" t="s">
        <v>448</v>
      </c>
      <c r="Z226" s="2" t="s">
        <v>412</v>
      </c>
      <c r="AA226" s="2" t="s">
        <v>39</v>
      </c>
      <c r="AB226" s="2" t="s">
        <v>414</v>
      </c>
    </row>
    <row r="227" spans="1:28" x14ac:dyDescent="0.2">
      <c r="A227" s="2" t="s">
        <v>427</v>
      </c>
      <c r="B227" s="3">
        <v>44058</v>
      </c>
      <c r="C227" s="2" t="s">
        <v>1423</v>
      </c>
      <c r="D227" s="2" t="s">
        <v>28</v>
      </c>
      <c r="E227" s="2" t="s">
        <v>280</v>
      </c>
      <c r="F227" s="2" t="s">
        <v>352</v>
      </c>
      <c r="G227" s="2" t="s">
        <v>1424</v>
      </c>
      <c r="H227" s="2" t="s">
        <v>1425</v>
      </c>
      <c r="I227" s="2" t="s">
        <v>77</v>
      </c>
      <c r="J227" s="2" t="s">
        <v>32</v>
      </c>
      <c r="K227" s="2" t="s">
        <v>1426</v>
      </c>
      <c r="L227" s="2" t="s">
        <v>1269</v>
      </c>
      <c r="M227" s="3">
        <v>44065</v>
      </c>
      <c r="N227" s="3">
        <v>44097</v>
      </c>
      <c r="O227" s="4">
        <v>496.8</v>
      </c>
      <c r="P227" s="2" t="s">
        <v>48</v>
      </c>
      <c r="Q227" s="2" t="s">
        <v>353</v>
      </c>
      <c r="R227" s="2" t="s">
        <v>354</v>
      </c>
      <c r="S227" s="2" t="s">
        <v>428</v>
      </c>
      <c r="T227" s="2" t="s">
        <v>36</v>
      </c>
      <c r="U227" s="2" t="s">
        <v>1817</v>
      </c>
      <c r="V227" s="2" t="s">
        <v>43</v>
      </c>
      <c r="W227" s="2" t="s">
        <v>1427</v>
      </c>
      <c r="X227" s="2" t="s">
        <v>412</v>
      </c>
      <c r="Y227" s="2" t="s">
        <v>429</v>
      </c>
      <c r="Z227" s="2" t="s">
        <v>412</v>
      </c>
      <c r="AA227" s="2" t="s">
        <v>39</v>
      </c>
      <c r="AB227" s="2" t="s">
        <v>414</v>
      </c>
    </row>
    <row r="228" spans="1:28" x14ac:dyDescent="0.2">
      <c r="A228" s="2" t="s">
        <v>427</v>
      </c>
      <c r="B228" s="3">
        <v>44058</v>
      </c>
      <c r="C228" s="2" t="s">
        <v>1423</v>
      </c>
      <c r="D228" s="2" t="s">
        <v>28</v>
      </c>
      <c r="E228" s="2" t="s">
        <v>280</v>
      </c>
      <c r="F228" s="2" t="s">
        <v>352</v>
      </c>
      <c r="G228" s="2" t="s">
        <v>1428</v>
      </c>
      <c r="H228" s="2" t="s">
        <v>1429</v>
      </c>
      <c r="I228" s="2" t="s">
        <v>77</v>
      </c>
      <c r="J228" s="2" t="s">
        <v>32</v>
      </c>
      <c r="K228" s="2" t="s">
        <v>1426</v>
      </c>
      <c r="L228" s="2" t="s">
        <v>1269</v>
      </c>
      <c r="M228" s="3">
        <v>44065</v>
      </c>
      <c r="N228" s="3">
        <v>44097</v>
      </c>
      <c r="O228" s="4">
        <v>496.8</v>
      </c>
      <c r="P228" s="2" t="s">
        <v>48</v>
      </c>
      <c r="Q228" s="2" t="s">
        <v>353</v>
      </c>
      <c r="R228" s="2" t="s">
        <v>354</v>
      </c>
      <c r="S228" s="2" t="s">
        <v>428</v>
      </c>
      <c r="T228" s="2" t="s">
        <v>36</v>
      </c>
      <c r="U228" s="2" t="s">
        <v>1817</v>
      </c>
      <c r="V228" s="2" t="s">
        <v>43</v>
      </c>
      <c r="W228" s="2" t="s">
        <v>1430</v>
      </c>
      <c r="X228" s="2" t="s">
        <v>412</v>
      </c>
      <c r="Y228" s="2" t="s">
        <v>429</v>
      </c>
      <c r="Z228" s="2" t="s">
        <v>412</v>
      </c>
      <c r="AA228" s="2" t="s">
        <v>39</v>
      </c>
      <c r="AB228" s="2" t="s">
        <v>414</v>
      </c>
    </row>
    <row r="229" spans="1:28" x14ac:dyDescent="0.2">
      <c r="A229" s="2" t="s">
        <v>427</v>
      </c>
      <c r="B229" s="3">
        <v>44063</v>
      </c>
      <c r="C229" s="2" t="s">
        <v>1431</v>
      </c>
      <c r="D229" s="2" t="s">
        <v>62</v>
      </c>
      <c r="E229" s="2" t="s">
        <v>217</v>
      </c>
      <c r="F229" s="2" t="s">
        <v>218</v>
      </c>
      <c r="G229" s="2" t="s">
        <v>1432</v>
      </c>
      <c r="H229" s="2" t="s">
        <v>1433</v>
      </c>
      <c r="I229" s="2" t="s">
        <v>77</v>
      </c>
      <c r="J229" s="2" t="s">
        <v>32</v>
      </c>
      <c r="K229" s="2" t="s">
        <v>430</v>
      </c>
      <c r="L229" s="2" t="s">
        <v>1434</v>
      </c>
      <c r="M229" s="3">
        <v>44065</v>
      </c>
      <c r="N229" s="3">
        <v>44097</v>
      </c>
      <c r="O229" s="4">
        <v>496.8</v>
      </c>
      <c r="P229" s="2" t="s">
        <v>48</v>
      </c>
      <c r="Q229" s="2" t="s">
        <v>34</v>
      </c>
      <c r="R229" s="2" t="s">
        <v>35</v>
      </c>
      <c r="S229" s="2" t="s">
        <v>428</v>
      </c>
      <c r="T229" s="2" t="s">
        <v>36</v>
      </c>
      <c r="U229" s="2" t="s">
        <v>1817</v>
      </c>
      <c r="V229" s="2" t="s">
        <v>52</v>
      </c>
      <c r="W229" s="2" t="s">
        <v>1435</v>
      </c>
      <c r="X229" s="2" t="s">
        <v>412</v>
      </c>
      <c r="Y229" s="2" t="s">
        <v>429</v>
      </c>
      <c r="Z229" s="2" t="s">
        <v>412</v>
      </c>
      <c r="AA229" s="2" t="s">
        <v>39</v>
      </c>
      <c r="AB229" s="2" t="s">
        <v>414</v>
      </c>
    </row>
    <row r="230" spans="1:28" x14ac:dyDescent="0.2">
      <c r="A230" s="2" t="s">
        <v>427</v>
      </c>
      <c r="B230" s="3">
        <v>44063</v>
      </c>
      <c r="C230" s="2" t="s">
        <v>1431</v>
      </c>
      <c r="D230" s="2" t="s">
        <v>62</v>
      </c>
      <c r="E230" s="2" t="s">
        <v>217</v>
      </c>
      <c r="F230" s="2" t="s">
        <v>218</v>
      </c>
      <c r="G230" s="2" t="s">
        <v>1436</v>
      </c>
      <c r="H230" s="2" t="s">
        <v>1437</v>
      </c>
      <c r="I230" s="2" t="s">
        <v>77</v>
      </c>
      <c r="J230" s="2" t="s">
        <v>32</v>
      </c>
      <c r="K230" s="2" t="s">
        <v>430</v>
      </c>
      <c r="L230" s="2" t="s">
        <v>1434</v>
      </c>
      <c r="M230" s="3">
        <v>44065</v>
      </c>
      <c r="N230" s="3">
        <v>44097</v>
      </c>
      <c r="O230" s="4">
        <v>496.8</v>
      </c>
      <c r="P230" s="2" t="s">
        <v>48</v>
      </c>
      <c r="Q230" s="2" t="s">
        <v>34</v>
      </c>
      <c r="R230" s="2" t="s">
        <v>35</v>
      </c>
      <c r="S230" s="2" t="s">
        <v>428</v>
      </c>
      <c r="T230" s="2" t="s">
        <v>36</v>
      </c>
      <c r="U230" s="2" t="s">
        <v>1817</v>
      </c>
      <c r="V230" s="2" t="s">
        <v>52</v>
      </c>
      <c r="W230" s="2" t="s">
        <v>1438</v>
      </c>
      <c r="X230" s="2" t="s">
        <v>412</v>
      </c>
      <c r="Y230" s="2" t="s">
        <v>429</v>
      </c>
      <c r="Z230" s="2" t="s">
        <v>412</v>
      </c>
      <c r="AA230" s="2" t="s">
        <v>39</v>
      </c>
      <c r="AB230" s="2" t="s">
        <v>414</v>
      </c>
    </row>
    <row r="231" spans="1:28" x14ac:dyDescent="0.2">
      <c r="A231" s="2" t="s">
        <v>427</v>
      </c>
      <c r="B231" s="3">
        <v>44048</v>
      </c>
      <c r="C231" s="2" t="s">
        <v>1431</v>
      </c>
      <c r="D231" s="2" t="s">
        <v>44</v>
      </c>
      <c r="E231" s="2" t="s">
        <v>45</v>
      </c>
      <c r="F231" s="2" t="s">
        <v>299</v>
      </c>
      <c r="G231" s="2" t="s">
        <v>1439</v>
      </c>
      <c r="H231" s="2" t="s">
        <v>1440</v>
      </c>
      <c r="I231" s="2" t="s">
        <v>567</v>
      </c>
      <c r="J231" s="2" t="s">
        <v>58</v>
      </c>
      <c r="K231" s="2" t="s">
        <v>430</v>
      </c>
      <c r="L231" s="2" t="s">
        <v>1434</v>
      </c>
      <c r="M231" s="3">
        <v>44065</v>
      </c>
      <c r="N231" s="3">
        <v>44096</v>
      </c>
      <c r="O231" s="4">
        <v>80.72</v>
      </c>
      <c r="P231" s="2" t="s">
        <v>48</v>
      </c>
      <c r="Q231" s="2" t="s">
        <v>85</v>
      </c>
      <c r="R231" s="2" t="s">
        <v>301</v>
      </c>
      <c r="S231" s="2" t="s">
        <v>419</v>
      </c>
      <c r="T231" s="2" t="s">
        <v>42</v>
      </c>
      <c r="U231" s="2" t="s">
        <v>1817</v>
      </c>
      <c r="V231" s="2" t="s">
        <v>52</v>
      </c>
      <c r="W231" s="2" t="s">
        <v>1441</v>
      </c>
      <c r="X231" s="2" t="s">
        <v>412</v>
      </c>
      <c r="Y231" s="2" t="s">
        <v>433</v>
      </c>
      <c r="Z231" s="2" t="s">
        <v>53</v>
      </c>
      <c r="AA231" s="2" t="s">
        <v>39</v>
      </c>
      <c r="AB231" s="2" t="s">
        <v>414</v>
      </c>
    </row>
    <row r="232" spans="1:28" x14ac:dyDescent="0.2">
      <c r="A232" s="2" t="s">
        <v>427</v>
      </c>
      <c r="B232" s="3">
        <v>44074</v>
      </c>
      <c r="C232" s="2" t="s">
        <v>1442</v>
      </c>
      <c r="D232" s="2" t="s">
        <v>91</v>
      </c>
      <c r="E232" s="2" t="s">
        <v>569</v>
      </c>
      <c r="F232" s="2" t="s">
        <v>570</v>
      </c>
      <c r="G232" s="2" t="s">
        <v>1443</v>
      </c>
      <c r="H232" s="2" t="s">
        <v>1444</v>
      </c>
      <c r="I232" s="2" t="s">
        <v>571</v>
      </c>
      <c r="J232" s="2" t="s">
        <v>58</v>
      </c>
      <c r="K232" s="2" t="s">
        <v>515</v>
      </c>
      <c r="L232" s="2" t="s">
        <v>753</v>
      </c>
      <c r="M232" s="3">
        <v>44065</v>
      </c>
      <c r="N232" s="3">
        <v>44079</v>
      </c>
      <c r="O232" s="4">
        <v>122.4</v>
      </c>
      <c r="P232" s="2" t="s">
        <v>48</v>
      </c>
      <c r="Q232" s="2" t="s">
        <v>131</v>
      </c>
      <c r="R232" s="2" t="s">
        <v>132</v>
      </c>
      <c r="S232" s="2" t="s">
        <v>415</v>
      </c>
      <c r="T232" s="2" t="s">
        <v>36</v>
      </c>
      <c r="U232" s="2" t="s">
        <v>1817</v>
      </c>
      <c r="V232" s="2" t="s">
        <v>155</v>
      </c>
      <c r="W232" s="2" t="s">
        <v>1445</v>
      </c>
      <c r="X232" s="2" t="s">
        <v>412</v>
      </c>
      <c r="Y232" s="2" t="s">
        <v>529</v>
      </c>
      <c r="Z232" s="2" t="s">
        <v>53</v>
      </c>
      <c r="AA232" s="2" t="s">
        <v>39</v>
      </c>
      <c r="AB232" s="2" t="s">
        <v>414</v>
      </c>
    </row>
    <row r="233" spans="1:28" x14ac:dyDescent="0.2">
      <c r="A233" s="2" t="s">
        <v>427</v>
      </c>
      <c r="B233" s="3">
        <v>44073</v>
      </c>
      <c r="C233" s="2" t="s">
        <v>1449</v>
      </c>
      <c r="D233" s="2" t="s">
        <v>91</v>
      </c>
      <c r="E233" s="2" t="s">
        <v>347</v>
      </c>
      <c r="F233" s="2" t="s">
        <v>348</v>
      </c>
      <c r="G233" s="2" t="s">
        <v>1450</v>
      </c>
      <c r="H233" s="2" t="s">
        <v>1451</v>
      </c>
      <c r="I233" s="2" t="s">
        <v>349</v>
      </c>
      <c r="J233" s="2" t="s">
        <v>58</v>
      </c>
      <c r="K233" s="2" t="s">
        <v>430</v>
      </c>
      <c r="L233" s="2" t="s">
        <v>1434</v>
      </c>
      <c r="M233" s="3">
        <v>44065</v>
      </c>
      <c r="N233" s="3">
        <v>44085</v>
      </c>
      <c r="O233" s="4">
        <v>102.124</v>
      </c>
      <c r="P233" s="2" t="s">
        <v>48</v>
      </c>
      <c r="Q233" s="2" t="s">
        <v>100</v>
      </c>
      <c r="R233" s="2" t="s">
        <v>101</v>
      </c>
      <c r="S233" s="2" t="s">
        <v>419</v>
      </c>
      <c r="T233" s="2" t="s">
        <v>72</v>
      </c>
      <c r="U233" s="2" t="s">
        <v>1817</v>
      </c>
      <c r="V233" s="2" t="s">
        <v>155</v>
      </c>
      <c r="W233" s="2" t="s">
        <v>1452</v>
      </c>
      <c r="X233" s="2" t="s">
        <v>412</v>
      </c>
      <c r="Y233" s="2" t="s">
        <v>454</v>
      </c>
      <c r="Z233" s="2" t="s">
        <v>1453</v>
      </c>
      <c r="AA233" s="2" t="s">
        <v>39</v>
      </c>
      <c r="AB233" s="2" t="s">
        <v>414</v>
      </c>
    </row>
    <row r="234" spans="1:28" x14ac:dyDescent="0.2">
      <c r="A234" s="2" t="s">
        <v>427</v>
      </c>
      <c r="B234" s="3">
        <v>44063</v>
      </c>
      <c r="C234" s="2" t="s">
        <v>1449</v>
      </c>
      <c r="D234" s="2" t="s">
        <v>102</v>
      </c>
      <c r="E234" s="2" t="s">
        <v>398</v>
      </c>
      <c r="F234" s="2" t="s">
        <v>399</v>
      </c>
      <c r="G234" s="2" t="s">
        <v>1454</v>
      </c>
      <c r="H234" s="2" t="s">
        <v>1455</v>
      </c>
      <c r="I234" s="2" t="s">
        <v>400</v>
      </c>
      <c r="J234" s="2" t="s">
        <v>58</v>
      </c>
      <c r="K234" s="2" t="s">
        <v>430</v>
      </c>
      <c r="L234" s="2" t="s">
        <v>1434</v>
      </c>
      <c r="M234" s="3">
        <v>44065</v>
      </c>
      <c r="N234" s="3">
        <v>44087</v>
      </c>
      <c r="O234" s="4">
        <v>76.88</v>
      </c>
      <c r="P234" s="2" t="s">
        <v>48</v>
      </c>
      <c r="Q234" s="2" t="s">
        <v>401</v>
      </c>
      <c r="R234" s="2" t="s">
        <v>402</v>
      </c>
      <c r="S234" s="2" t="s">
        <v>419</v>
      </c>
      <c r="T234" s="2" t="s">
        <v>140</v>
      </c>
      <c r="U234" s="2" t="s">
        <v>1817</v>
      </c>
      <c r="V234" s="2" t="s">
        <v>155</v>
      </c>
      <c r="W234" s="2" t="s">
        <v>1456</v>
      </c>
      <c r="X234" s="2" t="s">
        <v>412</v>
      </c>
      <c r="Y234" s="2" t="s">
        <v>433</v>
      </c>
      <c r="Z234" s="2" t="s">
        <v>1457</v>
      </c>
      <c r="AA234" s="2" t="s">
        <v>39</v>
      </c>
      <c r="AB234" s="2" t="s">
        <v>414</v>
      </c>
    </row>
    <row r="235" spans="1:28" hidden="1" x14ac:dyDescent="0.2">
      <c r="A235" s="2" t="s">
        <v>431</v>
      </c>
      <c r="B235" s="3">
        <v>44073</v>
      </c>
      <c r="C235" s="2" t="s">
        <v>1458</v>
      </c>
      <c r="D235" s="2" t="s">
        <v>91</v>
      </c>
      <c r="E235" s="2" t="s">
        <v>107</v>
      </c>
      <c r="F235" s="2" t="s">
        <v>537</v>
      </c>
      <c r="G235" s="2" t="s">
        <v>1459</v>
      </c>
      <c r="H235" s="2" t="s">
        <v>1460</v>
      </c>
      <c r="I235" s="2" t="s">
        <v>580</v>
      </c>
      <c r="J235" s="2" t="s">
        <v>58</v>
      </c>
      <c r="K235" s="2" t="s">
        <v>727</v>
      </c>
      <c r="L235" s="2" t="s">
        <v>1269</v>
      </c>
      <c r="M235" s="3">
        <v>44068</v>
      </c>
      <c r="N235" s="3">
        <v>44089</v>
      </c>
      <c r="O235" s="4">
        <v>104.985</v>
      </c>
      <c r="P235" s="2" t="s">
        <v>33</v>
      </c>
      <c r="Q235" s="2" t="s">
        <v>105</v>
      </c>
      <c r="R235" s="2" t="s">
        <v>106</v>
      </c>
      <c r="S235" s="2" t="s">
        <v>415</v>
      </c>
      <c r="T235" s="2" t="s">
        <v>42</v>
      </c>
      <c r="U235" s="2" t="s">
        <v>290</v>
      </c>
      <c r="V235" s="2" t="s">
        <v>43</v>
      </c>
      <c r="W235" s="2" t="s">
        <v>1461</v>
      </c>
      <c r="X235" s="2" t="s">
        <v>412</v>
      </c>
      <c r="Y235" s="2" t="s">
        <v>582</v>
      </c>
      <c r="Z235" s="2" t="s">
        <v>996</v>
      </c>
      <c r="AA235" s="2" t="s">
        <v>109</v>
      </c>
      <c r="AB235" s="2" t="s">
        <v>414</v>
      </c>
    </row>
    <row r="236" spans="1:28" hidden="1" x14ac:dyDescent="0.2">
      <c r="A236" s="2" t="s">
        <v>431</v>
      </c>
      <c r="B236" s="3">
        <v>44073</v>
      </c>
      <c r="C236" s="2" t="s">
        <v>1462</v>
      </c>
      <c r="D236" s="2" t="s">
        <v>74</v>
      </c>
      <c r="E236" s="2" t="s">
        <v>207</v>
      </c>
      <c r="F236" s="2" t="s">
        <v>208</v>
      </c>
      <c r="G236" s="2" t="s">
        <v>1463</v>
      </c>
      <c r="H236" s="2" t="s">
        <v>1464</v>
      </c>
      <c r="I236" s="2" t="s">
        <v>211</v>
      </c>
      <c r="J236" s="2" t="s">
        <v>58</v>
      </c>
      <c r="K236" s="2" t="s">
        <v>727</v>
      </c>
      <c r="L236" s="2" t="s">
        <v>1269</v>
      </c>
      <c r="M236" s="3">
        <v>44068</v>
      </c>
      <c r="N236" s="3">
        <v>44118</v>
      </c>
      <c r="O236" s="4">
        <v>51.326000000000001</v>
      </c>
      <c r="P236" s="2" t="s">
        <v>33</v>
      </c>
      <c r="Q236" s="2" t="s">
        <v>210</v>
      </c>
      <c r="R236" s="2" t="s">
        <v>364</v>
      </c>
      <c r="S236" s="2" t="s">
        <v>449</v>
      </c>
      <c r="T236" s="2" t="s">
        <v>72</v>
      </c>
      <c r="U236" s="2" t="s">
        <v>290</v>
      </c>
      <c r="V236" s="2" t="s">
        <v>65</v>
      </c>
      <c r="W236" s="2" t="s">
        <v>1465</v>
      </c>
      <c r="X236" s="2" t="s">
        <v>412</v>
      </c>
      <c r="Y236" s="2" t="s">
        <v>443</v>
      </c>
      <c r="Z236" s="2" t="s">
        <v>1466</v>
      </c>
      <c r="AA236" s="2" t="s">
        <v>39</v>
      </c>
      <c r="AB236" s="2" t="s">
        <v>414</v>
      </c>
    </row>
    <row r="237" spans="1:28" hidden="1" x14ac:dyDescent="0.2">
      <c r="A237" s="2" t="s">
        <v>431</v>
      </c>
      <c r="B237" s="3">
        <v>44073</v>
      </c>
      <c r="C237" s="2" t="s">
        <v>1462</v>
      </c>
      <c r="D237" s="2" t="s">
        <v>74</v>
      </c>
      <c r="E237" s="2" t="s">
        <v>207</v>
      </c>
      <c r="F237" s="2" t="s">
        <v>208</v>
      </c>
      <c r="G237" s="2" t="s">
        <v>1467</v>
      </c>
      <c r="H237" s="2" t="s">
        <v>1468</v>
      </c>
      <c r="I237" s="2" t="s">
        <v>1469</v>
      </c>
      <c r="J237" s="2" t="s">
        <v>58</v>
      </c>
      <c r="K237" s="2" t="s">
        <v>727</v>
      </c>
      <c r="L237" s="2" t="s">
        <v>1269</v>
      </c>
      <c r="M237" s="3">
        <v>44068</v>
      </c>
      <c r="N237" s="3">
        <v>44118</v>
      </c>
      <c r="O237" s="4">
        <v>51.34</v>
      </c>
      <c r="P237" s="2" t="s">
        <v>33</v>
      </c>
      <c r="Q237" s="2" t="s">
        <v>210</v>
      </c>
      <c r="R237" s="2" t="s">
        <v>364</v>
      </c>
      <c r="S237" s="2" t="s">
        <v>449</v>
      </c>
      <c r="T237" s="2" t="s">
        <v>72</v>
      </c>
      <c r="U237" s="2" t="s">
        <v>290</v>
      </c>
      <c r="V237" s="2" t="s">
        <v>65</v>
      </c>
      <c r="W237" s="2" t="s">
        <v>1470</v>
      </c>
      <c r="X237" s="2" t="s">
        <v>412</v>
      </c>
      <c r="Y237" s="2" t="s">
        <v>428</v>
      </c>
      <c r="Z237" s="2" t="s">
        <v>1471</v>
      </c>
      <c r="AA237" s="2" t="s">
        <v>39</v>
      </c>
      <c r="AB237" s="2" t="s">
        <v>414</v>
      </c>
    </row>
    <row r="238" spans="1:28" hidden="1" x14ac:dyDescent="0.2">
      <c r="A238" s="2" t="s">
        <v>431</v>
      </c>
      <c r="B238" s="3">
        <v>44048</v>
      </c>
      <c r="C238" s="2" t="s">
        <v>1472</v>
      </c>
      <c r="D238" s="2" t="s">
        <v>62</v>
      </c>
      <c r="E238" s="2" t="s">
        <v>324</v>
      </c>
      <c r="F238" s="2" t="s">
        <v>325</v>
      </c>
      <c r="G238" s="2" t="s">
        <v>1473</v>
      </c>
      <c r="H238" s="2" t="s">
        <v>1474</v>
      </c>
      <c r="I238" s="2" t="s">
        <v>31</v>
      </c>
      <c r="J238" s="2" t="s">
        <v>32</v>
      </c>
      <c r="K238" s="2" t="s">
        <v>494</v>
      </c>
      <c r="L238" s="2" t="s">
        <v>1152</v>
      </c>
      <c r="M238" s="3">
        <v>44069</v>
      </c>
      <c r="N238" s="3">
        <v>44085</v>
      </c>
      <c r="O238" s="4">
        <v>501.904</v>
      </c>
      <c r="P238" s="2" t="s">
        <v>33</v>
      </c>
      <c r="Q238" s="2" t="s">
        <v>34</v>
      </c>
      <c r="R238" s="2" t="s">
        <v>35</v>
      </c>
      <c r="S238" s="2" t="s">
        <v>447</v>
      </c>
      <c r="T238" s="2" t="s">
        <v>140</v>
      </c>
      <c r="U238" s="2" t="s">
        <v>290</v>
      </c>
      <c r="V238" s="2" t="s">
        <v>65</v>
      </c>
      <c r="W238" s="2" t="s">
        <v>1475</v>
      </c>
      <c r="X238" s="2" t="s">
        <v>412</v>
      </c>
      <c r="Y238" s="2" t="s">
        <v>448</v>
      </c>
      <c r="Z238" s="2" t="s">
        <v>412</v>
      </c>
      <c r="AA238" s="2" t="s">
        <v>39</v>
      </c>
      <c r="AB238" s="2" t="s">
        <v>414</v>
      </c>
    </row>
    <row r="239" spans="1:28" hidden="1" x14ac:dyDescent="0.2">
      <c r="A239" s="2" t="s">
        <v>431</v>
      </c>
      <c r="B239" s="3">
        <v>44060</v>
      </c>
      <c r="C239" s="2" t="s">
        <v>1472</v>
      </c>
      <c r="D239" s="2" t="s">
        <v>28</v>
      </c>
      <c r="E239" s="2" t="s">
        <v>40</v>
      </c>
      <c r="F239" s="2" t="s">
        <v>41</v>
      </c>
      <c r="G239" s="2" t="s">
        <v>1476</v>
      </c>
      <c r="H239" s="2" t="s">
        <v>1477</v>
      </c>
      <c r="I239" s="2" t="s">
        <v>31</v>
      </c>
      <c r="J239" s="2" t="s">
        <v>32</v>
      </c>
      <c r="K239" s="2" t="s">
        <v>494</v>
      </c>
      <c r="L239" s="2" t="s">
        <v>1152</v>
      </c>
      <c r="M239" s="3">
        <v>44069</v>
      </c>
      <c r="N239" s="3">
        <v>44085</v>
      </c>
      <c r="O239" s="4">
        <v>304.8</v>
      </c>
      <c r="P239" s="2" t="s">
        <v>33</v>
      </c>
      <c r="Q239" s="2" t="s">
        <v>34</v>
      </c>
      <c r="R239" s="2" t="s">
        <v>35</v>
      </c>
      <c r="S239" s="2" t="s">
        <v>417</v>
      </c>
      <c r="T239" s="2" t="s">
        <v>42</v>
      </c>
      <c r="U239" s="2" t="s">
        <v>290</v>
      </c>
      <c r="V239" s="2" t="s">
        <v>65</v>
      </c>
      <c r="W239" s="2" t="s">
        <v>1478</v>
      </c>
      <c r="X239" s="2" t="s">
        <v>412</v>
      </c>
      <c r="Y239" s="2" t="s">
        <v>458</v>
      </c>
      <c r="Z239" s="2" t="s">
        <v>412</v>
      </c>
      <c r="AA239" s="2" t="s">
        <v>39</v>
      </c>
      <c r="AB239" s="2" t="s">
        <v>414</v>
      </c>
    </row>
    <row r="240" spans="1:28" hidden="1" x14ac:dyDescent="0.2">
      <c r="A240" s="2" t="s">
        <v>431</v>
      </c>
      <c r="B240" s="3">
        <v>44068</v>
      </c>
      <c r="C240" s="2" t="s">
        <v>1472</v>
      </c>
      <c r="D240" s="2" t="s">
        <v>62</v>
      </c>
      <c r="E240" s="2" t="s">
        <v>217</v>
      </c>
      <c r="F240" s="2" t="s">
        <v>218</v>
      </c>
      <c r="G240" s="2" t="s">
        <v>1479</v>
      </c>
      <c r="H240" s="2" t="s">
        <v>1480</v>
      </c>
      <c r="I240" s="2" t="s">
        <v>31</v>
      </c>
      <c r="J240" s="2" t="s">
        <v>32</v>
      </c>
      <c r="K240" s="2" t="s">
        <v>494</v>
      </c>
      <c r="L240" s="2" t="s">
        <v>1152</v>
      </c>
      <c r="M240" s="3">
        <v>44069</v>
      </c>
      <c r="N240" s="3">
        <v>44085</v>
      </c>
      <c r="O240" s="4">
        <v>487.68</v>
      </c>
      <c r="P240" s="2" t="s">
        <v>33</v>
      </c>
      <c r="Q240" s="2" t="s">
        <v>34</v>
      </c>
      <c r="R240" s="2" t="s">
        <v>35</v>
      </c>
      <c r="S240" s="2" t="s">
        <v>428</v>
      </c>
      <c r="T240" s="2" t="s">
        <v>36</v>
      </c>
      <c r="U240" s="2" t="s">
        <v>290</v>
      </c>
      <c r="V240" s="2" t="s">
        <v>65</v>
      </c>
      <c r="W240" s="2" t="s">
        <v>1481</v>
      </c>
      <c r="X240" s="2" t="s">
        <v>412</v>
      </c>
      <c r="Y240" s="2" t="s">
        <v>429</v>
      </c>
      <c r="Z240" s="2" t="s">
        <v>412</v>
      </c>
      <c r="AA240" s="2" t="s">
        <v>39</v>
      </c>
      <c r="AB240" s="2" t="s">
        <v>414</v>
      </c>
    </row>
    <row r="241" spans="1:28" hidden="1" x14ac:dyDescent="0.2">
      <c r="A241" s="2" t="s">
        <v>431</v>
      </c>
      <c r="B241" s="3">
        <v>44074</v>
      </c>
      <c r="C241" s="2" t="s">
        <v>1482</v>
      </c>
      <c r="D241" s="2" t="s">
        <v>365</v>
      </c>
      <c r="E241" s="2" t="s">
        <v>366</v>
      </c>
      <c r="F241" s="2" t="s">
        <v>367</v>
      </c>
      <c r="G241" s="2" t="s">
        <v>1483</v>
      </c>
      <c r="H241" s="2" t="s">
        <v>1484</v>
      </c>
      <c r="I241" s="2" t="s">
        <v>520</v>
      </c>
      <c r="J241" s="2" t="s">
        <v>58</v>
      </c>
      <c r="K241" s="2" t="s">
        <v>247</v>
      </c>
      <c r="L241" s="2" t="s">
        <v>1485</v>
      </c>
      <c r="M241" s="3">
        <v>44066</v>
      </c>
      <c r="N241" s="3">
        <v>44083</v>
      </c>
      <c r="O241" s="4">
        <v>95.48</v>
      </c>
      <c r="P241" s="2" t="s">
        <v>33</v>
      </c>
      <c r="Q241" s="2" t="s">
        <v>59</v>
      </c>
      <c r="R241" s="2" t="s">
        <v>368</v>
      </c>
      <c r="S241" s="2" t="s">
        <v>419</v>
      </c>
      <c r="T241" s="2" t="s">
        <v>61</v>
      </c>
      <c r="U241" s="2" t="s">
        <v>290</v>
      </c>
      <c r="V241" s="2" t="s">
        <v>52</v>
      </c>
      <c r="W241" s="2" t="s">
        <v>1486</v>
      </c>
      <c r="X241" s="2" t="s">
        <v>412</v>
      </c>
      <c r="Y241" s="2" t="s">
        <v>433</v>
      </c>
      <c r="Z241" s="2" t="s">
        <v>1487</v>
      </c>
      <c r="AA241" s="2" t="s">
        <v>39</v>
      </c>
      <c r="AB241" s="2" t="s">
        <v>414</v>
      </c>
    </row>
    <row r="242" spans="1:28" hidden="1" x14ac:dyDescent="0.2">
      <c r="A242" s="2" t="s">
        <v>431</v>
      </c>
      <c r="B242" s="3">
        <v>44074</v>
      </c>
      <c r="C242" s="2" t="s">
        <v>1482</v>
      </c>
      <c r="D242" s="2" t="s">
        <v>54</v>
      </c>
      <c r="E242" s="2" t="s">
        <v>55</v>
      </c>
      <c r="F242" s="2" t="s">
        <v>56</v>
      </c>
      <c r="G242" s="2" t="s">
        <v>1488</v>
      </c>
      <c r="H242" s="2" t="s">
        <v>1489</v>
      </c>
      <c r="I242" s="2" t="s">
        <v>57</v>
      </c>
      <c r="J242" s="2" t="s">
        <v>58</v>
      </c>
      <c r="K242" s="2" t="s">
        <v>247</v>
      </c>
      <c r="L242" s="2" t="s">
        <v>1485</v>
      </c>
      <c r="M242" s="3">
        <v>44066</v>
      </c>
      <c r="N242" s="3">
        <v>44083</v>
      </c>
      <c r="O242" s="4">
        <v>186.8</v>
      </c>
      <c r="P242" s="2" t="s">
        <v>33</v>
      </c>
      <c r="Q242" s="2" t="s">
        <v>59</v>
      </c>
      <c r="R242" s="2" t="s">
        <v>60</v>
      </c>
      <c r="S242" s="2" t="s">
        <v>420</v>
      </c>
      <c r="T242" s="2" t="s">
        <v>61</v>
      </c>
      <c r="U242" s="2" t="s">
        <v>290</v>
      </c>
      <c r="V242" s="2" t="s">
        <v>52</v>
      </c>
      <c r="W242" s="2" t="s">
        <v>1490</v>
      </c>
      <c r="X242" s="2" t="s">
        <v>412</v>
      </c>
      <c r="Y242" s="2" t="s">
        <v>1491</v>
      </c>
      <c r="Z242" s="2" t="s">
        <v>1492</v>
      </c>
      <c r="AA242" s="2" t="s">
        <v>39</v>
      </c>
      <c r="AB242" s="2" t="s">
        <v>414</v>
      </c>
    </row>
    <row r="243" spans="1:28" x14ac:dyDescent="0.2">
      <c r="A243" s="2" t="s">
        <v>427</v>
      </c>
      <c r="B243" s="3">
        <v>44058</v>
      </c>
      <c r="C243" s="2" t="s">
        <v>1493</v>
      </c>
      <c r="D243" s="2" t="s">
        <v>66</v>
      </c>
      <c r="E243" s="2" t="s">
        <v>67</v>
      </c>
      <c r="F243" s="2" t="s">
        <v>68</v>
      </c>
      <c r="G243" s="2" t="s">
        <v>1494</v>
      </c>
      <c r="H243" s="2" t="s">
        <v>1495</v>
      </c>
      <c r="I243" s="2" t="s">
        <v>69</v>
      </c>
      <c r="J243" s="2" t="s">
        <v>58</v>
      </c>
      <c r="K243" s="2" t="s">
        <v>1496</v>
      </c>
      <c r="L243" s="2" t="s">
        <v>1497</v>
      </c>
      <c r="M243" s="3">
        <v>44066</v>
      </c>
      <c r="N243" s="3">
        <v>44113</v>
      </c>
      <c r="O243" s="4">
        <v>52</v>
      </c>
      <c r="P243" s="2" t="s">
        <v>48</v>
      </c>
      <c r="Q243" s="2" t="s">
        <v>70</v>
      </c>
      <c r="R243" s="2" t="s">
        <v>71</v>
      </c>
      <c r="S243" s="2" t="s">
        <v>449</v>
      </c>
      <c r="T243" s="2" t="s">
        <v>72</v>
      </c>
      <c r="U243" s="2" t="s">
        <v>1817</v>
      </c>
      <c r="V243" s="2" t="s">
        <v>73</v>
      </c>
      <c r="W243" s="2" t="s">
        <v>1498</v>
      </c>
      <c r="X243" s="2" t="s">
        <v>412</v>
      </c>
      <c r="Y243" s="2" t="s">
        <v>532</v>
      </c>
      <c r="Z243" s="2" t="s">
        <v>53</v>
      </c>
      <c r="AA243" s="2" t="s">
        <v>39</v>
      </c>
      <c r="AB243" s="2" t="s">
        <v>414</v>
      </c>
    </row>
    <row r="244" spans="1:28" x14ac:dyDescent="0.2">
      <c r="A244" s="2" t="s">
        <v>427</v>
      </c>
      <c r="B244" s="3">
        <v>44068</v>
      </c>
      <c r="C244" s="2" t="s">
        <v>1499</v>
      </c>
      <c r="D244" s="2" t="s">
        <v>91</v>
      </c>
      <c r="E244" s="2" t="s">
        <v>350</v>
      </c>
      <c r="F244" s="2" t="s">
        <v>351</v>
      </c>
      <c r="G244" s="2" t="s">
        <v>1500</v>
      </c>
      <c r="H244" s="2" t="s">
        <v>1501</v>
      </c>
      <c r="I244" s="2" t="s">
        <v>1502</v>
      </c>
      <c r="J244" s="2" t="s">
        <v>58</v>
      </c>
      <c r="K244" s="2" t="s">
        <v>1415</v>
      </c>
      <c r="L244" s="2" t="s">
        <v>1269</v>
      </c>
      <c r="M244" s="3">
        <v>44066</v>
      </c>
      <c r="N244" s="3">
        <v>44096</v>
      </c>
      <c r="O244" s="4">
        <v>50.74</v>
      </c>
      <c r="P244" s="2" t="s">
        <v>48</v>
      </c>
      <c r="Q244" s="2" t="s">
        <v>100</v>
      </c>
      <c r="R244" s="2" t="s">
        <v>101</v>
      </c>
      <c r="S244" s="2" t="s">
        <v>449</v>
      </c>
      <c r="T244" s="2" t="s">
        <v>72</v>
      </c>
      <c r="U244" s="2" t="s">
        <v>1817</v>
      </c>
      <c r="V244" s="2" t="s">
        <v>65</v>
      </c>
      <c r="W244" s="2" t="s">
        <v>1503</v>
      </c>
      <c r="X244" s="2" t="s">
        <v>412</v>
      </c>
      <c r="Y244" s="2" t="s">
        <v>428</v>
      </c>
      <c r="Z244" s="2" t="s">
        <v>53</v>
      </c>
      <c r="AA244" s="2" t="s">
        <v>39</v>
      </c>
      <c r="AB244" s="2" t="s">
        <v>414</v>
      </c>
    </row>
    <row r="245" spans="1:28" x14ac:dyDescent="0.2">
      <c r="A245" s="2" t="s">
        <v>427</v>
      </c>
      <c r="B245" s="3">
        <v>44068</v>
      </c>
      <c r="C245" s="2" t="s">
        <v>1499</v>
      </c>
      <c r="D245" s="2" t="s">
        <v>91</v>
      </c>
      <c r="E245" s="2" t="s">
        <v>350</v>
      </c>
      <c r="F245" s="2" t="s">
        <v>351</v>
      </c>
      <c r="G245" s="2" t="s">
        <v>1504</v>
      </c>
      <c r="H245" s="2" t="s">
        <v>1505</v>
      </c>
      <c r="I245" s="2" t="s">
        <v>1506</v>
      </c>
      <c r="J245" s="2" t="s">
        <v>58</v>
      </c>
      <c r="K245" s="2" t="s">
        <v>1415</v>
      </c>
      <c r="L245" s="2" t="s">
        <v>1269</v>
      </c>
      <c r="M245" s="3">
        <v>44066</v>
      </c>
      <c r="N245" s="3">
        <v>44096</v>
      </c>
      <c r="O245" s="4">
        <v>51.061999999999998</v>
      </c>
      <c r="P245" s="2" t="s">
        <v>48</v>
      </c>
      <c r="Q245" s="2" t="s">
        <v>100</v>
      </c>
      <c r="R245" s="2" t="s">
        <v>101</v>
      </c>
      <c r="S245" s="2" t="s">
        <v>449</v>
      </c>
      <c r="T245" s="2" t="s">
        <v>72</v>
      </c>
      <c r="U245" s="2" t="s">
        <v>1817</v>
      </c>
      <c r="V245" s="2" t="s">
        <v>65</v>
      </c>
      <c r="W245" s="2" t="s">
        <v>1507</v>
      </c>
      <c r="X245" s="2" t="s">
        <v>412</v>
      </c>
      <c r="Y245" s="2" t="s">
        <v>443</v>
      </c>
      <c r="Z245" s="2" t="s">
        <v>53</v>
      </c>
      <c r="AA245" s="2" t="s">
        <v>39</v>
      </c>
      <c r="AB245" s="2" t="s">
        <v>414</v>
      </c>
    </row>
    <row r="246" spans="1:28" x14ac:dyDescent="0.2">
      <c r="A246" s="2" t="s">
        <v>427</v>
      </c>
      <c r="B246" s="3">
        <v>44068</v>
      </c>
      <c r="C246" s="2" t="s">
        <v>1513</v>
      </c>
      <c r="D246" s="2" t="s">
        <v>62</v>
      </c>
      <c r="E246" s="2" t="s">
        <v>217</v>
      </c>
      <c r="F246" s="2" t="s">
        <v>218</v>
      </c>
      <c r="G246" s="2" t="s">
        <v>1514</v>
      </c>
      <c r="H246" s="2" t="s">
        <v>1515</v>
      </c>
      <c r="I246" s="2" t="s">
        <v>77</v>
      </c>
      <c r="J246" s="2" t="s">
        <v>32</v>
      </c>
      <c r="K246" s="2" t="s">
        <v>574</v>
      </c>
      <c r="L246" s="2" t="s">
        <v>1516</v>
      </c>
      <c r="M246" s="3">
        <v>44067</v>
      </c>
      <c r="N246" s="3">
        <v>44101</v>
      </c>
      <c r="O246" s="4">
        <v>496.8</v>
      </c>
      <c r="P246" s="2" t="s">
        <v>48</v>
      </c>
      <c r="Q246" s="2" t="s">
        <v>34</v>
      </c>
      <c r="R246" s="2" t="s">
        <v>35</v>
      </c>
      <c r="S246" s="2" t="s">
        <v>428</v>
      </c>
      <c r="T246" s="2" t="s">
        <v>36</v>
      </c>
      <c r="U246" s="2" t="s">
        <v>1817</v>
      </c>
      <c r="V246" s="2" t="s">
        <v>52</v>
      </c>
      <c r="W246" s="2" t="s">
        <v>1517</v>
      </c>
      <c r="X246" s="2" t="s">
        <v>412</v>
      </c>
      <c r="Y246" s="2" t="s">
        <v>429</v>
      </c>
      <c r="Z246" s="2" t="s">
        <v>412</v>
      </c>
      <c r="AA246" s="2" t="s">
        <v>39</v>
      </c>
      <c r="AB246" s="2" t="s">
        <v>414</v>
      </c>
    </row>
    <row r="247" spans="1:28" x14ac:dyDescent="0.2">
      <c r="A247" s="2" t="s">
        <v>427</v>
      </c>
      <c r="B247" s="3">
        <v>44068</v>
      </c>
      <c r="C247" s="2" t="s">
        <v>1196</v>
      </c>
      <c r="D247" s="2" t="s">
        <v>91</v>
      </c>
      <c r="E247" s="2" t="s">
        <v>258</v>
      </c>
      <c r="F247" s="2" t="s">
        <v>259</v>
      </c>
      <c r="G247" s="2" t="s">
        <v>1197</v>
      </c>
      <c r="H247" s="2" t="s">
        <v>1198</v>
      </c>
      <c r="I247" s="2" t="s">
        <v>77</v>
      </c>
      <c r="J247" s="2" t="s">
        <v>32</v>
      </c>
      <c r="K247" s="2" t="s">
        <v>1199</v>
      </c>
      <c r="L247" s="2" t="s">
        <v>740</v>
      </c>
      <c r="M247" s="3">
        <v>44068</v>
      </c>
      <c r="N247" s="3">
        <v>44092</v>
      </c>
      <c r="O247" s="4">
        <v>298.08</v>
      </c>
      <c r="P247" s="2" t="s">
        <v>48</v>
      </c>
      <c r="Q247" s="2" t="s">
        <v>134</v>
      </c>
      <c r="R247" s="2" t="s">
        <v>135</v>
      </c>
      <c r="S247" s="2" t="s">
        <v>425</v>
      </c>
      <c r="T247" s="2" t="s">
        <v>36</v>
      </c>
      <c r="U247" s="2" t="s">
        <v>1139</v>
      </c>
      <c r="V247" s="2" t="s">
        <v>155</v>
      </c>
      <c r="W247" s="2" t="s">
        <v>1200</v>
      </c>
      <c r="X247" s="2" t="s">
        <v>412</v>
      </c>
      <c r="Y247" s="2" t="s">
        <v>426</v>
      </c>
      <c r="Z247" s="2" t="s">
        <v>412</v>
      </c>
      <c r="AA247" s="2" t="s">
        <v>39</v>
      </c>
      <c r="AB247" s="2" t="s">
        <v>414</v>
      </c>
    </row>
    <row r="248" spans="1:28" x14ac:dyDescent="0.2">
      <c r="A248" s="2" t="s">
        <v>427</v>
      </c>
      <c r="B248" s="3">
        <v>44073</v>
      </c>
      <c r="C248" s="2" t="s">
        <v>1545</v>
      </c>
      <c r="D248" s="2" t="s">
        <v>91</v>
      </c>
      <c r="E248" s="2" t="s">
        <v>728</v>
      </c>
      <c r="F248" s="2" t="s">
        <v>729</v>
      </c>
      <c r="G248" s="2" t="s">
        <v>1546</v>
      </c>
      <c r="H248" s="2" t="s">
        <v>1547</v>
      </c>
      <c r="I248" s="2" t="s">
        <v>730</v>
      </c>
      <c r="J248" s="2" t="s">
        <v>58</v>
      </c>
      <c r="K248" s="2" t="s">
        <v>133</v>
      </c>
      <c r="L248" s="2" t="s">
        <v>954</v>
      </c>
      <c r="M248" s="3">
        <v>44068</v>
      </c>
      <c r="N248" s="3">
        <v>44117</v>
      </c>
      <c r="O248" s="4">
        <v>257.18</v>
      </c>
      <c r="P248" s="2" t="s">
        <v>48</v>
      </c>
      <c r="Q248" s="2" t="s">
        <v>731</v>
      </c>
      <c r="R248" s="2" t="s">
        <v>732</v>
      </c>
      <c r="S248" s="2" t="s">
        <v>416</v>
      </c>
      <c r="T248" s="2" t="s">
        <v>72</v>
      </c>
      <c r="U248" s="2" t="s">
        <v>1817</v>
      </c>
      <c r="V248" s="2" t="s">
        <v>65</v>
      </c>
      <c r="W248" s="2" t="s">
        <v>1548</v>
      </c>
      <c r="X248" s="2" t="s">
        <v>412</v>
      </c>
      <c r="Y248" s="2" t="s">
        <v>595</v>
      </c>
      <c r="Z248" s="2" t="s">
        <v>412</v>
      </c>
      <c r="AA248" s="2" t="s">
        <v>733</v>
      </c>
      <c r="AB248" s="2" t="s">
        <v>414</v>
      </c>
    </row>
    <row r="249" spans="1:28" x14ac:dyDescent="0.2">
      <c r="A249" s="2" t="s">
        <v>427</v>
      </c>
      <c r="B249" s="3">
        <v>44073</v>
      </c>
      <c r="C249" s="2" t="s">
        <v>1545</v>
      </c>
      <c r="D249" s="2" t="s">
        <v>91</v>
      </c>
      <c r="E249" s="2" t="s">
        <v>728</v>
      </c>
      <c r="F249" s="2" t="s">
        <v>729</v>
      </c>
      <c r="G249" s="2" t="s">
        <v>1549</v>
      </c>
      <c r="H249" s="2" t="s">
        <v>1550</v>
      </c>
      <c r="I249" s="2" t="s">
        <v>1551</v>
      </c>
      <c r="J249" s="2" t="s">
        <v>58</v>
      </c>
      <c r="K249" s="2" t="s">
        <v>133</v>
      </c>
      <c r="L249" s="2" t="s">
        <v>954</v>
      </c>
      <c r="M249" s="3">
        <v>44068</v>
      </c>
      <c r="N249" s="3">
        <v>44117</v>
      </c>
      <c r="O249" s="4">
        <v>152.22</v>
      </c>
      <c r="P249" s="2" t="s">
        <v>48</v>
      </c>
      <c r="Q249" s="2" t="s">
        <v>731</v>
      </c>
      <c r="R249" s="2" t="s">
        <v>732</v>
      </c>
      <c r="S249" s="2" t="s">
        <v>465</v>
      </c>
      <c r="T249" s="2" t="s">
        <v>72</v>
      </c>
      <c r="U249" s="2" t="s">
        <v>1817</v>
      </c>
      <c r="V249" s="2" t="s">
        <v>65</v>
      </c>
      <c r="W249" s="2" t="s">
        <v>1552</v>
      </c>
      <c r="X249" s="2" t="s">
        <v>412</v>
      </c>
      <c r="Y249" s="2" t="s">
        <v>529</v>
      </c>
      <c r="Z249" s="2" t="s">
        <v>412</v>
      </c>
      <c r="AA249" s="2" t="s">
        <v>733</v>
      </c>
      <c r="AB249" s="2" t="s">
        <v>414</v>
      </c>
    </row>
    <row r="250" spans="1:28" x14ac:dyDescent="0.2">
      <c r="A250" s="2" t="s">
        <v>427</v>
      </c>
      <c r="B250" s="3">
        <v>44058</v>
      </c>
      <c r="C250" s="2" t="s">
        <v>1209</v>
      </c>
      <c r="D250" s="2" t="s">
        <v>1210</v>
      </c>
      <c r="E250" s="2" t="s">
        <v>1211</v>
      </c>
      <c r="F250" s="2" t="s">
        <v>1212</v>
      </c>
      <c r="G250" s="2" t="s">
        <v>1213</v>
      </c>
      <c r="H250" s="2" t="s">
        <v>1214</v>
      </c>
      <c r="I250" s="2" t="s">
        <v>77</v>
      </c>
      <c r="J250" s="2" t="s">
        <v>32</v>
      </c>
      <c r="K250" s="2" t="s">
        <v>1199</v>
      </c>
      <c r="L250" s="2" t="s">
        <v>740</v>
      </c>
      <c r="M250" s="3">
        <v>44068</v>
      </c>
      <c r="N250" s="3">
        <v>44121</v>
      </c>
      <c r="O250" s="4">
        <v>103.232</v>
      </c>
      <c r="P250" s="2" t="s">
        <v>48</v>
      </c>
      <c r="Q250" s="2" t="s">
        <v>1215</v>
      </c>
      <c r="R250" s="2" t="s">
        <v>1216</v>
      </c>
      <c r="S250" s="2" t="s">
        <v>419</v>
      </c>
      <c r="T250" s="2" t="s">
        <v>72</v>
      </c>
      <c r="U250" s="2" t="s">
        <v>37</v>
      </c>
      <c r="V250" s="2" t="s">
        <v>65</v>
      </c>
      <c r="W250" s="2" t="s">
        <v>1217</v>
      </c>
      <c r="X250" s="2" t="s">
        <v>412</v>
      </c>
      <c r="Y250" s="2" t="s">
        <v>468</v>
      </c>
      <c r="Z250" s="2" t="s">
        <v>412</v>
      </c>
      <c r="AA250" s="2" t="s">
        <v>733</v>
      </c>
      <c r="AB250" s="2" t="s">
        <v>414</v>
      </c>
    </row>
    <row r="251" spans="1:28" hidden="1" x14ac:dyDescent="0.2">
      <c r="A251" s="2" t="s">
        <v>431</v>
      </c>
      <c r="B251" s="3">
        <v>44073</v>
      </c>
      <c r="C251" s="2" t="s">
        <v>1553</v>
      </c>
      <c r="D251" s="2" t="s">
        <v>28</v>
      </c>
      <c r="E251" s="2" t="s">
        <v>129</v>
      </c>
      <c r="F251" s="2" t="s">
        <v>358</v>
      </c>
      <c r="G251" s="2" t="s">
        <v>1554</v>
      </c>
      <c r="H251" s="2" t="s">
        <v>1555</v>
      </c>
      <c r="I251" s="2" t="s">
        <v>359</v>
      </c>
      <c r="J251" s="2" t="s">
        <v>58</v>
      </c>
      <c r="K251" s="2" t="s">
        <v>1556</v>
      </c>
      <c r="L251" s="2" t="s">
        <v>1557</v>
      </c>
      <c r="M251" s="3">
        <v>44070</v>
      </c>
      <c r="N251" s="3">
        <v>44098</v>
      </c>
      <c r="O251" s="4">
        <v>153.714</v>
      </c>
      <c r="P251" s="2" t="s">
        <v>33</v>
      </c>
      <c r="Q251" s="2" t="s">
        <v>263</v>
      </c>
      <c r="R251" s="2" t="s">
        <v>360</v>
      </c>
      <c r="S251" s="2" t="s">
        <v>465</v>
      </c>
      <c r="T251" s="2" t="s">
        <v>72</v>
      </c>
      <c r="U251" s="2" t="s">
        <v>290</v>
      </c>
      <c r="V251" s="2" t="s">
        <v>88</v>
      </c>
      <c r="W251" s="2" t="s">
        <v>1558</v>
      </c>
      <c r="X251" s="2" t="s">
        <v>412</v>
      </c>
      <c r="Y251" s="2" t="s">
        <v>475</v>
      </c>
      <c r="Z251" s="2" t="s">
        <v>1559</v>
      </c>
      <c r="AA251" s="2" t="s">
        <v>39</v>
      </c>
      <c r="AB251" s="2" t="s">
        <v>414</v>
      </c>
    </row>
    <row r="252" spans="1:28" hidden="1" x14ac:dyDescent="0.2">
      <c r="A252" s="2" t="s">
        <v>431</v>
      </c>
      <c r="B252" s="3">
        <v>44073</v>
      </c>
      <c r="C252" s="2" t="s">
        <v>1553</v>
      </c>
      <c r="D252" s="2" t="s">
        <v>28</v>
      </c>
      <c r="E252" s="2" t="s">
        <v>129</v>
      </c>
      <c r="F252" s="2" t="s">
        <v>358</v>
      </c>
      <c r="G252" s="2" t="s">
        <v>1560</v>
      </c>
      <c r="H252" s="2" t="s">
        <v>1561</v>
      </c>
      <c r="I252" s="2" t="s">
        <v>361</v>
      </c>
      <c r="J252" s="2" t="s">
        <v>58</v>
      </c>
      <c r="K252" s="2" t="s">
        <v>1556</v>
      </c>
      <c r="L252" s="2" t="s">
        <v>1557</v>
      </c>
      <c r="M252" s="3">
        <v>44070</v>
      </c>
      <c r="N252" s="3">
        <v>44098</v>
      </c>
      <c r="O252" s="4">
        <v>104.72</v>
      </c>
      <c r="P252" s="2" t="s">
        <v>33</v>
      </c>
      <c r="Q252" s="2" t="s">
        <v>263</v>
      </c>
      <c r="R252" s="2" t="s">
        <v>360</v>
      </c>
      <c r="S252" s="2" t="s">
        <v>419</v>
      </c>
      <c r="T252" s="2" t="s">
        <v>362</v>
      </c>
      <c r="U252" s="2" t="s">
        <v>290</v>
      </c>
      <c r="V252" s="2" t="s">
        <v>88</v>
      </c>
      <c r="W252" s="2" t="s">
        <v>1562</v>
      </c>
      <c r="X252" s="2" t="s">
        <v>412</v>
      </c>
      <c r="Y252" s="2" t="s">
        <v>454</v>
      </c>
      <c r="Z252" s="2" t="s">
        <v>1559</v>
      </c>
      <c r="AA252" s="2" t="s">
        <v>39</v>
      </c>
      <c r="AB252" s="2" t="s">
        <v>414</v>
      </c>
    </row>
    <row r="253" spans="1:28" hidden="1" x14ac:dyDescent="0.2">
      <c r="A253" s="2" t="s">
        <v>431</v>
      </c>
      <c r="B253" s="3">
        <v>44073</v>
      </c>
      <c r="C253" s="2" t="s">
        <v>1553</v>
      </c>
      <c r="D253" s="2" t="s">
        <v>66</v>
      </c>
      <c r="E253" s="2" t="s">
        <v>261</v>
      </c>
      <c r="F253" s="2" t="s">
        <v>262</v>
      </c>
      <c r="G253" s="2" t="s">
        <v>1563</v>
      </c>
      <c r="H253" s="2" t="s">
        <v>1564</v>
      </c>
      <c r="I253" s="2" t="s">
        <v>520</v>
      </c>
      <c r="J253" s="2" t="s">
        <v>58</v>
      </c>
      <c r="K253" s="2" t="s">
        <v>1556</v>
      </c>
      <c r="L253" s="2" t="s">
        <v>1557</v>
      </c>
      <c r="M253" s="3">
        <v>44070</v>
      </c>
      <c r="N253" s="3">
        <v>44098</v>
      </c>
      <c r="O253" s="4">
        <v>52.514000000000003</v>
      </c>
      <c r="P253" s="2" t="s">
        <v>33</v>
      </c>
      <c r="Q253" s="2" t="s">
        <v>263</v>
      </c>
      <c r="R253" s="2" t="s">
        <v>264</v>
      </c>
      <c r="S253" s="2" t="s">
        <v>449</v>
      </c>
      <c r="T253" s="2" t="s">
        <v>362</v>
      </c>
      <c r="U253" s="2" t="s">
        <v>290</v>
      </c>
      <c r="V253" s="2" t="s">
        <v>88</v>
      </c>
      <c r="W253" s="2" t="s">
        <v>1565</v>
      </c>
      <c r="X253" s="2" t="s">
        <v>412</v>
      </c>
      <c r="Y253" s="2" t="s">
        <v>443</v>
      </c>
      <c r="Z253" s="2" t="s">
        <v>1566</v>
      </c>
      <c r="AA253" s="2" t="s">
        <v>39</v>
      </c>
      <c r="AB253" s="2" t="s">
        <v>414</v>
      </c>
    </row>
    <row r="254" spans="1:28" hidden="1" x14ac:dyDescent="0.2">
      <c r="A254" s="2" t="s">
        <v>431</v>
      </c>
      <c r="B254" s="3">
        <v>44073</v>
      </c>
      <c r="C254" s="2" t="s">
        <v>1553</v>
      </c>
      <c r="D254" s="2" t="s">
        <v>66</v>
      </c>
      <c r="E254" s="2" t="s">
        <v>261</v>
      </c>
      <c r="F254" s="2" t="s">
        <v>262</v>
      </c>
      <c r="G254" s="2" t="s">
        <v>1818</v>
      </c>
      <c r="H254" s="2" t="s">
        <v>1819</v>
      </c>
      <c r="I254" s="2" t="s">
        <v>1820</v>
      </c>
      <c r="J254" s="2" t="s">
        <v>58</v>
      </c>
      <c r="K254" s="2" t="s">
        <v>1556</v>
      </c>
      <c r="L254" s="2" t="s">
        <v>1557</v>
      </c>
      <c r="M254" s="3">
        <v>44070</v>
      </c>
      <c r="N254" s="3">
        <v>44098</v>
      </c>
      <c r="O254" s="4">
        <v>51.436</v>
      </c>
      <c r="P254" s="2" t="s">
        <v>33</v>
      </c>
      <c r="Q254" s="2" t="s">
        <v>263</v>
      </c>
      <c r="R254" s="2" t="s">
        <v>264</v>
      </c>
      <c r="S254" s="2" t="s">
        <v>449</v>
      </c>
      <c r="T254" s="2" t="s">
        <v>72</v>
      </c>
      <c r="U254" s="2" t="s">
        <v>290</v>
      </c>
      <c r="V254" s="2" t="s">
        <v>88</v>
      </c>
      <c r="W254" s="2" t="s">
        <v>1821</v>
      </c>
      <c r="X254" s="2" t="s">
        <v>412</v>
      </c>
      <c r="Y254" s="2" t="s">
        <v>443</v>
      </c>
      <c r="Z254" s="2" t="s">
        <v>1822</v>
      </c>
      <c r="AA254" s="2" t="s">
        <v>39</v>
      </c>
      <c r="AB254" s="2" t="s">
        <v>414</v>
      </c>
    </row>
    <row r="255" spans="1:28" hidden="1" x14ac:dyDescent="0.2">
      <c r="A255" s="2" t="s">
        <v>470</v>
      </c>
      <c r="B255" s="3">
        <v>44073</v>
      </c>
      <c r="C255" s="2" t="s">
        <v>1567</v>
      </c>
      <c r="D255" s="2" t="s">
        <v>137</v>
      </c>
      <c r="E255" s="2" t="s">
        <v>138</v>
      </c>
      <c r="F255" s="2" t="s">
        <v>139</v>
      </c>
      <c r="G255" s="2" t="s">
        <v>1568</v>
      </c>
      <c r="H255" s="2" t="s">
        <v>1569</v>
      </c>
      <c r="I255" s="2" t="s">
        <v>846</v>
      </c>
      <c r="J255" s="2" t="s">
        <v>32</v>
      </c>
      <c r="K255" s="2" t="s">
        <v>409</v>
      </c>
      <c r="L255" s="2" t="s">
        <v>1570</v>
      </c>
      <c r="M255" s="3">
        <v>44069</v>
      </c>
      <c r="N255" s="3">
        <v>44100</v>
      </c>
      <c r="O255" s="4">
        <v>489.25</v>
      </c>
      <c r="P255" s="2" t="s">
        <v>224</v>
      </c>
      <c r="Q255" s="2" t="s">
        <v>34</v>
      </c>
      <c r="R255" s="2" t="s">
        <v>35</v>
      </c>
      <c r="S255" s="2" t="s">
        <v>432</v>
      </c>
      <c r="T255" s="2" t="s">
        <v>87</v>
      </c>
      <c r="U255" s="2" t="s">
        <v>290</v>
      </c>
      <c r="V255" s="2" t="s">
        <v>88</v>
      </c>
      <c r="W255" s="2" t="s">
        <v>1571</v>
      </c>
      <c r="X255" s="2" t="s">
        <v>412</v>
      </c>
      <c r="Y255" s="2" t="s">
        <v>478</v>
      </c>
      <c r="Z255" s="2" t="s">
        <v>412</v>
      </c>
      <c r="AA255" s="2" t="s">
        <v>39</v>
      </c>
      <c r="AB255" s="2" t="s">
        <v>414</v>
      </c>
    </row>
    <row r="256" spans="1:28" hidden="1" x14ac:dyDescent="0.2">
      <c r="A256" s="2" t="s">
        <v>470</v>
      </c>
      <c r="B256" s="3">
        <v>44073</v>
      </c>
      <c r="C256" s="2" t="s">
        <v>1567</v>
      </c>
      <c r="D256" s="2" t="s">
        <v>137</v>
      </c>
      <c r="E256" s="2" t="s">
        <v>138</v>
      </c>
      <c r="F256" s="2" t="s">
        <v>139</v>
      </c>
      <c r="G256" s="2" t="s">
        <v>1572</v>
      </c>
      <c r="H256" s="2" t="s">
        <v>1573</v>
      </c>
      <c r="I256" s="2" t="s">
        <v>846</v>
      </c>
      <c r="J256" s="2" t="s">
        <v>32</v>
      </c>
      <c r="K256" s="2" t="s">
        <v>409</v>
      </c>
      <c r="L256" s="2" t="s">
        <v>1570</v>
      </c>
      <c r="M256" s="3">
        <v>44069</v>
      </c>
      <c r="N256" s="3">
        <v>44100</v>
      </c>
      <c r="O256" s="4">
        <v>508.82</v>
      </c>
      <c r="P256" s="2" t="s">
        <v>224</v>
      </c>
      <c r="Q256" s="2" t="s">
        <v>34</v>
      </c>
      <c r="R256" s="2" t="s">
        <v>35</v>
      </c>
      <c r="S256" s="2" t="s">
        <v>447</v>
      </c>
      <c r="T256" s="2" t="s">
        <v>87</v>
      </c>
      <c r="U256" s="2" t="s">
        <v>290</v>
      </c>
      <c r="V256" s="2" t="s">
        <v>88</v>
      </c>
      <c r="W256" s="2" t="s">
        <v>1574</v>
      </c>
      <c r="X256" s="2" t="s">
        <v>412</v>
      </c>
      <c r="Y256" s="2" t="s">
        <v>448</v>
      </c>
      <c r="Z256" s="2" t="s">
        <v>412</v>
      </c>
      <c r="AA256" s="2" t="s">
        <v>39</v>
      </c>
      <c r="AB256" s="2" t="s">
        <v>414</v>
      </c>
    </row>
    <row r="257" spans="1:28" hidden="1" x14ac:dyDescent="0.2">
      <c r="A257" s="2" t="s">
        <v>470</v>
      </c>
      <c r="B257" s="3">
        <v>44079</v>
      </c>
      <c r="C257" s="2" t="s">
        <v>1567</v>
      </c>
      <c r="D257" s="2" t="s">
        <v>152</v>
      </c>
      <c r="E257" s="2" t="s">
        <v>138</v>
      </c>
      <c r="F257" s="2" t="s">
        <v>265</v>
      </c>
      <c r="G257" s="2" t="s">
        <v>1575</v>
      </c>
      <c r="H257" s="2" t="s">
        <v>1576</v>
      </c>
      <c r="I257" s="2" t="s">
        <v>501</v>
      </c>
      <c r="J257" s="2" t="s">
        <v>47</v>
      </c>
      <c r="K257" s="2" t="s">
        <v>409</v>
      </c>
      <c r="L257" s="2" t="s">
        <v>1570</v>
      </c>
      <c r="M257" s="3">
        <v>44069</v>
      </c>
      <c r="N257" s="3">
        <v>44100</v>
      </c>
      <c r="O257" s="4">
        <v>113.712</v>
      </c>
      <c r="P257" s="2" t="s">
        <v>224</v>
      </c>
      <c r="Q257" s="2" t="s">
        <v>34</v>
      </c>
      <c r="R257" s="2" t="s">
        <v>266</v>
      </c>
      <c r="S257" s="2" t="s">
        <v>465</v>
      </c>
      <c r="T257" s="2" t="s">
        <v>87</v>
      </c>
      <c r="U257" s="2" t="s">
        <v>290</v>
      </c>
      <c r="V257" s="2" t="s">
        <v>88</v>
      </c>
      <c r="W257" s="2" t="s">
        <v>1577</v>
      </c>
      <c r="X257" s="2" t="s">
        <v>412</v>
      </c>
      <c r="Y257" s="2" t="s">
        <v>425</v>
      </c>
      <c r="Z257" s="2" t="s">
        <v>412</v>
      </c>
      <c r="AA257" s="2" t="s">
        <v>39</v>
      </c>
      <c r="AB257" s="2" t="s">
        <v>414</v>
      </c>
    </row>
    <row r="258" spans="1:28" hidden="1" x14ac:dyDescent="0.2">
      <c r="A258" s="2" t="s">
        <v>470</v>
      </c>
      <c r="B258" s="3">
        <v>44073</v>
      </c>
      <c r="C258" s="2" t="s">
        <v>1567</v>
      </c>
      <c r="D258" s="2" t="s">
        <v>28</v>
      </c>
      <c r="E258" s="2" t="s">
        <v>110</v>
      </c>
      <c r="F258" s="2" t="s">
        <v>111</v>
      </c>
      <c r="G258" s="2" t="s">
        <v>1578</v>
      </c>
      <c r="H258" s="2" t="s">
        <v>1579</v>
      </c>
      <c r="I258" s="2" t="s">
        <v>31</v>
      </c>
      <c r="J258" s="2" t="s">
        <v>32</v>
      </c>
      <c r="K258" s="2" t="s">
        <v>409</v>
      </c>
      <c r="L258" s="2" t="s">
        <v>1570</v>
      </c>
      <c r="M258" s="3">
        <v>44069</v>
      </c>
      <c r="N258" s="3">
        <v>44100</v>
      </c>
      <c r="O258" s="4">
        <v>508.82</v>
      </c>
      <c r="P258" s="2" t="s">
        <v>224</v>
      </c>
      <c r="Q258" s="2" t="s">
        <v>34</v>
      </c>
      <c r="R258" s="2" t="s">
        <v>35</v>
      </c>
      <c r="S258" s="2" t="s">
        <v>447</v>
      </c>
      <c r="T258" s="2" t="s">
        <v>87</v>
      </c>
      <c r="U258" s="2" t="s">
        <v>290</v>
      </c>
      <c r="V258" s="2" t="s">
        <v>88</v>
      </c>
      <c r="W258" s="2" t="s">
        <v>1580</v>
      </c>
      <c r="X258" s="2" t="s">
        <v>412</v>
      </c>
      <c r="Y258" s="2" t="s">
        <v>448</v>
      </c>
      <c r="Z258" s="2" t="s">
        <v>996</v>
      </c>
      <c r="AA258" s="2" t="s">
        <v>39</v>
      </c>
      <c r="AB258" s="2" t="s">
        <v>414</v>
      </c>
    </row>
    <row r="259" spans="1:28" hidden="1" x14ac:dyDescent="0.2">
      <c r="A259" s="2" t="s">
        <v>470</v>
      </c>
      <c r="B259" s="3">
        <v>44073</v>
      </c>
      <c r="C259" s="2" t="s">
        <v>1567</v>
      </c>
      <c r="D259" s="2" t="s">
        <v>28</v>
      </c>
      <c r="E259" s="2" t="s">
        <v>110</v>
      </c>
      <c r="F259" s="2" t="s">
        <v>111</v>
      </c>
      <c r="G259" s="2" t="s">
        <v>1581</v>
      </c>
      <c r="H259" s="2" t="s">
        <v>1582</v>
      </c>
      <c r="I259" s="2" t="s">
        <v>31</v>
      </c>
      <c r="J259" s="2" t="s">
        <v>32</v>
      </c>
      <c r="K259" s="2" t="s">
        <v>409</v>
      </c>
      <c r="L259" s="2" t="s">
        <v>1570</v>
      </c>
      <c r="M259" s="3">
        <v>44069</v>
      </c>
      <c r="N259" s="3">
        <v>44100</v>
      </c>
      <c r="O259" s="4">
        <v>508.82</v>
      </c>
      <c r="P259" s="2" t="s">
        <v>224</v>
      </c>
      <c r="Q259" s="2" t="s">
        <v>34</v>
      </c>
      <c r="R259" s="2" t="s">
        <v>35</v>
      </c>
      <c r="S259" s="2" t="s">
        <v>447</v>
      </c>
      <c r="T259" s="2" t="s">
        <v>87</v>
      </c>
      <c r="U259" s="2" t="s">
        <v>290</v>
      </c>
      <c r="V259" s="2" t="s">
        <v>88</v>
      </c>
      <c r="W259" s="2" t="s">
        <v>1583</v>
      </c>
      <c r="X259" s="2" t="s">
        <v>412</v>
      </c>
      <c r="Y259" s="2" t="s">
        <v>448</v>
      </c>
      <c r="Z259" s="2" t="s">
        <v>996</v>
      </c>
      <c r="AA259" s="2" t="s">
        <v>39</v>
      </c>
      <c r="AB259" s="2" t="s">
        <v>414</v>
      </c>
    </row>
    <row r="260" spans="1:28" x14ac:dyDescent="0.2">
      <c r="A260" s="2" t="s">
        <v>427</v>
      </c>
      <c r="B260" s="3">
        <v>44073</v>
      </c>
      <c r="C260" s="2" t="s">
        <v>1584</v>
      </c>
      <c r="D260" s="2" t="s">
        <v>74</v>
      </c>
      <c r="E260" s="2" t="s">
        <v>75</v>
      </c>
      <c r="F260" s="2" t="s">
        <v>966</v>
      </c>
      <c r="G260" s="2" t="s">
        <v>1585</v>
      </c>
      <c r="H260" s="2" t="s">
        <v>1586</v>
      </c>
      <c r="I260" s="2" t="s">
        <v>77</v>
      </c>
      <c r="J260" s="2" t="s">
        <v>32</v>
      </c>
      <c r="K260" s="2" t="s">
        <v>1587</v>
      </c>
      <c r="L260" s="2" t="s">
        <v>1588</v>
      </c>
      <c r="M260" s="3">
        <v>44069</v>
      </c>
      <c r="N260" s="3">
        <v>44116</v>
      </c>
      <c r="O260" s="4">
        <v>496.8</v>
      </c>
      <c r="P260" s="2" t="s">
        <v>48</v>
      </c>
      <c r="Q260" s="2" t="s">
        <v>149</v>
      </c>
      <c r="R260" s="2" t="s">
        <v>150</v>
      </c>
      <c r="S260" s="2" t="s">
        <v>428</v>
      </c>
      <c r="T260" s="2" t="s">
        <v>36</v>
      </c>
      <c r="U260" s="2" t="s">
        <v>1817</v>
      </c>
      <c r="V260" s="2" t="s">
        <v>88</v>
      </c>
      <c r="W260" s="2" t="s">
        <v>1589</v>
      </c>
      <c r="X260" s="2" t="s">
        <v>412</v>
      </c>
      <c r="Y260" s="2" t="s">
        <v>429</v>
      </c>
      <c r="Z260" s="2" t="s">
        <v>412</v>
      </c>
      <c r="AA260" s="2" t="s">
        <v>39</v>
      </c>
      <c r="AB260" s="2" t="s">
        <v>414</v>
      </c>
    </row>
    <row r="261" spans="1:28" x14ac:dyDescent="0.2">
      <c r="A261" s="2" t="s">
        <v>427</v>
      </c>
      <c r="B261" s="3">
        <v>44073</v>
      </c>
      <c r="C261" s="2" t="s">
        <v>1584</v>
      </c>
      <c r="D261" s="2" t="s">
        <v>74</v>
      </c>
      <c r="E261" s="2" t="s">
        <v>75</v>
      </c>
      <c r="F261" s="2" t="s">
        <v>966</v>
      </c>
      <c r="G261" s="2" t="s">
        <v>1590</v>
      </c>
      <c r="H261" s="2" t="s">
        <v>1591</v>
      </c>
      <c r="I261" s="2" t="s">
        <v>77</v>
      </c>
      <c r="J261" s="2" t="s">
        <v>32</v>
      </c>
      <c r="K261" s="2" t="s">
        <v>1587</v>
      </c>
      <c r="L261" s="2" t="s">
        <v>1588</v>
      </c>
      <c r="M261" s="3">
        <v>44069</v>
      </c>
      <c r="N261" s="3">
        <v>44116</v>
      </c>
      <c r="O261" s="4">
        <v>496.8</v>
      </c>
      <c r="P261" s="2" t="s">
        <v>48</v>
      </c>
      <c r="Q261" s="2" t="s">
        <v>149</v>
      </c>
      <c r="R261" s="2" t="s">
        <v>150</v>
      </c>
      <c r="S261" s="2" t="s">
        <v>428</v>
      </c>
      <c r="T261" s="2" t="s">
        <v>36</v>
      </c>
      <c r="U261" s="2" t="s">
        <v>1817</v>
      </c>
      <c r="V261" s="2" t="s">
        <v>88</v>
      </c>
      <c r="W261" s="2" t="s">
        <v>1592</v>
      </c>
      <c r="X261" s="2" t="s">
        <v>412</v>
      </c>
      <c r="Y261" s="2" t="s">
        <v>429</v>
      </c>
      <c r="Z261" s="2" t="s">
        <v>412</v>
      </c>
      <c r="AA261" s="2" t="s">
        <v>39</v>
      </c>
      <c r="AB261" s="2" t="s">
        <v>414</v>
      </c>
    </row>
    <row r="262" spans="1:28" hidden="1" x14ac:dyDescent="0.2">
      <c r="A262" s="2" t="s">
        <v>431</v>
      </c>
      <c r="B262" s="3">
        <v>44063</v>
      </c>
      <c r="C262" s="2" t="s">
        <v>1848</v>
      </c>
      <c r="D262" s="2" t="s">
        <v>62</v>
      </c>
      <c r="E262" s="2" t="s">
        <v>217</v>
      </c>
      <c r="F262" s="2" t="s">
        <v>218</v>
      </c>
      <c r="G262" s="2" t="s">
        <v>1519</v>
      </c>
      <c r="H262" s="2" t="s">
        <v>1520</v>
      </c>
      <c r="I262" s="2" t="s">
        <v>31</v>
      </c>
      <c r="J262" s="2" t="s">
        <v>32</v>
      </c>
      <c r="K262" s="2" t="s">
        <v>494</v>
      </c>
      <c r="L262" s="2" t="s">
        <v>1152</v>
      </c>
      <c r="M262" s="3">
        <v>44069</v>
      </c>
      <c r="N262" s="3">
        <v>44085</v>
      </c>
      <c r="O262" s="4">
        <v>487.68</v>
      </c>
      <c r="P262" s="2" t="s">
        <v>33</v>
      </c>
      <c r="Q262" s="2" t="s">
        <v>34</v>
      </c>
      <c r="R262" s="2" t="s">
        <v>35</v>
      </c>
      <c r="S262" s="2" t="s">
        <v>428</v>
      </c>
      <c r="T262" s="2" t="s">
        <v>36</v>
      </c>
      <c r="U262" s="2" t="s">
        <v>290</v>
      </c>
      <c r="V262" s="2" t="s">
        <v>241</v>
      </c>
      <c r="W262" s="2" t="s">
        <v>1849</v>
      </c>
      <c r="X262" s="2" t="s">
        <v>412</v>
      </c>
      <c r="Y262" s="2" t="s">
        <v>429</v>
      </c>
      <c r="Z262" s="2" t="s">
        <v>412</v>
      </c>
      <c r="AA262" s="2" t="s">
        <v>39</v>
      </c>
      <c r="AB262" s="2" t="s">
        <v>414</v>
      </c>
    </row>
    <row r="263" spans="1:28" hidden="1" x14ac:dyDescent="0.2">
      <c r="A263" s="2" t="s">
        <v>431</v>
      </c>
      <c r="B263" s="3">
        <v>44073</v>
      </c>
      <c r="C263" s="2" t="s">
        <v>1593</v>
      </c>
      <c r="D263" s="2" t="s">
        <v>28</v>
      </c>
      <c r="E263" s="2" t="s">
        <v>29</v>
      </c>
      <c r="F263" s="2" t="s">
        <v>41</v>
      </c>
      <c r="G263" s="2" t="s">
        <v>1594</v>
      </c>
      <c r="H263" s="2" t="s">
        <v>1595</v>
      </c>
      <c r="I263" s="2" t="s">
        <v>112</v>
      </c>
      <c r="J263" s="2" t="s">
        <v>32</v>
      </c>
      <c r="K263" s="2" t="s">
        <v>1300</v>
      </c>
      <c r="L263" s="2" t="s">
        <v>113</v>
      </c>
      <c r="M263" s="3">
        <v>44072</v>
      </c>
      <c r="N263" s="3">
        <v>44108</v>
      </c>
      <c r="O263" s="4">
        <v>500</v>
      </c>
      <c r="P263" s="2" t="s">
        <v>114</v>
      </c>
      <c r="Q263" s="2" t="s">
        <v>115</v>
      </c>
      <c r="R263" s="2" t="s">
        <v>116</v>
      </c>
      <c r="S263" s="2" t="s">
        <v>439</v>
      </c>
      <c r="T263" s="2" t="s">
        <v>117</v>
      </c>
      <c r="U263" s="2" t="s">
        <v>290</v>
      </c>
      <c r="V263" s="2" t="s">
        <v>118</v>
      </c>
      <c r="W263" s="2" t="s">
        <v>412</v>
      </c>
      <c r="X263" s="2" t="s">
        <v>412</v>
      </c>
      <c r="Y263" s="2" t="s">
        <v>440</v>
      </c>
      <c r="Z263" s="2" t="s">
        <v>412</v>
      </c>
      <c r="AA263" s="2" t="s">
        <v>39</v>
      </c>
      <c r="AB263" s="2" t="s">
        <v>441</v>
      </c>
    </row>
    <row r="264" spans="1:28" hidden="1" x14ac:dyDescent="0.2">
      <c r="A264" s="2" t="s">
        <v>431</v>
      </c>
      <c r="B264" s="3">
        <v>44048</v>
      </c>
      <c r="C264" s="2" t="s">
        <v>1593</v>
      </c>
      <c r="D264" s="2" t="s">
        <v>91</v>
      </c>
      <c r="E264" s="2" t="s">
        <v>191</v>
      </c>
      <c r="F264" s="2" t="s">
        <v>192</v>
      </c>
      <c r="G264" s="2" t="s">
        <v>1596</v>
      </c>
      <c r="H264" s="2" t="s">
        <v>1597</v>
      </c>
      <c r="I264" s="2" t="s">
        <v>112</v>
      </c>
      <c r="J264" s="2" t="s">
        <v>32</v>
      </c>
      <c r="K264" s="2" t="s">
        <v>1300</v>
      </c>
      <c r="L264" s="2" t="s">
        <v>113</v>
      </c>
      <c r="M264" s="3">
        <v>44072</v>
      </c>
      <c r="N264" s="3">
        <v>44093</v>
      </c>
      <c r="O264" s="4">
        <v>250</v>
      </c>
      <c r="P264" s="2" t="s">
        <v>114</v>
      </c>
      <c r="Q264" s="2" t="s">
        <v>182</v>
      </c>
      <c r="R264" s="2" t="s">
        <v>183</v>
      </c>
      <c r="S264" s="2" t="s">
        <v>439</v>
      </c>
      <c r="T264" s="2" t="s">
        <v>117</v>
      </c>
      <c r="U264" s="2" t="s">
        <v>290</v>
      </c>
      <c r="V264" s="2" t="s">
        <v>118</v>
      </c>
      <c r="W264" s="2" t="s">
        <v>412</v>
      </c>
      <c r="X264" s="2" t="s">
        <v>412</v>
      </c>
      <c r="Y264" s="2" t="s">
        <v>676</v>
      </c>
      <c r="Z264" s="2" t="s">
        <v>412</v>
      </c>
      <c r="AA264" s="2" t="s">
        <v>39</v>
      </c>
      <c r="AB264" s="2" t="s">
        <v>441</v>
      </c>
    </row>
    <row r="265" spans="1:28" hidden="1" x14ac:dyDescent="0.2">
      <c r="A265" s="2" t="s">
        <v>431</v>
      </c>
      <c r="B265" s="3">
        <v>44073</v>
      </c>
      <c r="C265" s="2" t="s">
        <v>1593</v>
      </c>
      <c r="D265" s="2" t="s">
        <v>28</v>
      </c>
      <c r="E265" s="2" t="s">
        <v>129</v>
      </c>
      <c r="F265" s="2" t="s">
        <v>346</v>
      </c>
      <c r="G265" s="2" t="s">
        <v>1598</v>
      </c>
      <c r="H265" s="2" t="s">
        <v>1599</v>
      </c>
      <c r="I265" s="2" t="s">
        <v>112</v>
      </c>
      <c r="J265" s="2" t="s">
        <v>32</v>
      </c>
      <c r="K265" s="2" t="s">
        <v>1300</v>
      </c>
      <c r="L265" s="2" t="s">
        <v>113</v>
      </c>
      <c r="M265" s="3">
        <v>44072</v>
      </c>
      <c r="N265" s="3">
        <v>44090</v>
      </c>
      <c r="O265" s="4">
        <v>500</v>
      </c>
      <c r="P265" s="2" t="s">
        <v>114</v>
      </c>
      <c r="Q265" s="2" t="s">
        <v>85</v>
      </c>
      <c r="R265" s="2" t="s">
        <v>86</v>
      </c>
      <c r="S265" s="2" t="s">
        <v>439</v>
      </c>
      <c r="T265" s="2" t="s">
        <v>117</v>
      </c>
      <c r="U265" s="2" t="s">
        <v>290</v>
      </c>
      <c r="V265" s="2" t="s">
        <v>118</v>
      </c>
      <c r="W265" s="2" t="s">
        <v>412</v>
      </c>
      <c r="X265" s="2" t="s">
        <v>412</v>
      </c>
      <c r="Y265" s="2" t="s">
        <v>440</v>
      </c>
      <c r="Z265" s="2" t="s">
        <v>412</v>
      </c>
      <c r="AA265" s="2" t="s">
        <v>39</v>
      </c>
      <c r="AB265" s="2" t="s">
        <v>441</v>
      </c>
    </row>
    <row r="266" spans="1:28" hidden="1" x14ac:dyDescent="0.2">
      <c r="A266" s="2" t="s">
        <v>431</v>
      </c>
      <c r="B266" s="3">
        <v>44073</v>
      </c>
      <c r="C266" s="2" t="s">
        <v>1593</v>
      </c>
      <c r="D266" s="2" t="s">
        <v>28</v>
      </c>
      <c r="E266" s="2" t="s">
        <v>129</v>
      </c>
      <c r="F266" s="2" t="s">
        <v>346</v>
      </c>
      <c r="G266" s="2" t="s">
        <v>1600</v>
      </c>
      <c r="H266" s="2" t="s">
        <v>1601</v>
      </c>
      <c r="I266" s="2" t="s">
        <v>112</v>
      </c>
      <c r="J266" s="2" t="s">
        <v>32</v>
      </c>
      <c r="K266" s="2" t="s">
        <v>1300</v>
      </c>
      <c r="L266" s="2" t="s">
        <v>113</v>
      </c>
      <c r="M266" s="3">
        <v>44072</v>
      </c>
      <c r="N266" s="3">
        <v>44090</v>
      </c>
      <c r="O266" s="4">
        <v>500</v>
      </c>
      <c r="P266" s="2" t="s">
        <v>114</v>
      </c>
      <c r="Q266" s="2" t="s">
        <v>85</v>
      </c>
      <c r="R266" s="2" t="s">
        <v>86</v>
      </c>
      <c r="S266" s="2" t="s">
        <v>439</v>
      </c>
      <c r="T266" s="2" t="s">
        <v>117</v>
      </c>
      <c r="U266" s="2" t="s">
        <v>290</v>
      </c>
      <c r="V266" s="2" t="s">
        <v>118</v>
      </c>
      <c r="W266" s="2" t="s">
        <v>412</v>
      </c>
      <c r="X266" s="2" t="s">
        <v>412</v>
      </c>
      <c r="Y266" s="2" t="s">
        <v>440</v>
      </c>
      <c r="Z266" s="2" t="s">
        <v>412</v>
      </c>
      <c r="AA266" s="2" t="s">
        <v>39</v>
      </c>
      <c r="AB266" s="2" t="s">
        <v>441</v>
      </c>
    </row>
    <row r="267" spans="1:28" hidden="1" x14ac:dyDescent="0.2">
      <c r="A267" s="2" t="s">
        <v>431</v>
      </c>
      <c r="B267" s="3">
        <v>44073</v>
      </c>
      <c r="C267" s="2" t="s">
        <v>1593</v>
      </c>
      <c r="D267" s="2" t="s">
        <v>28</v>
      </c>
      <c r="E267" s="2" t="s">
        <v>129</v>
      </c>
      <c r="F267" s="2" t="s">
        <v>346</v>
      </c>
      <c r="G267" s="2" t="s">
        <v>1602</v>
      </c>
      <c r="H267" s="2" t="s">
        <v>1603</v>
      </c>
      <c r="I267" s="2" t="s">
        <v>112</v>
      </c>
      <c r="J267" s="2" t="s">
        <v>32</v>
      </c>
      <c r="K267" s="2" t="s">
        <v>1300</v>
      </c>
      <c r="L267" s="2" t="s">
        <v>113</v>
      </c>
      <c r="M267" s="3">
        <v>44072</v>
      </c>
      <c r="N267" s="3">
        <v>44090</v>
      </c>
      <c r="O267" s="4">
        <v>500</v>
      </c>
      <c r="P267" s="2" t="s">
        <v>114</v>
      </c>
      <c r="Q267" s="2" t="s">
        <v>85</v>
      </c>
      <c r="R267" s="2" t="s">
        <v>86</v>
      </c>
      <c r="S267" s="2" t="s">
        <v>439</v>
      </c>
      <c r="T267" s="2" t="s">
        <v>117</v>
      </c>
      <c r="U267" s="2" t="s">
        <v>290</v>
      </c>
      <c r="V267" s="2" t="s">
        <v>118</v>
      </c>
      <c r="W267" s="2" t="s">
        <v>412</v>
      </c>
      <c r="X267" s="2" t="s">
        <v>412</v>
      </c>
      <c r="Y267" s="2" t="s">
        <v>440</v>
      </c>
      <c r="Z267" s="2" t="s">
        <v>412</v>
      </c>
      <c r="AA267" s="2" t="s">
        <v>39</v>
      </c>
      <c r="AB267" s="2" t="s">
        <v>441</v>
      </c>
    </row>
    <row r="268" spans="1:28" hidden="1" x14ac:dyDescent="0.2">
      <c r="A268" s="2" t="s">
        <v>431</v>
      </c>
      <c r="B268" s="3">
        <v>44073</v>
      </c>
      <c r="C268" s="2" t="s">
        <v>1593</v>
      </c>
      <c r="D268" s="2" t="s">
        <v>28</v>
      </c>
      <c r="E268" s="2" t="s">
        <v>129</v>
      </c>
      <c r="F268" s="2" t="s">
        <v>130</v>
      </c>
      <c r="G268" s="2" t="s">
        <v>1604</v>
      </c>
      <c r="H268" s="2" t="s">
        <v>1605</v>
      </c>
      <c r="I268" s="2" t="s">
        <v>112</v>
      </c>
      <c r="J268" s="2" t="s">
        <v>32</v>
      </c>
      <c r="K268" s="2" t="s">
        <v>1300</v>
      </c>
      <c r="L268" s="2" t="s">
        <v>113</v>
      </c>
      <c r="M268" s="3">
        <v>44072</v>
      </c>
      <c r="N268" s="3">
        <v>44090</v>
      </c>
      <c r="O268" s="4">
        <v>500</v>
      </c>
      <c r="P268" s="2" t="s">
        <v>114</v>
      </c>
      <c r="Q268" s="2" t="s">
        <v>85</v>
      </c>
      <c r="R268" s="2" t="s">
        <v>86</v>
      </c>
      <c r="S268" s="2" t="s">
        <v>439</v>
      </c>
      <c r="T268" s="2" t="s">
        <v>117</v>
      </c>
      <c r="U268" s="2" t="s">
        <v>290</v>
      </c>
      <c r="V268" s="2" t="s">
        <v>118</v>
      </c>
      <c r="W268" s="2" t="s">
        <v>412</v>
      </c>
      <c r="X268" s="2" t="s">
        <v>412</v>
      </c>
      <c r="Y268" s="2" t="s">
        <v>440</v>
      </c>
      <c r="Z268" s="2" t="s">
        <v>412</v>
      </c>
      <c r="AA268" s="2" t="s">
        <v>39</v>
      </c>
      <c r="AB268" s="2" t="s">
        <v>441</v>
      </c>
    </row>
    <row r="269" spans="1:28" hidden="1" x14ac:dyDescent="0.2">
      <c r="A269" s="2" t="s">
        <v>431</v>
      </c>
      <c r="B269" s="3">
        <v>44073</v>
      </c>
      <c r="C269" s="2" t="s">
        <v>1593</v>
      </c>
      <c r="D269" s="2" t="s">
        <v>28</v>
      </c>
      <c r="E269" s="2" t="s">
        <v>129</v>
      </c>
      <c r="F269" s="2" t="s">
        <v>130</v>
      </c>
      <c r="G269" s="2" t="s">
        <v>1606</v>
      </c>
      <c r="H269" s="2" t="s">
        <v>1607</v>
      </c>
      <c r="I269" s="2" t="s">
        <v>112</v>
      </c>
      <c r="J269" s="2" t="s">
        <v>32</v>
      </c>
      <c r="K269" s="2" t="s">
        <v>1300</v>
      </c>
      <c r="L269" s="2" t="s">
        <v>113</v>
      </c>
      <c r="M269" s="3">
        <v>44072</v>
      </c>
      <c r="N269" s="3">
        <v>44090</v>
      </c>
      <c r="O269" s="4">
        <v>500</v>
      </c>
      <c r="P269" s="2" t="s">
        <v>114</v>
      </c>
      <c r="Q269" s="2" t="s">
        <v>85</v>
      </c>
      <c r="R269" s="2" t="s">
        <v>86</v>
      </c>
      <c r="S269" s="2" t="s">
        <v>439</v>
      </c>
      <c r="T269" s="2" t="s">
        <v>117</v>
      </c>
      <c r="U269" s="2" t="s">
        <v>290</v>
      </c>
      <c r="V269" s="2" t="s">
        <v>118</v>
      </c>
      <c r="W269" s="2" t="s">
        <v>412</v>
      </c>
      <c r="X269" s="2" t="s">
        <v>412</v>
      </c>
      <c r="Y269" s="2" t="s">
        <v>440</v>
      </c>
      <c r="Z269" s="2" t="s">
        <v>412</v>
      </c>
      <c r="AA269" s="2" t="s">
        <v>39</v>
      </c>
      <c r="AB269" s="2" t="s">
        <v>441</v>
      </c>
    </row>
    <row r="270" spans="1:28" hidden="1" x14ac:dyDescent="0.2">
      <c r="A270" s="2" t="s">
        <v>431</v>
      </c>
      <c r="B270" s="3">
        <v>44073</v>
      </c>
      <c r="C270" s="2" t="s">
        <v>1593</v>
      </c>
      <c r="D270" s="2" t="s">
        <v>28</v>
      </c>
      <c r="E270" s="2" t="s">
        <v>129</v>
      </c>
      <c r="F270" s="2" t="s">
        <v>130</v>
      </c>
      <c r="G270" s="2" t="s">
        <v>1608</v>
      </c>
      <c r="H270" s="2" t="s">
        <v>1609</v>
      </c>
      <c r="I270" s="2" t="s">
        <v>112</v>
      </c>
      <c r="J270" s="2" t="s">
        <v>32</v>
      </c>
      <c r="K270" s="2" t="s">
        <v>1300</v>
      </c>
      <c r="L270" s="2" t="s">
        <v>113</v>
      </c>
      <c r="M270" s="3">
        <v>44072</v>
      </c>
      <c r="N270" s="3">
        <v>44087</v>
      </c>
      <c r="O270" s="4">
        <v>500</v>
      </c>
      <c r="P270" s="2" t="s">
        <v>114</v>
      </c>
      <c r="Q270" s="2" t="s">
        <v>131</v>
      </c>
      <c r="R270" s="2" t="s">
        <v>132</v>
      </c>
      <c r="S270" s="2" t="s">
        <v>439</v>
      </c>
      <c r="T270" s="2" t="s">
        <v>117</v>
      </c>
      <c r="U270" s="2" t="s">
        <v>290</v>
      </c>
      <c r="V270" s="2" t="s">
        <v>118</v>
      </c>
      <c r="W270" s="2" t="s">
        <v>412</v>
      </c>
      <c r="X270" s="2" t="s">
        <v>412</v>
      </c>
      <c r="Y270" s="2" t="s">
        <v>440</v>
      </c>
      <c r="Z270" s="2" t="s">
        <v>412</v>
      </c>
      <c r="AA270" s="2" t="s">
        <v>39</v>
      </c>
      <c r="AB270" s="2" t="s">
        <v>441</v>
      </c>
    </row>
    <row r="271" spans="1:28" hidden="1" x14ac:dyDescent="0.2">
      <c r="A271" s="2" t="s">
        <v>431</v>
      </c>
      <c r="B271" s="3">
        <v>44073</v>
      </c>
      <c r="C271" s="2" t="s">
        <v>1593</v>
      </c>
      <c r="D271" s="2" t="s">
        <v>28</v>
      </c>
      <c r="E271" s="2" t="s">
        <v>129</v>
      </c>
      <c r="F271" s="2" t="s">
        <v>130</v>
      </c>
      <c r="G271" s="2" t="s">
        <v>1610</v>
      </c>
      <c r="H271" s="2" t="s">
        <v>1611</v>
      </c>
      <c r="I271" s="2" t="s">
        <v>112</v>
      </c>
      <c r="J271" s="2" t="s">
        <v>32</v>
      </c>
      <c r="K271" s="2" t="s">
        <v>1300</v>
      </c>
      <c r="L271" s="2" t="s">
        <v>113</v>
      </c>
      <c r="M271" s="3">
        <v>44072</v>
      </c>
      <c r="N271" s="3">
        <v>44087</v>
      </c>
      <c r="O271" s="4">
        <v>500</v>
      </c>
      <c r="P271" s="2" t="s">
        <v>114</v>
      </c>
      <c r="Q271" s="2" t="s">
        <v>131</v>
      </c>
      <c r="R271" s="2" t="s">
        <v>132</v>
      </c>
      <c r="S271" s="2" t="s">
        <v>439</v>
      </c>
      <c r="T271" s="2" t="s">
        <v>117</v>
      </c>
      <c r="U271" s="2" t="s">
        <v>290</v>
      </c>
      <c r="V271" s="2" t="s">
        <v>118</v>
      </c>
      <c r="W271" s="2" t="s">
        <v>412</v>
      </c>
      <c r="X271" s="2" t="s">
        <v>412</v>
      </c>
      <c r="Y271" s="2" t="s">
        <v>440</v>
      </c>
      <c r="Z271" s="2" t="s">
        <v>412</v>
      </c>
      <c r="AA271" s="2" t="s">
        <v>39</v>
      </c>
      <c r="AB271" s="2" t="s">
        <v>441</v>
      </c>
    </row>
    <row r="272" spans="1:28" hidden="1" x14ac:dyDescent="0.2">
      <c r="A272" s="2" t="s">
        <v>431</v>
      </c>
      <c r="B272" s="3">
        <v>44073</v>
      </c>
      <c r="C272" s="2" t="s">
        <v>1593</v>
      </c>
      <c r="D272" s="2" t="s">
        <v>28</v>
      </c>
      <c r="E272" s="2" t="s">
        <v>129</v>
      </c>
      <c r="F272" s="2" t="s">
        <v>130</v>
      </c>
      <c r="G272" s="2" t="s">
        <v>1612</v>
      </c>
      <c r="H272" s="2" t="s">
        <v>1613</v>
      </c>
      <c r="I272" s="2" t="s">
        <v>112</v>
      </c>
      <c r="J272" s="2" t="s">
        <v>32</v>
      </c>
      <c r="K272" s="2" t="s">
        <v>1300</v>
      </c>
      <c r="L272" s="2" t="s">
        <v>113</v>
      </c>
      <c r="M272" s="3">
        <v>44072</v>
      </c>
      <c r="N272" s="3">
        <v>44087</v>
      </c>
      <c r="O272" s="4">
        <v>500</v>
      </c>
      <c r="P272" s="2" t="s">
        <v>114</v>
      </c>
      <c r="Q272" s="2" t="s">
        <v>131</v>
      </c>
      <c r="R272" s="2" t="s">
        <v>132</v>
      </c>
      <c r="S272" s="2" t="s">
        <v>439</v>
      </c>
      <c r="T272" s="2" t="s">
        <v>117</v>
      </c>
      <c r="U272" s="2" t="s">
        <v>290</v>
      </c>
      <c r="V272" s="2" t="s">
        <v>118</v>
      </c>
      <c r="W272" s="2" t="s">
        <v>412</v>
      </c>
      <c r="X272" s="2" t="s">
        <v>412</v>
      </c>
      <c r="Y272" s="2" t="s">
        <v>440</v>
      </c>
      <c r="Z272" s="2" t="s">
        <v>412</v>
      </c>
      <c r="AA272" s="2" t="s">
        <v>39</v>
      </c>
      <c r="AB272" s="2" t="s">
        <v>441</v>
      </c>
    </row>
    <row r="273" spans="1:28" hidden="1" x14ac:dyDescent="0.2">
      <c r="A273" s="2" t="s">
        <v>431</v>
      </c>
      <c r="B273" s="3">
        <v>44073</v>
      </c>
      <c r="C273" s="2" t="s">
        <v>1593</v>
      </c>
      <c r="D273" s="2" t="s">
        <v>28</v>
      </c>
      <c r="E273" s="2" t="s">
        <v>129</v>
      </c>
      <c r="F273" s="2" t="s">
        <v>130</v>
      </c>
      <c r="G273" s="2" t="s">
        <v>1614</v>
      </c>
      <c r="H273" s="2" t="s">
        <v>1615</v>
      </c>
      <c r="I273" s="2" t="s">
        <v>112</v>
      </c>
      <c r="J273" s="2" t="s">
        <v>32</v>
      </c>
      <c r="K273" s="2" t="s">
        <v>1300</v>
      </c>
      <c r="L273" s="2" t="s">
        <v>113</v>
      </c>
      <c r="M273" s="3">
        <v>44072</v>
      </c>
      <c r="N273" s="3">
        <v>44087</v>
      </c>
      <c r="O273" s="4">
        <v>500</v>
      </c>
      <c r="P273" s="2" t="s">
        <v>114</v>
      </c>
      <c r="Q273" s="2" t="s">
        <v>131</v>
      </c>
      <c r="R273" s="2" t="s">
        <v>132</v>
      </c>
      <c r="S273" s="2" t="s">
        <v>439</v>
      </c>
      <c r="T273" s="2" t="s">
        <v>117</v>
      </c>
      <c r="U273" s="2" t="s">
        <v>290</v>
      </c>
      <c r="V273" s="2" t="s">
        <v>118</v>
      </c>
      <c r="W273" s="2" t="s">
        <v>412</v>
      </c>
      <c r="X273" s="2" t="s">
        <v>412</v>
      </c>
      <c r="Y273" s="2" t="s">
        <v>440</v>
      </c>
      <c r="Z273" s="2" t="s">
        <v>412</v>
      </c>
      <c r="AA273" s="2" t="s">
        <v>39</v>
      </c>
      <c r="AB273" s="2" t="s">
        <v>441</v>
      </c>
    </row>
    <row r="274" spans="1:28" hidden="1" x14ac:dyDescent="0.2">
      <c r="A274" s="2" t="s">
        <v>431</v>
      </c>
      <c r="B274" s="3">
        <v>44073</v>
      </c>
      <c r="C274" s="2" t="s">
        <v>1593</v>
      </c>
      <c r="D274" s="2" t="s">
        <v>28</v>
      </c>
      <c r="E274" s="2" t="s">
        <v>129</v>
      </c>
      <c r="F274" s="2" t="s">
        <v>130</v>
      </c>
      <c r="G274" s="2" t="s">
        <v>1616</v>
      </c>
      <c r="H274" s="2" t="s">
        <v>1617</v>
      </c>
      <c r="I274" s="2" t="s">
        <v>112</v>
      </c>
      <c r="J274" s="2" t="s">
        <v>32</v>
      </c>
      <c r="K274" s="2" t="s">
        <v>1300</v>
      </c>
      <c r="L274" s="2" t="s">
        <v>113</v>
      </c>
      <c r="M274" s="3">
        <v>44072</v>
      </c>
      <c r="N274" s="3">
        <v>44087</v>
      </c>
      <c r="O274" s="4">
        <v>500</v>
      </c>
      <c r="P274" s="2" t="s">
        <v>114</v>
      </c>
      <c r="Q274" s="2" t="s">
        <v>131</v>
      </c>
      <c r="R274" s="2" t="s">
        <v>132</v>
      </c>
      <c r="S274" s="2" t="s">
        <v>439</v>
      </c>
      <c r="T274" s="2" t="s">
        <v>117</v>
      </c>
      <c r="U274" s="2" t="s">
        <v>290</v>
      </c>
      <c r="V274" s="2" t="s">
        <v>118</v>
      </c>
      <c r="W274" s="2" t="s">
        <v>412</v>
      </c>
      <c r="X274" s="2" t="s">
        <v>412</v>
      </c>
      <c r="Y274" s="2" t="s">
        <v>440</v>
      </c>
      <c r="Z274" s="2" t="s">
        <v>412</v>
      </c>
      <c r="AA274" s="2" t="s">
        <v>39</v>
      </c>
      <c r="AB274" s="2" t="s">
        <v>441</v>
      </c>
    </row>
    <row r="275" spans="1:28" hidden="1" x14ac:dyDescent="0.2">
      <c r="A275" s="2" t="s">
        <v>431</v>
      </c>
      <c r="B275" s="3">
        <v>44073</v>
      </c>
      <c r="C275" s="2" t="s">
        <v>1618</v>
      </c>
      <c r="D275" s="2" t="s">
        <v>28</v>
      </c>
      <c r="E275" s="2" t="s">
        <v>29</v>
      </c>
      <c r="F275" s="2" t="s">
        <v>397</v>
      </c>
      <c r="G275" s="2" t="s">
        <v>1619</v>
      </c>
      <c r="H275" s="2" t="s">
        <v>1620</v>
      </c>
      <c r="I275" s="2" t="s">
        <v>31</v>
      </c>
      <c r="J275" s="2" t="s">
        <v>32</v>
      </c>
      <c r="K275" s="2" t="s">
        <v>133</v>
      </c>
      <c r="L275" s="2" t="s">
        <v>954</v>
      </c>
      <c r="M275" s="3">
        <v>44071</v>
      </c>
      <c r="N275" s="3">
        <v>44089</v>
      </c>
      <c r="O275" s="4">
        <v>501.904</v>
      </c>
      <c r="P275" s="2" t="s">
        <v>33</v>
      </c>
      <c r="Q275" s="2" t="s">
        <v>153</v>
      </c>
      <c r="R275" s="2" t="s">
        <v>154</v>
      </c>
      <c r="S275" s="2" t="s">
        <v>477</v>
      </c>
      <c r="T275" s="2" t="s">
        <v>362</v>
      </c>
      <c r="U275" s="2" t="s">
        <v>290</v>
      </c>
      <c r="V275" s="2" t="s">
        <v>155</v>
      </c>
      <c r="W275" s="2" t="s">
        <v>1621</v>
      </c>
      <c r="X275" s="2" t="s">
        <v>412</v>
      </c>
      <c r="Y275" s="2" t="s">
        <v>448</v>
      </c>
      <c r="Z275" s="2" t="s">
        <v>412</v>
      </c>
      <c r="AA275" s="2" t="s">
        <v>39</v>
      </c>
      <c r="AB275" s="2" t="s">
        <v>414</v>
      </c>
    </row>
    <row r="276" spans="1:28" hidden="1" x14ac:dyDescent="0.2">
      <c r="A276" s="2" t="s">
        <v>410</v>
      </c>
      <c r="B276" s="3">
        <v>44073</v>
      </c>
      <c r="C276" s="2" t="s">
        <v>1524</v>
      </c>
      <c r="D276" s="2" t="s">
        <v>54</v>
      </c>
      <c r="E276" s="2" t="s">
        <v>879</v>
      </c>
      <c r="F276" s="2" t="s">
        <v>880</v>
      </c>
      <c r="G276" s="2" t="s">
        <v>1394</v>
      </c>
      <c r="H276" s="2" t="s">
        <v>1395</v>
      </c>
      <c r="I276" s="2" t="s">
        <v>883</v>
      </c>
      <c r="J276" s="2" t="s">
        <v>83</v>
      </c>
      <c r="K276" s="2" t="s">
        <v>177</v>
      </c>
      <c r="L276" s="2" t="s">
        <v>1527</v>
      </c>
      <c r="M276" s="3">
        <v>44071</v>
      </c>
      <c r="N276" s="3">
        <v>44091</v>
      </c>
      <c r="O276" s="4">
        <v>161.28</v>
      </c>
      <c r="P276" s="2" t="s">
        <v>84</v>
      </c>
      <c r="Q276" s="2" t="s">
        <v>105</v>
      </c>
      <c r="R276" s="2" t="s">
        <v>106</v>
      </c>
      <c r="S276" s="2" t="s">
        <v>466</v>
      </c>
      <c r="T276" s="2" t="s">
        <v>87</v>
      </c>
      <c r="U276" s="2" t="s">
        <v>290</v>
      </c>
      <c r="V276" s="2" t="s">
        <v>88</v>
      </c>
      <c r="W276" s="2" t="s">
        <v>1823</v>
      </c>
      <c r="X276" s="2" t="s">
        <v>412</v>
      </c>
      <c r="Y276" s="2" t="s">
        <v>1240</v>
      </c>
      <c r="Z276" s="2" t="s">
        <v>1398</v>
      </c>
      <c r="AA276" s="2" t="s">
        <v>39</v>
      </c>
      <c r="AB276" s="2" t="s">
        <v>414</v>
      </c>
    </row>
    <row r="277" spans="1:28" hidden="1" x14ac:dyDescent="0.2">
      <c r="A277" s="2" t="s">
        <v>410</v>
      </c>
      <c r="B277" s="3">
        <v>44073</v>
      </c>
      <c r="C277" s="2" t="s">
        <v>1524</v>
      </c>
      <c r="D277" s="2" t="s">
        <v>54</v>
      </c>
      <c r="E277" s="2" t="s">
        <v>879</v>
      </c>
      <c r="F277" s="2" t="s">
        <v>880</v>
      </c>
      <c r="G277" s="2" t="s">
        <v>1509</v>
      </c>
      <c r="H277" s="2" t="s">
        <v>1510</v>
      </c>
      <c r="I277" s="2" t="s">
        <v>883</v>
      </c>
      <c r="J277" s="2" t="s">
        <v>83</v>
      </c>
      <c r="K277" s="2" t="s">
        <v>177</v>
      </c>
      <c r="L277" s="2" t="s">
        <v>1527</v>
      </c>
      <c r="M277" s="3">
        <v>44071</v>
      </c>
      <c r="N277" s="3">
        <v>44091</v>
      </c>
      <c r="O277" s="4">
        <v>161.28</v>
      </c>
      <c r="P277" s="2" t="s">
        <v>84</v>
      </c>
      <c r="Q277" s="2" t="s">
        <v>105</v>
      </c>
      <c r="R277" s="2" t="s">
        <v>106</v>
      </c>
      <c r="S277" s="2" t="s">
        <v>466</v>
      </c>
      <c r="T277" s="2" t="s">
        <v>87</v>
      </c>
      <c r="U277" s="2" t="s">
        <v>290</v>
      </c>
      <c r="V277" s="2" t="s">
        <v>88</v>
      </c>
      <c r="W277" s="2" t="s">
        <v>1850</v>
      </c>
      <c r="X277" s="2" t="s">
        <v>412</v>
      </c>
      <c r="Y277" s="2" t="s">
        <v>1240</v>
      </c>
      <c r="Z277" s="2" t="s">
        <v>1512</v>
      </c>
      <c r="AA277" s="2" t="s">
        <v>39</v>
      </c>
      <c r="AB277" s="2" t="s">
        <v>414</v>
      </c>
    </row>
    <row r="278" spans="1:28" hidden="1" x14ac:dyDescent="0.2">
      <c r="A278" s="2" t="s">
        <v>410</v>
      </c>
      <c r="B278" s="3">
        <v>44073</v>
      </c>
      <c r="C278" s="2" t="s">
        <v>1524</v>
      </c>
      <c r="D278" s="2" t="s">
        <v>91</v>
      </c>
      <c r="E278" s="2" t="s">
        <v>107</v>
      </c>
      <c r="F278" s="2" t="s">
        <v>108</v>
      </c>
      <c r="G278" s="2" t="s">
        <v>1525</v>
      </c>
      <c r="H278" s="2" t="s">
        <v>1526</v>
      </c>
      <c r="I278" s="2" t="s">
        <v>31</v>
      </c>
      <c r="J278" s="2" t="s">
        <v>32</v>
      </c>
      <c r="K278" s="2" t="s">
        <v>177</v>
      </c>
      <c r="L278" s="2" t="s">
        <v>1527</v>
      </c>
      <c r="M278" s="3">
        <v>44071</v>
      </c>
      <c r="N278" s="3">
        <v>44091</v>
      </c>
      <c r="O278" s="4">
        <v>202.86</v>
      </c>
      <c r="P278" s="2" t="s">
        <v>84</v>
      </c>
      <c r="Q278" s="2" t="s">
        <v>105</v>
      </c>
      <c r="R278" s="2" t="s">
        <v>106</v>
      </c>
      <c r="S278" s="2" t="s">
        <v>422</v>
      </c>
      <c r="T278" s="2" t="s">
        <v>87</v>
      </c>
      <c r="U278" s="2" t="s">
        <v>290</v>
      </c>
      <c r="V278" s="2" t="s">
        <v>88</v>
      </c>
      <c r="W278" s="2" t="s">
        <v>1528</v>
      </c>
      <c r="X278" s="2" t="s">
        <v>412</v>
      </c>
      <c r="Y278" s="2" t="s">
        <v>424</v>
      </c>
      <c r="Z278" s="2" t="s">
        <v>1529</v>
      </c>
      <c r="AA278" s="2" t="s">
        <v>109</v>
      </c>
      <c r="AB278" s="2" t="s">
        <v>414</v>
      </c>
    </row>
    <row r="279" spans="1:28" hidden="1" x14ac:dyDescent="0.2">
      <c r="A279" s="2" t="s">
        <v>410</v>
      </c>
      <c r="B279" s="3">
        <v>44073</v>
      </c>
      <c r="C279" s="2" t="s">
        <v>1524</v>
      </c>
      <c r="D279" s="2" t="s">
        <v>28</v>
      </c>
      <c r="E279" s="2" t="s">
        <v>98</v>
      </c>
      <c r="F279" s="2" t="s">
        <v>205</v>
      </c>
      <c r="G279" s="2" t="s">
        <v>1530</v>
      </c>
      <c r="H279" s="2" t="s">
        <v>1531</v>
      </c>
      <c r="I279" s="2" t="s">
        <v>99</v>
      </c>
      <c r="J279" s="2" t="s">
        <v>32</v>
      </c>
      <c r="K279" s="2" t="s">
        <v>177</v>
      </c>
      <c r="L279" s="2" t="s">
        <v>1527</v>
      </c>
      <c r="M279" s="3">
        <v>44071</v>
      </c>
      <c r="N279" s="3">
        <v>44102</v>
      </c>
      <c r="O279" s="4">
        <v>502.12799999999999</v>
      </c>
      <c r="P279" s="2" t="s">
        <v>84</v>
      </c>
      <c r="Q279" s="2" t="s">
        <v>34</v>
      </c>
      <c r="R279" s="2" t="s">
        <v>35</v>
      </c>
      <c r="S279" s="2" t="s">
        <v>443</v>
      </c>
      <c r="T279" s="2" t="s">
        <v>87</v>
      </c>
      <c r="U279" s="2" t="s">
        <v>290</v>
      </c>
      <c r="V279" s="2" t="s">
        <v>88</v>
      </c>
      <c r="W279" s="2" t="s">
        <v>1532</v>
      </c>
      <c r="X279" s="2" t="s">
        <v>412</v>
      </c>
      <c r="Y279" s="2" t="s">
        <v>463</v>
      </c>
      <c r="Z279" s="2" t="s">
        <v>412</v>
      </c>
      <c r="AA279" s="2" t="s">
        <v>39</v>
      </c>
      <c r="AB279" s="2" t="s">
        <v>414</v>
      </c>
    </row>
    <row r="280" spans="1:28" hidden="1" x14ac:dyDescent="0.2">
      <c r="A280" s="2" t="s">
        <v>410</v>
      </c>
      <c r="B280" s="3">
        <v>44073</v>
      </c>
      <c r="C280" s="2" t="s">
        <v>1524</v>
      </c>
      <c r="D280" s="2" t="s">
        <v>28</v>
      </c>
      <c r="E280" s="2" t="s">
        <v>29</v>
      </c>
      <c r="F280" s="2" t="s">
        <v>41</v>
      </c>
      <c r="G280" s="2" t="s">
        <v>1533</v>
      </c>
      <c r="H280" s="2" t="s">
        <v>1534</v>
      </c>
      <c r="I280" s="2" t="s">
        <v>31</v>
      </c>
      <c r="J280" s="2" t="s">
        <v>32</v>
      </c>
      <c r="K280" s="2" t="s">
        <v>177</v>
      </c>
      <c r="L280" s="2" t="s">
        <v>1527</v>
      </c>
      <c r="M280" s="3">
        <v>44071</v>
      </c>
      <c r="N280" s="3">
        <v>44102</v>
      </c>
      <c r="O280" s="4">
        <v>493.92</v>
      </c>
      <c r="P280" s="2" t="s">
        <v>84</v>
      </c>
      <c r="Q280" s="2" t="s">
        <v>34</v>
      </c>
      <c r="R280" s="2" t="s">
        <v>35</v>
      </c>
      <c r="S280" s="2" t="s">
        <v>435</v>
      </c>
      <c r="T280" s="2" t="s">
        <v>87</v>
      </c>
      <c r="U280" s="2" t="s">
        <v>290</v>
      </c>
      <c r="V280" s="2" t="s">
        <v>88</v>
      </c>
      <c r="W280" s="2" t="s">
        <v>1535</v>
      </c>
      <c r="X280" s="2" t="s">
        <v>412</v>
      </c>
      <c r="Y280" s="2" t="s">
        <v>436</v>
      </c>
      <c r="Z280" s="2" t="s">
        <v>412</v>
      </c>
      <c r="AA280" s="2" t="s">
        <v>39</v>
      </c>
      <c r="AB280" s="2" t="s">
        <v>414</v>
      </c>
    </row>
    <row r="281" spans="1:28" hidden="1" x14ac:dyDescent="0.2">
      <c r="A281" s="2" t="s">
        <v>484</v>
      </c>
      <c r="B281" s="3">
        <v>44063</v>
      </c>
      <c r="C281" s="2" t="s">
        <v>1524</v>
      </c>
      <c r="D281" s="2" t="s">
        <v>178</v>
      </c>
      <c r="E281" s="2" t="s">
        <v>186</v>
      </c>
      <c r="F281" s="2" t="s">
        <v>187</v>
      </c>
      <c r="G281" s="2" t="s">
        <v>1413</v>
      </c>
      <c r="H281" s="2" t="s">
        <v>1414</v>
      </c>
      <c r="I281" s="2" t="s">
        <v>188</v>
      </c>
      <c r="J281" s="2" t="s">
        <v>95</v>
      </c>
      <c r="K281" s="2" t="s">
        <v>177</v>
      </c>
      <c r="L281" s="2" t="s">
        <v>1527</v>
      </c>
      <c r="M281" s="3">
        <v>44071</v>
      </c>
      <c r="N281" s="3">
        <v>44098</v>
      </c>
      <c r="O281" s="4">
        <v>167.43299999999999</v>
      </c>
      <c r="P281" s="2" t="s">
        <v>84</v>
      </c>
      <c r="Q281" s="2" t="s">
        <v>131</v>
      </c>
      <c r="R281" s="2" t="s">
        <v>189</v>
      </c>
      <c r="S281" s="2" t="s">
        <v>466</v>
      </c>
      <c r="T281" s="2" t="s">
        <v>87</v>
      </c>
      <c r="U281" s="2" t="s">
        <v>290</v>
      </c>
      <c r="V281" s="2" t="s">
        <v>88</v>
      </c>
      <c r="W281" s="2" t="s">
        <v>1851</v>
      </c>
      <c r="X281" s="2" t="s">
        <v>412</v>
      </c>
      <c r="Y281" s="2" t="s">
        <v>991</v>
      </c>
      <c r="Z281" s="2" t="s">
        <v>412</v>
      </c>
      <c r="AA281" s="2" t="s">
        <v>190</v>
      </c>
      <c r="AB281" s="2" t="s">
        <v>414</v>
      </c>
    </row>
    <row r="282" spans="1:28" hidden="1" x14ac:dyDescent="0.2">
      <c r="A282" s="2" t="s">
        <v>410</v>
      </c>
      <c r="B282" s="3">
        <v>44053</v>
      </c>
      <c r="C282" s="2" t="s">
        <v>1524</v>
      </c>
      <c r="D282" s="2" t="s">
        <v>44</v>
      </c>
      <c r="E282" s="2" t="s">
        <v>273</v>
      </c>
      <c r="F282" s="2" t="s">
        <v>274</v>
      </c>
      <c r="G282" s="2" t="s">
        <v>1237</v>
      </c>
      <c r="H282" s="2" t="s">
        <v>1238</v>
      </c>
      <c r="I282" s="2" t="s">
        <v>275</v>
      </c>
      <c r="J282" s="2" t="s">
        <v>95</v>
      </c>
      <c r="K282" s="2" t="s">
        <v>177</v>
      </c>
      <c r="L282" s="2" t="s">
        <v>1527</v>
      </c>
      <c r="M282" s="3">
        <v>44071</v>
      </c>
      <c r="N282" s="3">
        <v>44098</v>
      </c>
      <c r="O282" s="4">
        <v>182.11199999999999</v>
      </c>
      <c r="P282" s="2" t="s">
        <v>84</v>
      </c>
      <c r="Q282" s="2" t="s">
        <v>131</v>
      </c>
      <c r="R282" s="2" t="s">
        <v>185</v>
      </c>
      <c r="S282" s="2" t="s">
        <v>420</v>
      </c>
      <c r="T282" s="2" t="s">
        <v>87</v>
      </c>
      <c r="U282" s="2" t="s">
        <v>290</v>
      </c>
      <c r="V282" s="2" t="s">
        <v>88</v>
      </c>
      <c r="W282" s="2" t="s">
        <v>1239</v>
      </c>
      <c r="X282" s="2" t="s">
        <v>412</v>
      </c>
      <c r="Y282" s="2" t="s">
        <v>1240</v>
      </c>
      <c r="Z282" s="2" t="s">
        <v>412</v>
      </c>
      <c r="AA282" s="2" t="s">
        <v>39</v>
      </c>
      <c r="AB282" s="2" t="s">
        <v>414</v>
      </c>
    </row>
    <row r="283" spans="1:28" hidden="1" x14ac:dyDescent="0.2">
      <c r="A283" s="2" t="s">
        <v>410</v>
      </c>
      <c r="B283" s="3">
        <v>44053</v>
      </c>
      <c r="C283" s="2" t="s">
        <v>1524</v>
      </c>
      <c r="D283" s="2" t="s">
        <v>44</v>
      </c>
      <c r="E283" s="2" t="s">
        <v>273</v>
      </c>
      <c r="F283" s="2" t="s">
        <v>274</v>
      </c>
      <c r="G283" s="2" t="s">
        <v>1241</v>
      </c>
      <c r="H283" s="2" t="s">
        <v>1242</v>
      </c>
      <c r="I283" s="2" t="s">
        <v>275</v>
      </c>
      <c r="J283" s="2" t="s">
        <v>95</v>
      </c>
      <c r="K283" s="2" t="s">
        <v>177</v>
      </c>
      <c r="L283" s="2" t="s">
        <v>1527</v>
      </c>
      <c r="M283" s="3">
        <v>44071</v>
      </c>
      <c r="N283" s="3">
        <v>44100</v>
      </c>
      <c r="O283" s="4">
        <v>68.292000000000002</v>
      </c>
      <c r="P283" s="2" t="s">
        <v>84</v>
      </c>
      <c r="Q283" s="2" t="s">
        <v>182</v>
      </c>
      <c r="R283" s="2" t="s">
        <v>183</v>
      </c>
      <c r="S283" s="2" t="s">
        <v>446</v>
      </c>
      <c r="T283" s="2" t="s">
        <v>87</v>
      </c>
      <c r="U283" s="2" t="s">
        <v>290</v>
      </c>
      <c r="V283" s="2" t="s">
        <v>88</v>
      </c>
      <c r="W283" s="2" t="s">
        <v>1243</v>
      </c>
      <c r="X283" s="2" t="s">
        <v>412</v>
      </c>
      <c r="Y283" s="2" t="s">
        <v>1244</v>
      </c>
      <c r="Z283" s="2" t="s">
        <v>412</v>
      </c>
      <c r="AA283" s="2" t="s">
        <v>39</v>
      </c>
      <c r="AB283" s="2" t="s">
        <v>414</v>
      </c>
    </row>
    <row r="284" spans="1:28" hidden="1" x14ac:dyDescent="0.2">
      <c r="A284" s="2" t="s">
        <v>484</v>
      </c>
      <c r="B284" s="3">
        <v>44058</v>
      </c>
      <c r="C284" s="2" t="s">
        <v>1524</v>
      </c>
      <c r="D284" s="2" t="s">
        <v>178</v>
      </c>
      <c r="E284" s="2" t="s">
        <v>179</v>
      </c>
      <c r="F284" s="2" t="s">
        <v>180</v>
      </c>
      <c r="G284" s="2" t="s">
        <v>1417</v>
      </c>
      <c r="H284" s="2" t="s">
        <v>1418</v>
      </c>
      <c r="I284" s="2" t="s">
        <v>181</v>
      </c>
      <c r="J284" s="2" t="s">
        <v>95</v>
      </c>
      <c r="K284" s="2" t="s">
        <v>177</v>
      </c>
      <c r="L284" s="2" t="s">
        <v>1527</v>
      </c>
      <c r="M284" s="3">
        <v>44071</v>
      </c>
      <c r="N284" s="3">
        <v>44100</v>
      </c>
      <c r="O284" s="4">
        <v>263.72500000000002</v>
      </c>
      <c r="P284" s="2" t="s">
        <v>84</v>
      </c>
      <c r="Q284" s="2" t="s">
        <v>182</v>
      </c>
      <c r="R284" s="2" t="s">
        <v>183</v>
      </c>
      <c r="S284" s="2" t="s">
        <v>456</v>
      </c>
      <c r="T284" s="2" t="s">
        <v>87</v>
      </c>
      <c r="U284" s="2" t="s">
        <v>290</v>
      </c>
      <c r="V284" s="2" t="s">
        <v>88</v>
      </c>
      <c r="W284" s="2" t="s">
        <v>1852</v>
      </c>
      <c r="X284" s="2" t="s">
        <v>412</v>
      </c>
      <c r="Y284" s="2" t="s">
        <v>485</v>
      </c>
      <c r="Z284" s="2" t="s">
        <v>412</v>
      </c>
      <c r="AA284" s="2" t="s">
        <v>184</v>
      </c>
      <c r="AB284" s="2" t="s">
        <v>414</v>
      </c>
    </row>
    <row r="285" spans="1:28" hidden="1" x14ac:dyDescent="0.2">
      <c r="A285" s="2" t="s">
        <v>484</v>
      </c>
      <c r="B285" s="3">
        <v>44058</v>
      </c>
      <c r="C285" s="2" t="s">
        <v>1524</v>
      </c>
      <c r="D285" s="2" t="s">
        <v>178</v>
      </c>
      <c r="E285" s="2" t="s">
        <v>179</v>
      </c>
      <c r="F285" s="2" t="s">
        <v>180</v>
      </c>
      <c r="G285" s="2" t="s">
        <v>1420</v>
      </c>
      <c r="H285" s="2" t="s">
        <v>1421</v>
      </c>
      <c r="I285" s="2" t="s">
        <v>181</v>
      </c>
      <c r="J285" s="2" t="s">
        <v>95</v>
      </c>
      <c r="K285" s="2" t="s">
        <v>177</v>
      </c>
      <c r="L285" s="2" t="s">
        <v>1527</v>
      </c>
      <c r="M285" s="3">
        <v>44071</v>
      </c>
      <c r="N285" s="3">
        <v>44098</v>
      </c>
      <c r="O285" s="4">
        <v>119.875</v>
      </c>
      <c r="P285" s="2" t="s">
        <v>84</v>
      </c>
      <c r="Q285" s="2" t="s">
        <v>131</v>
      </c>
      <c r="R285" s="2" t="s">
        <v>185</v>
      </c>
      <c r="S285" s="2" t="s">
        <v>415</v>
      </c>
      <c r="T285" s="2" t="s">
        <v>87</v>
      </c>
      <c r="U285" s="2" t="s">
        <v>290</v>
      </c>
      <c r="V285" s="2" t="s">
        <v>88</v>
      </c>
      <c r="W285" s="2" t="s">
        <v>1853</v>
      </c>
      <c r="X285" s="2" t="s">
        <v>412</v>
      </c>
      <c r="Y285" s="2" t="s">
        <v>840</v>
      </c>
      <c r="Z285" s="2" t="s">
        <v>412</v>
      </c>
      <c r="AA285" s="2" t="s">
        <v>184</v>
      </c>
      <c r="AB285" s="2" t="s">
        <v>414</v>
      </c>
    </row>
    <row r="286" spans="1:28" hidden="1" x14ac:dyDescent="0.2">
      <c r="A286" s="2" t="s">
        <v>410</v>
      </c>
      <c r="B286" s="3">
        <v>44073</v>
      </c>
      <c r="C286" s="2" t="s">
        <v>1524</v>
      </c>
      <c r="D286" s="2" t="s">
        <v>152</v>
      </c>
      <c r="E286" s="2" t="s">
        <v>508</v>
      </c>
      <c r="F286" s="2" t="s">
        <v>509</v>
      </c>
      <c r="G286" s="2" t="s">
        <v>1536</v>
      </c>
      <c r="H286" s="2" t="s">
        <v>1537</v>
      </c>
      <c r="I286" s="2" t="s">
        <v>94</v>
      </c>
      <c r="J286" s="2" t="s">
        <v>95</v>
      </c>
      <c r="K286" s="2" t="s">
        <v>177</v>
      </c>
      <c r="L286" s="2" t="s">
        <v>1527</v>
      </c>
      <c r="M286" s="3">
        <v>44071</v>
      </c>
      <c r="N286" s="3">
        <v>44101</v>
      </c>
      <c r="O286" s="4">
        <v>191.21600000000001</v>
      </c>
      <c r="P286" s="2" t="s">
        <v>84</v>
      </c>
      <c r="Q286" s="2" t="s">
        <v>49</v>
      </c>
      <c r="R286" s="2" t="s">
        <v>50</v>
      </c>
      <c r="S286" s="2" t="s">
        <v>420</v>
      </c>
      <c r="T286" s="2" t="s">
        <v>87</v>
      </c>
      <c r="U286" s="2" t="s">
        <v>290</v>
      </c>
      <c r="V286" s="2" t="s">
        <v>88</v>
      </c>
      <c r="W286" s="2" t="s">
        <v>1538</v>
      </c>
      <c r="X286" s="2" t="s">
        <v>412</v>
      </c>
      <c r="Y286" s="2" t="s">
        <v>464</v>
      </c>
      <c r="Z286" s="2" t="s">
        <v>996</v>
      </c>
      <c r="AA286" s="2" t="s">
        <v>39</v>
      </c>
      <c r="AB286" s="2" t="s">
        <v>414</v>
      </c>
    </row>
    <row r="287" spans="1:28" hidden="1" x14ac:dyDescent="0.2">
      <c r="A287" s="2" t="s">
        <v>410</v>
      </c>
      <c r="B287" s="3">
        <v>44073</v>
      </c>
      <c r="C287" s="2" t="s">
        <v>1524</v>
      </c>
      <c r="D287" s="2" t="s">
        <v>91</v>
      </c>
      <c r="E287" s="2" t="s">
        <v>92</v>
      </c>
      <c r="F287" s="2" t="s">
        <v>93</v>
      </c>
      <c r="G287" s="2" t="s">
        <v>1539</v>
      </c>
      <c r="H287" s="2" t="s">
        <v>1540</v>
      </c>
      <c r="I287" s="2" t="s">
        <v>714</v>
      </c>
      <c r="J287" s="2" t="s">
        <v>95</v>
      </c>
      <c r="K287" s="2" t="s">
        <v>177</v>
      </c>
      <c r="L287" s="2" t="s">
        <v>1527</v>
      </c>
      <c r="M287" s="3">
        <v>44071</v>
      </c>
      <c r="N287" s="3">
        <v>44099</v>
      </c>
      <c r="O287" s="4">
        <v>196</v>
      </c>
      <c r="P287" s="2" t="s">
        <v>84</v>
      </c>
      <c r="Q287" s="2" t="s">
        <v>96</v>
      </c>
      <c r="R287" s="2" t="s">
        <v>97</v>
      </c>
      <c r="S287" s="2" t="s">
        <v>420</v>
      </c>
      <c r="T287" s="2" t="s">
        <v>87</v>
      </c>
      <c r="U287" s="2" t="s">
        <v>290</v>
      </c>
      <c r="V287" s="2" t="s">
        <v>88</v>
      </c>
      <c r="W287" s="2" t="s">
        <v>1541</v>
      </c>
      <c r="X287" s="2" t="s">
        <v>412</v>
      </c>
      <c r="Y287" s="2" t="s">
        <v>479</v>
      </c>
      <c r="Z287" s="2" t="s">
        <v>412</v>
      </c>
      <c r="AA287" s="2" t="s">
        <v>39</v>
      </c>
      <c r="AB287" s="2" t="s">
        <v>414</v>
      </c>
    </row>
    <row r="288" spans="1:28" hidden="1" x14ac:dyDescent="0.2">
      <c r="A288" s="2" t="s">
        <v>410</v>
      </c>
      <c r="B288" s="3">
        <v>44073</v>
      </c>
      <c r="C288" s="2" t="s">
        <v>1524</v>
      </c>
      <c r="D288" s="2" t="s">
        <v>91</v>
      </c>
      <c r="E288" s="2" t="s">
        <v>92</v>
      </c>
      <c r="F288" s="2" t="s">
        <v>93</v>
      </c>
      <c r="G288" s="2" t="s">
        <v>1542</v>
      </c>
      <c r="H288" s="2" t="s">
        <v>1543</v>
      </c>
      <c r="I288" s="2" t="s">
        <v>714</v>
      </c>
      <c r="J288" s="2" t="s">
        <v>95</v>
      </c>
      <c r="K288" s="2" t="s">
        <v>177</v>
      </c>
      <c r="L288" s="2" t="s">
        <v>1527</v>
      </c>
      <c r="M288" s="3">
        <v>44071</v>
      </c>
      <c r="N288" s="3">
        <v>44099</v>
      </c>
      <c r="O288" s="4">
        <v>196</v>
      </c>
      <c r="P288" s="2" t="s">
        <v>84</v>
      </c>
      <c r="Q288" s="2" t="s">
        <v>96</v>
      </c>
      <c r="R288" s="2" t="s">
        <v>97</v>
      </c>
      <c r="S288" s="2" t="s">
        <v>420</v>
      </c>
      <c r="T288" s="2" t="s">
        <v>87</v>
      </c>
      <c r="U288" s="2" t="s">
        <v>290</v>
      </c>
      <c r="V288" s="2" t="s">
        <v>88</v>
      </c>
      <c r="W288" s="2" t="s">
        <v>1544</v>
      </c>
      <c r="X288" s="2" t="s">
        <v>412</v>
      </c>
      <c r="Y288" s="2" t="s">
        <v>479</v>
      </c>
      <c r="Z288" s="2" t="s">
        <v>412</v>
      </c>
      <c r="AA288" s="2" t="s">
        <v>39</v>
      </c>
      <c r="AB288" s="2" t="s">
        <v>414</v>
      </c>
    </row>
    <row r="289" spans="1:28" hidden="1" x14ac:dyDescent="0.2">
      <c r="A289" s="2" t="s">
        <v>410</v>
      </c>
      <c r="B289" s="3">
        <v>44073</v>
      </c>
      <c r="C289" s="2" t="s">
        <v>1524</v>
      </c>
      <c r="D289" s="2" t="s">
        <v>54</v>
      </c>
      <c r="E289" s="2" t="s">
        <v>879</v>
      </c>
      <c r="F289" s="2" t="s">
        <v>880</v>
      </c>
      <c r="G289" s="2" t="s">
        <v>1827</v>
      </c>
      <c r="H289" s="2" t="s">
        <v>1828</v>
      </c>
      <c r="I289" s="2" t="s">
        <v>883</v>
      </c>
      <c r="J289" s="2" t="s">
        <v>83</v>
      </c>
      <c r="K289" s="2" t="s">
        <v>177</v>
      </c>
      <c r="L289" s="2" t="s">
        <v>1527</v>
      </c>
      <c r="M289" s="3">
        <v>44071</v>
      </c>
      <c r="N289" s="3">
        <v>44091</v>
      </c>
      <c r="O289" s="4">
        <v>253.44</v>
      </c>
      <c r="P289" s="2" t="s">
        <v>84</v>
      </c>
      <c r="Q289" s="2" t="s">
        <v>105</v>
      </c>
      <c r="R289" s="2" t="s">
        <v>106</v>
      </c>
      <c r="S289" s="2" t="s">
        <v>456</v>
      </c>
      <c r="T289" s="2" t="s">
        <v>87</v>
      </c>
      <c r="U289" s="2" t="s">
        <v>290</v>
      </c>
      <c r="V289" s="2" t="s">
        <v>88</v>
      </c>
      <c r="W289" s="2" t="s">
        <v>1829</v>
      </c>
      <c r="X289" s="2" t="s">
        <v>412</v>
      </c>
      <c r="Y289" s="2" t="s">
        <v>1830</v>
      </c>
      <c r="Z289" s="2" t="s">
        <v>1512</v>
      </c>
      <c r="AA289" s="2" t="s">
        <v>39</v>
      </c>
      <c r="AB289" s="2" t="s">
        <v>414</v>
      </c>
    </row>
    <row r="290" spans="1:28" hidden="1" x14ac:dyDescent="0.2">
      <c r="A290" s="2" t="s">
        <v>410</v>
      </c>
      <c r="B290" s="3">
        <v>44073</v>
      </c>
      <c r="C290" s="2" t="s">
        <v>1524</v>
      </c>
      <c r="D290" s="2" t="s">
        <v>28</v>
      </c>
      <c r="E290" s="2" t="s">
        <v>129</v>
      </c>
      <c r="F290" s="2" t="s">
        <v>507</v>
      </c>
      <c r="G290" s="2" t="s">
        <v>1831</v>
      </c>
      <c r="H290" s="2" t="s">
        <v>1832</v>
      </c>
      <c r="I290" s="2" t="s">
        <v>31</v>
      </c>
      <c r="J290" s="2" t="s">
        <v>32</v>
      </c>
      <c r="K290" s="2" t="s">
        <v>177</v>
      </c>
      <c r="L290" s="2" t="s">
        <v>1527</v>
      </c>
      <c r="M290" s="3">
        <v>44071</v>
      </c>
      <c r="N290" s="3">
        <v>44102</v>
      </c>
      <c r="O290" s="4">
        <v>258.72000000000003</v>
      </c>
      <c r="P290" s="2" t="s">
        <v>84</v>
      </c>
      <c r="Q290" s="2" t="s">
        <v>405</v>
      </c>
      <c r="R290" s="2" t="s">
        <v>406</v>
      </c>
      <c r="S290" s="2" t="s">
        <v>456</v>
      </c>
      <c r="T290" s="2" t="s">
        <v>87</v>
      </c>
      <c r="U290" s="2" t="s">
        <v>290</v>
      </c>
      <c r="V290" s="2" t="s">
        <v>88</v>
      </c>
      <c r="W290" s="2" t="s">
        <v>1833</v>
      </c>
      <c r="X290" s="2" t="s">
        <v>412</v>
      </c>
      <c r="Y290" s="2" t="s">
        <v>1830</v>
      </c>
      <c r="Z290" s="2" t="s">
        <v>412</v>
      </c>
      <c r="AA290" s="2" t="s">
        <v>39</v>
      </c>
      <c r="AB290" s="2" t="s">
        <v>414</v>
      </c>
    </row>
    <row r="291" spans="1:28" x14ac:dyDescent="0.2">
      <c r="A291" s="2" t="s">
        <v>427</v>
      </c>
      <c r="B291" s="3">
        <v>44074</v>
      </c>
      <c r="C291" s="2" t="s">
        <v>1622</v>
      </c>
      <c r="D291" s="2" t="s">
        <v>62</v>
      </c>
      <c r="E291" s="2" t="s">
        <v>296</v>
      </c>
      <c r="F291" s="2" t="s">
        <v>297</v>
      </c>
      <c r="G291" s="2" t="s">
        <v>1623</v>
      </c>
      <c r="H291" s="2" t="s">
        <v>1624</v>
      </c>
      <c r="I291" s="2" t="s">
        <v>298</v>
      </c>
      <c r="J291" s="2" t="s">
        <v>58</v>
      </c>
      <c r="K291" s="2" t="s">
        <v>1625</v>
      </c>
      <c r="L291" s="2" t="s">
        <v>547</v>
      </c>
      <c r="M291" s="3">
        <v>44071</v>
      </c>
      <c r="N291" s="3">
        <v>44093</v>
      </c>
      <c r="O291" s="4">
        <v>70.334999999999994</v>
      </c>
      <c r="P291" s="2" t="s">
        <v>48</v>
      </c>
      <c r="Q291" s="2" t="s">
        <v>59</v>
      </c>
      <c r="R291" s="2" t="s">
        <v>60</v>
      </c>
      <c r="S291" s="2" t="s">
        <v>446</v>
      </c>
      <c r="T291" s="2" t="s">
        <v>61</v>
      </c>
      <c r="U291" s="2" t="s">
        <v>1817</v>
      </c>
      <c r="V291" s="2" t="s">
        <v>52</v>
      </c>
      <c r="W291" s="2" t="s">
        <v>1626</v>
      </c>
      <c r="X291" s="2" t="s">
        <v>412</v>
      </c>
      <c r="Y291" s="2" t="s">
        <v>502</v>
      </c>
      <c r="Z291" s="2" t="s">
        <v>1627</v>
      </c>
      <c r="AA291" s="2" t="s">
        <v>39</v>
      </c>
      <c r="AB291" s="2" t="s">
        <v>414</v>
      </c>
    </row>
    <row r="292" spans="1:28" x14ac:dyDescent="0.2">
      <c r="A292" s="2" t="s">
        <v>427</v>
      </c>
      <c r="B292" s="3">
        <v>44074</v>
      </c>
      <c r="C292" s="2" t="s">
        <v>1622</v>
      </c>
      <c r="D292" s="2" t="s">
        <v>62</v>
      </c>
      <c r="E292" s="2" t="s">
        <v>294</v>
      </c>
      <c r="F292" s="2" t="s">
        <v>295</v>
      </c>
      <c r="G292" s="2" t="s">
        <v>1628</v>
      </c>
      <c r="H292" s="2" t="s">
        <v>1629</v>
      </c>
      <c r="I292" s="2" t="s">
        <v>77</v>
      </c>
      <c r="J292" s="2" t="s">
        <v>32</v>
      </c>
      <c r="K292" s="2" t="s">
        <v>1625</v>
      </c>
      <c r="L292" s="2" t="s">
        <v>547</v>
      </c>
      <c r="M292" s="3">
        <v>44071</v>
      </c>
      <c r="N292" s="3">
        <v>44093</v>
      </c>
      <c r="O292" s="4">
        <v>99.36</v>
      </c>
      <c r="P292" s="2" t="s">
        <v>48</v>
      </c>
      <c r="Q292" s="2" t="s">
        <v>59</v>
      </c>
      <c r="R292" s="2" t="s">
        <v>60</v>
      </c>
      <c r="S292" s="2" t="s">
        <v>419</v>
      </c>
      <c r="T292" s="2" t="s">
        <v>36</v>
      </c>
      <c r="U292" s="2" t="s">
        <v>1817</v>
      </c>
      <c r="V292" s="2" t="s">
        <v>52</v>
      </c>
      <c r="W292" s="2" t="s">
        <v>1630</v>
      </c>
      <c r="X292" s="2" t="s">
        <v>412</v>
      </c>
      <c r="Y292" s="2" t="s">
        <v>437</v>
      </c>
      <c r="Z292" s="2" t="s">
        <v>1492</v>
      </c>
      <c r="AA292" s="2" t="s">
        <v>39</v>
      </c>
      <c r="AB292" s="2" t="s">
        <v>414</v>
      </c>
    </row>
    <row r="293" spans="1:28" x14ac:dyDescent="0.2">
      <c r="A293" s="2" t="s">
        <v>427</v>
      </c>
      <c r="B293" s="3">
        <v>44068</v>
      </c>
      <c r="C293" s="2" t="s">
        <v>1631</v>
      </c>
      <c r="D293" s="2" t="s">
        <v>91</v>
      </c>
      <c r="E293" s="2" t="s">
        <v>258</v>
      </c>
      <c r="F293" s="2" t="s">
        <v>259</v>
      </c>
      <c r="G293" s="2" t="s">
        <v>1632</v>
      </c>
      <c r="H293" s="2" t="s">
        <v>1633</v>
      </c>
      <c r="I293" s="2" t="s">
        <v>77</v>
      </c>
      <c r="J293" s="2" t="s">
        <v>32</v>
      </c>
      <c r="K293" s="2" t="s">
        <v>581</v>
      </c>
      <c r="L293" s="2" t="s">
        <v>1634</v>
      </c>
      <c r="M293" s="3">
        <v>44071</v>
      </c>
      <c r="N293" s="3">
        <v>44094</v>
      </c>
      <c r="O293" s="4">
        <v>198.72</v>
      </c>
      <c r="P293" s="2" t="s">
        <v>48</v>
      </c>
      <c r="Q293" s="2" t="s">
        <v>134</v>
      </c>
      <c r="R293" s="2" t="s">
        <v>135</v>
      </c>
      <c r="S293" s="2" t="s">
        <v>420</v>
      </c>
      <c r="T293" s="2" t="s">
        <v>36</v>
      </c>
      <c r="U293" s="2" t="s">
        <v>1817</v>
      </c>
      <c r="V293" s="2" t="s">
        <v>52</v>
      </c>
      <c r="W293" s="2" t="s">
        <v>1635</v>
      </c>
      <c r="X293" s="2" t="s">
        <v>412</v>
      </c>
      <c r="Y293" s="2" t="s">
        <v>421</v>
      </c>
      <c r="Z293" s="2" t="s">
        <v>412</v>
      </c>
      <c r="AA293" s="2" t="s">
        <v>39</v>
      </c>
      <c r="AB293" s="2" t="s">
        <v>414</v>
      </c>
    </row>
    <row r="294" spans="1:28" x14ac:dyDescent="0.2">
      <c r="A294" s="2" t="s">
        <v>427</v>
      </c>
      <c r="B294" s="3">
        <v>44073</v>
      </c>
      <c r="C294" s="2" t="s">
        <v>1636</v>
      </c>
      <c r="D294" s="2" t="s">
        <v>74</v>
      </c>
      <c r="E294" s="2" t="s">
        <v>75</v>
      </c>
      <c r="F294" s="2" t="s">
        <v>966</v>
      </c>
      <c r="G294" s="2" t="s">
        <v>1637</v>
      </c>
      <c r="H294" s="2" t="s">
        <v>1638</v>
      </c>
      <c r="I294" s="2" t="s">
        <v>77</v>
      </c>
      <c r="J294" s="2" t="s">
        <v>32</v>
      </c>
      <c r="K294" s="2" t="s">
        <v>1695</v>
      </c>
      <c r="L294" s="2" t="s">
        <v>1640</v>
      </c>
      <c r="M294" s="3">
        <v>44071</v>
      </c>
      <c r="N294" s="3">
        <v>44131</v>
      </c>
      <c r="O294" s="4">
        <v>496.8</v>
      </c>
      <c r="P294" s="2" t="s">
        <v>48</v>
      </c>
      <c r="Q294" s="2" t="s">
        <v>149</v>
      </c>
      <c r="R294" s="2" t="s">
        <v>150</v>
      </c>
      <c r="S294" s="2" t="s">
        <v>428</v>
      </c>
      <c r="T294" s="2" t="s">
        <v>36</v>
      </c>
      <c r="U294" s="2" t="s">
        <v>1817</v>
      </c>
      <c r="V294" s="2" t="s">
        <v>73</v>
      </c>
      <c r="W294" s="2" t="s">
        <v>1641</v>
      </c>
      <c r="X294" s="2" t="s">
        <v>412</v>
      </c>
      <c r="Y294" s="2" t="s">
        <v>429</v>
      </c>
      <c r="Z294" s="2" t="s">
        <v>412</v>
      </c>
      <c r="AA294" s="2" t="s">
        <v>39</v>
      </c>
      <c r="AB294" s="2" t="s">
        <v>414</v>
      </c>
    </row>
    <row r="295" spans="1:28" x14ac:dyDescent="0.2">
      <c r="A295" s="2" t="s">
        <v>427</v>
      </c>
      <c r="B295" s="3">
        <v>44074</v>
      </c>
      <c r="C295" s="2" t="s">
        <v>1642</v>
      </c>
      <c r="D295" s="2" t="s">
        <v>137</v>
      </c>
      <c r="E295" s="2" t="s">
        <v>392</v>
      </c>
      <c r="F295" s="2" t="s">
        <v>393</v>
      </c>
      <c r="G295" s="2" t="s">
        <v>1643</v>
      </c>
      <c r="H295" s="2" t="s">
        <v>1644</v>
      </c>
      <c r="I295" s="2" t="s">
        <v>394</v>
      </c>
      <c r="J295" s="2" t="s">
        <v>58</v>
      </c>
      <c r="K295" s="2" t="s">
        <v>245</v>
      </c>
      <c r="L295" s="2" t="s">
        <v>1645</v>
      </c>
      <c r="M295" s="3">
        <v>44072</v>
      </c>
      <c r="N295" s="3">
        <v>44102</v>
      </c>
      <c r="O295" s="4">
        <v>145.29599999999999</v>
      </c>
      <c r="P295" s="2" t="s">
        <v>48</v>
      </c>
      <c r="Q295" s="2" t="s">
        <v>166</v>
      </c>
      <c r="R295" s="2" t="s">
        <v>395</v>
      </c>
      <c r="S295" s="2" t="s">
        <v>465</v>
      </c>
      <c r="T295" s="2" t="s">
        <v>36</v>
      </c>
      <c r="U295" s="2" t="s">
        <v>290</v>
      </c>
      <c r="V295" s="2" t="s">
        <v>52</v>
      </c>
      <c r="W295" s="2" t="s">
        <v>1646</v>
      </c>
      <c r="X295" s="2" t="s">
        <v>412</v>
      </c>
      <c r="Y295" s="2" t="s">
        <v>471</v>
      </c>
      <c r="Z295" s="2" t="s">
        <v>1647</v>
      </c>
      <c r="AA295" s="2" t="s">
        <v>39</v>
      </c>
      <c r="AB295" s="2" t="s">
        <v>414</v>
      </c>
    </row>
    <row r="296" spans="1:28" hidden="1" x14ac:dyDescent="0.2">
      <c r="A296" s="2" t="s">
        <v>431</v>
      </c>
      <c r="B296" s="3">
        <v>44073</v>
      </c>
      <c r="C296" s="2" t="s">
        <v>1648</v>
      </c>
      <c r="D296" s="2" t="s">
        <v>74</v>
      </c>
      <c r="E296" s="2" t="s">
        <v>207</v>
      </c>
      <c r="F296" s="2" t="s">
        <v>208</v>
      </c>
      <c r="G296" s="2" t="s">
        <v>1649</v>
      </c>
      <c r="H296" s="2" t="s">
        <v>1650</v>
      </c>
      <c r="I296" s="2" t="s">
        <v>291</v>
      </c>
      <c r="J296" s="2" t="s">
        <v>58</v>
      </c>
      <c r="K296" s="2" t="s">
        <v>573</v>
      </c>
      <c r="L296" s="2" t="s">
        <v>1588</v>
      </c>
      <c r="M296" s="3">
        <v>44073</v>
      </c>
      <c r="N296" s="3">
        <v>44125</v>
      </c>
      <c r="O296" s="4">
        <v>51.28</v>
      </c>
      <c r="P296" s="2" t="s">
        <v>33</v>
      </c>
      <c r="Q296" s="2" t="s">
        <v>210</v>
      </c>
      <c r="R296" s="2" t="s">
        <v>364</v>
      </c>
      <c r="S296" s="2" t="s">
        <v>449</v>
      </c>
      <c r="T296" s="2" t="s">
        <v>72</v>
      </c>
      <c r="U296" s="2" t="s">
        <v>290</v>
      </c>
      <c r="V296" s="2" t="s">
        <v>65</v>
      </c>
      <c r="W296" s="2" t="s">
        <v>1651</v>
      </c>
      <c r="X296" s="2" t="s">
        <v>412</v>
      </c>
      <c r="Y296" s="2" t="s">
        <v>428</v>
      </c>
      <c r="Z296" s="2" t="s">
        <v>1466</v>
      </c>
      <c r="AA296" s="2" t="s">
        <v>39</v>
      </c>
      <c r="AB296" s="2" t="s">
        <v>414</v>
      </c>
    </row>
    <row r="297" spans="1:28" x14ac:dyDescent="0.2">
      <c r="A297" s="2" t="s">
        <v>427</v>
      </c>
      <c r="B297" s="3">
        <v>44073</v>
      </c>
      <c r="C297" s="2" t="s">
        <v>1175</v>
      </c>
      <c r="D297" s="2" t="s">
        <v>365</v>
      </c>
      <c r="E297" s="2" t="s">
        <v>543</v>
      </c>
      <c r="F297" s="2" t="s">
        <v>575</v>
      </c>
      <c r="G297" s="2" t="s">
        <v>1176</v>
      </c>
      <c r="H297" s="2" t="s">
        <v>1177</v>
      </c>
      <c r="I297" s="2" t="s">
        <v>77</v>
      </c>
      <c r="J297" s="2" t="s">
        <v>32</v>
      </c>
      <c r="K297" s="2" t="s">
        <v>1696</v>
      </c>
      <c r="L297" s="2" t="s">
        <v>1588</v>
      </c>
      <c r="M297" s="3">
        <v>44073</v>
      </c>
      <c r="N297" s="3">
        <v>44091</v>
      </c>
      <c r="O297" s="4">
        <v>496.8</v>
      </c>
      <c r="P297" s="2" t="s">
        <v>48</v>
      </c>
      <c r="Q297" s="2" t="s">
        <v>576</v>
      </c>
      <c r="R297" s="2" t="s">
        <v>577</v>
      </c>
      <c r="S297" s="2" t="s">
        <v>455</v>
      </c>
      <c r="T297" s="2" t="s">
        <v>42</v>
      </c>
      <c r="U297" s="2" t="s">
        <v>1694</v>
      </c>
      <c r="V297" s="2" t="s">
        <v>241</v>
      </c>
      <c r="W297" s="2" t="s">
        <v>1178</v>
      </c>
      <c r="X297" s="2" t="s">
        <v>412</v>
      </c>
      <c r="Y297" s="2" t="s">
        <v>429</v>
      </c>
      <c r="Z297" s="2" t="s">
        <v>412</v>
      </c>
      <c r="AA297" s="2" t="s">
        <v>39</v>
      </c>
      <c r="AB297" s="2" t="s">
        <v>414</v>
      </c>
    </row>
    <row r="298" spans="1:28" x14ac:dyDescent="0.2">
      <c r="A298" s="2" t="s">
        <v>486</v>
      </c>
      <c r="B298" s="3">
        <v>44063</v>
      </c>
      <c r="C298" s="2" t="s">
        <v>1834</v>
      </c>
      <c r="D298" s="2" t="s">
        <v>178</v>
      </c>
      <c r="E298" s="2" t="s">
        <v>186</v>
      </c>
      <c r="F298" s="2" t="s">
        <v>187</v>
      </c>
      <c r="G298" s="2" t="s">
        <v>1446</v>
      </c>
      <c r="H298" s="2" t="s">
        <v>1447</v>
      </c>
      <c r="I298" s="2" t="s">
        <v>389</v>
      </c>
      <c r="J298" s="2" t="s">
        <v>47</v>
      </c>
      <c r="K298" s="2" t="s">
        <v>1696</v>
      </c>
      <c r="L298" s="2" t="s">
        <v>1588</v>
      </c>
      <c r="M298" s="3">
        <v>44073</v>
      </c>
      <c r="N298" s="3">
        <v>44097</v>
      </c>
      <c r="O298" s="4">
        <v>147.24</v>
      </c>
      <c r="P298" s="2" t="s">
        <v>48</v>
      </c>
      <c r="Q298" s="2" t="s">
        <v>182</v>
      </c>
      <c r="R298" s="2" t="s">
        <v>391</v>
      </c>
      <c r="S298" s="2" t="s">
        <v>465</v>
      </c>
      <c r="T298" s="2" t="s">
        <v>36</v>
      </c>
      <c r="U298" s="2" t="s">
        <v>290</v>
      </c>
      <c r="V298" s="2" t="s">
        <v>65</v>
      </c>
      <c r="W298" s="2" t="s">
        <v>1835</v>
      </c>
      <c r="X298" s="2" t="s">
        <v>412</v>
      </c>
      <c r="Y298" s="2" t="s">
        <v>469</v>
      </c>
      <c r="Z298" s="2" t="s">
        <v>53</v>
      </c>
      <c r="AA298" s="2" t="s">
        <v>190</v>
      </c>
      <c r="AB298" s="2" t="s">
        <v>414</v>
      </c>
    </row>
    <row r="299" spans="1:28" hidden="1" x14ac:dyDescent="0.2">
      <c r="A299" s="2" t="s">
        <v>431</v>
      </c>
      <c r="B299" s="3">
        <v>44073</v>
      </c>
      <c r="C299" s="2" t="s">
        <v>1652</v>
      </c>
      <c r="D299" s="2" t="s">
        <v>28</v>
      </c>
      <c r="E299" s="2" t="s">
        <v>29</v>
      </c>
      <c r="F299" s="2" t="s">
        <v>41</v>
      </c>
      <c r="G299" s="2" t="s">
        <v>1653</v>
      </c>
      <c r="H299" s="2" t="s">
        <v>1654</v>
      </c>
      <c r="I299" s="2" t="s">
        <v>31</v>
      </c>
      <c r="J299" s="2" t="s">
        <v>32</v>
      </c>
      <c r="K299" s="2" t="s">
        <v>574</v>
      </c>
      <c r="L299" s="2" t="s">
        <v>1516</v>
      </c>
      <c r="M299" s="3">
        <v>44074</v>
      </c>
      <c r="N299" s="3">
        <v>44090</v>
      </c>
      <c r="O299" s="4">
        <v>501.904</v>
      </c>
      <c r="P299" s="2" t="s">
        <v>33</v>
      </c>
      <c r="Q299" s="2" t="s">
        <v>115</v>
      </c>
      <c r="R299" s="2" t="s">
        <v>116</v>
      </c>
      <c r="S299" s="2" t="s">
        <v>447</v>
      </c>
      <c r="T299" s="2" t="s">
        <v>140</v>
      </c>
      <c r="U299" s="2" t="s">
        <v>290</v>
      </c>
      <c r="V299" s="2" t="s">
        <v>52</v>
      </c>
      <c r="W299" s="2" t="s">
        <v>1655</v>
      </c>
      <c r="X299" s="2" t="s">
        <v>412</v>
      </c>
      <c r="Y299" s="2" t="s">
        <v>448</v>
      </c>
      <c r="Z299" s="2" t="s">
        <v>412</v>
      </c>
      <c r="AA299" s="2" t="s">
        <v>39</v>
      </c>
      <c r="AB299" s="2" t="s">
        <v>414</v>
      </c>
    </row>
    <row r="300" spans="1:28" hidden="1" x14ac:dyDescent="0.2">
      <c r="A300" s="2" t="s">
        <v>431</v>
      </c>
      <c r="B300" s="3">
        <v>44073</v>
      </c>
      <c r="C300" s="2" t="s">
        <v>1652</v>
      </c>
      <c r="D300" s="2" t="s">
        <v>28</v>
      </c>
      <c r="E300" s="2" t="s">
        <v>29</v>
      </c>
      <c r="F300" s="2" t="s">
        <v>41</v>
      </c>
      <c r="G300" s="2" t="s">
        <v>1656</v>
      </c>
      <c r="H300" s="2" t="s">
        <v>1657</v>
      </c>
      <c r="I300" s="2" t="s">
        <v>31</v>
      </c>
      <c r="J300" s="2" t="s">
        <v>32</v>
      </c>
      <c r="K300" s="2" t="s">
        <v>574</v>
      </c>
      <c r="L300" s="2" t="s">
        <v>1516</v>
      </c>
      <c r="M300" s="3">
        <v>44074</v>
      </c>
      <c r="N300" s="3">
        <v>44090</v>
      </c>
      <c r="O300" s="4">
        <v>501.904</v>
      </c>
      <c r="P300" s="2" t="s">
        <v>33</v>
      </c>
      <c r="Q300" s="2" t="s">
        <v>115</v>
      </c>
      <c r="R300" s="2" t="s">
        <v>116</v>
      </c>
      <c r="S300" s="2" t="s">
        <v>447</v>
      </c>
      <c r="T300" s="2" t="s">
        <v>140</v>
      </c>
      <c r="U300" s="2" t="s">
        <v>290</v>
      </c>
      <c r="V300" s="2" t="s">
        <v>52</v>
      </c>
      <c r="W300" s="2" t="s">
        <v>1658</v>
      </c>
      <c r="X300" s="2" t="s">
        <v>412</v>
      </c>
      <c r="Y300" s="2" t="s">
        <v>448</v>
      </c>
      <c r="Z300" s="2" t="s">
        <v>412</v>
      </c>
      <c r="AA300" s="2" t="s">
        <v>39</v>
      </c>
      <c r="AB300" s="2" t="s">
        <v>414</v>
      </c>
    </row>
    <row r="301" spans="1:28" x14ac:dyDescent="0.2">
      <c r="A301" s="2" t="s">
        <v>427</v>
      </c>
      <c r="B301" s="3">
        <v>44073</v>
      </c>
      <c r="C301" s="2" t="s">
        <v>1659</v>
      </c>
      <c r="D301" s="2" t="s">
        <v>365</v>
      </c>
      <c r="E301" s="2" t="s">
        <v>543</v>
      </c>
      <c r="F301" s="2" t="s">
        <v>575</v>
      </c>
      <c r="G301" s="2" t="s">
        <v>1660</v>
      </c>
      <c r="H301" s="2" t="s">
        <v>1661</v>
      </c>
      <c r="I301" s="2" t="s">
        <v>77</v>
      </c>
      <c r="J301" s="2" t="s">
        <v>32</v>
      </c>
      <c r="K301" s="2" t="s">
        <v>403</v>
      </c>
      <c r="L301" s="2" t="s">
        <v>490</v>
      </c>
      <c r="M301" s="3">
        <v>44074</v>
      </c>
      <c r="N301" s="3">
        <v>44095</v>
      </c>
      <c r="O301" s="4">
        <v>496.8</v>
      </c>
      <c r="P301" s="2" t="s">
        <v>48</v>
      </c>
      <c r="Q301" s="2" t="s">
        <v>576</v>
      </c>
      <c r="R301" s="2" t="s">
        <v>577</v>
      </c>
      <c r="S301" s="2" t="s">
        <v>455</v>
      </c>
      <c r="T301" s="2" t="s">
        <v>42</v>
      </c>
      <c r="U301" s="2" t="s">
        <v>1694</v>
      </c>
      <c r="V301" s="2" t="s">
        <v>52</v>
      </c>
      <c r="W301" s="2" t="s">
        <v>1662</v>
      </c>
      <c r="X301" s="2" t="s">
        <v>412</v>
      </c>
      <c r="Y301" s="2" t="s">
        <v>429</v>
      </c>
      <c r="Z301" s="2" t="s">
        <v>412</v>
      </c>
      <c r="AA301" s="2" t="s">
        <v>39</v>
      </c>
      <c r="AB301" s="2" t="s">
        <v>414</v>
      </c>
    </row>
    <row r="302" spans="1:28" s="2" customFormat="1" hidden="1" x14ac:dyDescent="0.2">
      <c r="A302" s="2" t="s">
        <v>470</v>
      </c>
      <c r="B302" s="3">
        <v>44048</v>
      </c>
      <c r="C302" s="2" t="s">
        <v>412</v>
      </c>
      <c r="D302" s="2" t="s">
        <v>44</v>
      </c>
      <c r="E302" s="2" t="s">
        <v>45</v>
      </c>
      <c r="F302" s="2" t="s">
        <v>299</v>
      </c>
      <c r="G302" s="2" t="s">
        <v>1854</v>
      </c>
      <c r="H302" s="2" t="s">
        <v>1855</v>
      </c>
      <c r="I302" s="2" t="s">
        <v>1856</v>
      </c>
      <c r="J302" s="2" t="s">
        <v>223</v>
      </c>
      <c r="K302" s="2" t="s">
        <v>412</v>
      </c>
      <c r="L302" s="2" t="s">
        <v>412</v>
      </c>
      <c r="M302" s="3"/>
      <c r="N302" s="3"/>
      <c r="O302" s="4">
        <v>100</v>
      </c>
      <c r="P302" s="2" t="s">
        <v>303</v>
      </c>
      <c r="Q302" s="2" t="s">
        <v>85</v>
      </c>
      <c r="R302" s="2" t="s">
        <v>301</v>
      </c>
      <c r="S302" s="2" t="s">
        <v>439</v>
      </c>
      <c r="T302" s="2" t="s">
        <v>117</v>
      </c>
      <c r="U302" s="2" t="s">
        <v>290</v>
      </c>
      <c r="V302" s="2" t="s">
        <v>412</v>
      </c>
      <c r="W302" s="2" t="s">
        <v>412</v>
      </c>
      <c r="X302" s="2" t="s">
        <v>412</v>
      </c>
      <c r="Y302" s="2" t="s">
        <v>823</v>
      </c>
      <c r="Z302" s="2" t="s">
        <v>412</v>
      </c>
      <c r="AA302" s="2" t="s">
        <v>39</v>
      </c>
      <c r="AB302" s="2" t="s">
        <v>441</v>
      </c>
    </row>
    <row r="303" spans="1:28" s="2" customFormat="1" x14ac:dyDescent="0.2">
      <c r="A303" s="2" t="s">
        <v>427</v>
      </c>
      <c r="B303" s="3">
        <v>44073</v>
      </c>
      <c r="C303" s="2" t="s">
        <v>1669</v>
      </c>
      <c r="D303" s="2" t="s">
        <v>91</v>
      </c>
      <c r="E303" s="2" t="s">
        <v>728</v>
      </c>
      <c r="F303" s="2" t="s">
        <v>729</v>
      </c>
      <c r="G303" s="2" t="s">
        <v>1670</v>
      </c>
      <c r="H303" s="2" t="s">
        <v>1671</v>
      </c>
      <c r="I303" s="2" t="s">
        <v>730</v>
      </c>
      <c r="J303" s="2" t="s">
        <v>58</v>
      </c>
      <c r="K303" s="2" t="s">
        <v>579</v>
      </c>
      <c r="L303" s="2" t="s">
        <v>1152</v>
      </c>
      <c r="M303" s="3">
        <v>44075</v>
      </c>
      <c r="N303" s="3">
        <v>44124</v>
      </c>
      <c r="O303" s="4">
        <v>205.744</v>
      </c>
      <c r="P303" s="2" t="s">
        <v>48</v>
      </c>
      <c r="Q303" s="2" t="s">
        <v>731</v>
      </c>
      <c r="R303" s="2" t="s">
        <v>732</v>
      </c>
      <c r="S303" s="2" t="s">
        <v>420</v>
      </c>
      <c r="T303" s="2" t="s">
        <v>72</v>
      </c>
      <c r="U303" s="2" t="s">
        <v>290</v>
      </c>
      <c r="V303" s="2" t="s">
        <v>65</v>
      </c>
      <c r="W303" s="2" t="s">
        <v>1672</v>
      </c>
      <c r="X303" s="2" t="s">
        <v>412</v>
      </c>
      <c r="Y303" s="2" t="s">
        <v>1372</v>
      </c>
      <c r="Z303" s="2" t="s">
        <v>412</v>
      </c>
      <c r="AA303" s="2" t="s">
        <v>733</v>
      </c>
      <c r="AB303" s="2" t="s">
        <v>414</v>
      </c>
    </row>
  </sheetData>
  <autoFilter ref="A1:AB303" xr:uid="{5550A132-A9AC-4902-983E-33BBAF40028D}">
    <filterColumn colId="15">
      <filters>
        <filter val="AUSYD"/>
      </filters>
    </filterColumn>
    <sortState xmlns:xlrd2="http://schemas.microsoft.com/office/spreadsheetml/2017/richdata2" ref="A10:AB303">
      <sortCondition ref="M1:M30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F2F5-9333-4690-A5E6-9FA4F5EC090A}">
  <dimension ref="A1:AG301"/>
  <sheetViews>
    <sheetView workbookViewId="0">
      <pane ySplit="1" topLeftCell="A80" activePane="bottomLeft" state="frozen"/>
      <selection activeCell="E1" sqref="E1"/>
      <selection pane="bottomLeft" activeCell="K104" sqref="K104"/>
    </sheetView>
  </sheetViews>
  <sheetFormatPr defaultRowHeight="12.75" outlineLevelCol="1" x14ac:dyDescent="0.2"/>
  <cols>
    <col min="2" max="2" width="0" hidden="1" customWidth="1" outlineLevel="1"/>
    <col min="3" max="3" width="9.140625" collapsed="1"/>
    <col min="4" max="4" width="0" hidden="1" customWidth="1" outlineLevel="1"/>
    <col min="5" max="5" width="9.140625" collapsed="1"/>
    <col min="9" max="10" width="0" hidden="1" customWidth="1" outlineLevel="1"/>
    <col min="11" max="11" width="21.85546875" bestFit="1" customWidth="1" collapsed="1"/>
    <col min="13" max="13" width="11.5703125" customWidth="1"/>
    <col min="14" max="14" width="13.28515625" bestFit="1" customWidth="1"/>
    <col min="15" max="15" width="0" hidden="1" customWidth="1" outlineLevel="1"/>
    <col min="16" max="16" width="9.140625" collapsed="1"/>
    <col min="20" max="21" width="0" hidden="1" customWidth="1" outlineLevel="1"/>
    <col min="22" max="22" width="9.140625" collapsed="1"/>
    <col min="23" max="23" width="14.42578125" bestFit="1" customWidth="1"/>
    <col min="24" max="28" width="0" hidden="1" customWidth="1" outlineLevel="1"/>
    <col min="29" max="29" width="13" style="31" bestFit="1" customWidth="1" collapsed="1"/>
    <col min="30" max="30" width="13" style="31" bestFit="1" customWidth="1"/>
  </cols>
  <sheetData>
    <row r="1" spans="1:33" ht="63.7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7" t="s">
        <v>17</v>
      </c>
      <c r="S1" s="7" t="s">
        <v>18</v>
      </c>
      <c r="T1" s="5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7" t="s">
        <v>25</v>
      </c>
      <c r="AA1" s="5" t="s">
        <v>26</v>
      </c>
      <c r="AB1" s="5" t="s">
        <v>27</v>
      </c>
      <c r="AC1" s="12" t="s">
        <v>1673</v>
      </c>
      <c r="AD1" s="12" t="s">
        <v>1674</v>
      </c>
      <c r="AE1" s="10" t="s">
        <v>1675</v>
      </c>
      <c r="AF1" s="10" t="s">
        <v>1676</v>
      </c>
      <c r="AG1" s="10" t="s">
        <v>1677</v>
      </c>
    </row>
    <row r="2" spans="1:33" x14ac:dyDescent="0.2">
      <c r="A2" s="2" t="s">
        <v>431</v>
      </c>
      <c r="B2" s="3">
        <v>44073</v>
      </c>
      <c r="C2" s="2" t="s">
        <v>787</v>
      </c>
      <c r="D2" s="2" t="s">
        <v>28</v>
      </c>
      <c r="E2" s="2" t="s">
        <v>129</v>
      </c>
      <c r="F2" s="2" t="s">
        <v>363</v>
      </c>
      <c r="G2" s="2" t="s">
        <v>788</v>
      </c>
      <c r="H2" s="2" t="s">
        <v>789</v>
      </c>
      <c r="I2" s="2" t="s">
        <v>357</v>
      </c>
      <c r="J2" s="2" t="s">
        <v>58</v>
      </c>
      <c r="K2" s="2" t="s">
        <v>790</v>
      </c>
      <c r="L2" s="2" t="s">
        <v>791</v>
      </c>
      <c r="M2" s="3">
        <v>44046</v>
      </c>
      <c r="N2" s="3">
        <v>44077</v>
      </c>
      <c r="O2" s="4">
        <v>257.58600000000001</v>
      </c>
      <c r="P2" s="2" t="s">
        <v>33</v>
      </c>
      <c r="Q2" s="2" t="s">
        <v>263</v>
      </c>
      <c r="R2" s="2" t="s">
        <v>360</v>
      </c>
      <c r="S2" s="2" t="s">
        <v>416</v>
      </c>
      <c r="T2" s="2" t="s">
        <v>72</v>
      </c>
      <c r="U2" s="2" t="s">
        <v>37</v>
      </c>
      <c r="V2" s="2" t="s">
        <v>88</v>
      </c>
      <c r="W2" s="2" t="s">
        <v>792</v>
      </c>
      <c r="X2" s="2" t="s">
        <v>412</v>
      </c>
      <c r="Y2" s="2" t="s">
        <v>595</v>
      </c>
      <c r="Z2" s="2" t="s">
        <v>596</v>
      </c>
      <c r="AA2" s="2" t="s">
        <v>39</v>
      </c>
      <c r="AB2" s="2" t="s">
        <v>414</v>
      </c>
      <c r="AC2" s="14">
        <f t="shared" ref="AC2:AD4" si="0">M2</f>
        <v>44046</v>
      </c>
      <c r="AD2" s="14">
        <f t="shared" si="0"/>
        <v>44077</v>
      </c>
      <c r="AE2">
        <v>0</v>
      </c>
    </row>
    <row r="3" spans="1:33" x14ac:dyDescent="0.2">
      <c r="A3" s="2" t="s">
        <v>431</v>
      </c>
      <c r="B3" s="3">
        <v>44048</v>
      </c>
      <c r="C3" s="2" t="s">
        <v>781</v>
      </c>
      <c r="D3" s="2" t="s">
        <v>170</v>
      </c>
      <c r="E3" s="2" t="s">
        <v>171</v>
      </c>
      <c r="F3" s="2" t="s">
        <v>172</v>
      </c>
      <c r="G3" s="2" t="s">
        <v>782</v>
      </c>
      <c r="H3" s="2" t="s">
        <v>783</v>
      </c>
      <c r="I3" s="2" t="s">
        <v>176</v>
      </c>
      <c r="J3" s="2" t="s">
        <v>58</v>
      </c>
      <c r="K3" s="2" t="s">
        <v>784</v>
      </c>
      <c r="L3" s="2" t="s">
        <v>785</v>
      </c>
      <c r="M3" s="3">
        <v>44046</v>
      </c>
      <c r="N3" s="3">
        <v>44052</v>
      </c>
      <c r="O3" s="4">
        <v>135.16</v>
      </c>
      <c r="P3" s="2" t="s">
        <v>33</v>
      </c>
      <c r="Q3" s="2" t="s">
        <v>173</v>
      </c>
      <c r="R3" s="2" t="s">
        <v>174</v>
      </c>
      <c r="S3" s="2" t="s">
        <v>465</v>
      </c>
      <c r="T3" s="2" t="s">
        <v>61</v>
      </c>
      <c r="U3" s="2" t="s">
        <v>37</v>
      </c>
      <c r="V3" s="2" t="s">
        <v>65</v>
      </c>
      <c r="W3" s="2" t="s">
        <v>786</v>
      </c>
      <c r="X3" s="2" t="s">
        <v>412</v>
      </c>
      <c r="Y3" s="2" t="s">
        <v>438</v>
      </c>
      <c r="Z3" s="2" t="s">
        <v>412</v>
      </c>
      <c r="AA3" s="2" t="s">
        <v>175</v>
      </c>
      <c r="AB3" s="2" t="s">
        <v>414</v>
      </c>
      <c r="AC3" s="14">
        <f t="shared" si="0"/>
        <v>44046</v>
      </c>
      <c r="AD3" s="14">
        <f t="shared" si="0"/>
        <v>44052</v>
      </c>
      <c r="AE3">
        <v>0</v>
      </c>
    </row>
    <row r="4" spans="1:33" x14ac:dyDescent="0.2">
      <c r="A4" s="2" t="s">
        <v>484</v>
      </c>
      <c r="B4" s="3">
        <v>44027</v>
      </c>
      <c r="C4" s="2" t="s">
        <v>1794</v>
      </c>
      <c r="D4" s="2" t="s">
        <v>178</v>
      </c>
      <c r="E4" s="2" t="s">
        <v>179</v>
      </c>
      <c r="F4" s="2" t="s">
        <v>180</v>
      </c>
      <c r="G4" s="2" t="s">
        <v>1795</v>
      </c>
      <c r="H4" s="2" t="s">
        <v>1796</v>
      </c>
      <c r="I4" s="2" t="s">
        <v>181</v>
      </c>
      <c r="J4" s="2" t="s">
        <v>95</v>
      </c>
      <c r="K4" s="2" t="s">
        <v>1782</v>
      </c>
      <c r="L4" s="2" t="s">
        <v>1783</v>
      </c>
      <c r="M4" s="3">
        <v>44044</v>
      </c>
      <c r="N4" s="3">
        <v>44063</v>
      </c>
      <c r="O4" s="4">
        <v>262.52300000000002</v>
      </c>
      <c r="P4" s="2" t="s">
        <v>492</v>
      </c>
      <c r="Q4" s="2" t="s">
        <v>182</v>
      </c>
      <c r="R4" s="2" t="s">
        <v>183</v>
      </c>
      <c r="S4" s="2" t="s">
        <v>456</v>
      </c>
      <c r="T4" s="2" t="s">
        <v>87</v>
      </c>
      <c r="U4" s="2" t="s">
        <v>37</v>
      </c>
      <c r="V4" s="2" t="s">
        <v>504</v>
      </c>
      <c r="W4" s="2" t="s">
        <v>1784</v>
      </c>
      <c r="X4" s="2" t="s">
        <v>412</v>
      </c>
      <c r="Y4" s="2" t="s">
        <v>485</v>
      </c>
      <c r="Z4" s="2" t="s">
        <v>412</v>
      </c>
      <c r="AA4" s="2" t="s">
        <v>184</v>
      </c>
      <c r="AB4" s="2" t="s">
        <v>414</v>
      </c>
      <c r="AC4" s="14">
        <f t="shared" si="0"/>
        <v>44044</v>
      </c>
      <c r="AD4" s="14">
        <f t="shared" si="0"/>
        <v>44063</v>
      </c>
    </row>
    <row r="5" spans="1:33" x14ac:dyDescent="0.2">
      <c r="A5" s="2" t="s">
        <v>484</v>
      </c>
      <c r="B5" s="3">
        <v>44027</v>
      </c>
      <c r="C5" s="2" t="s">
        <v>1794</v>
      </c>
      <c r="D5" s="2" t="s">
        <v>178</v>
      </c>
      <c r="E5" s="2" t="s">
        <v>179</v>
      </c>
      <c r="F5" s="2" t="s">
        <v>180</v>
      </c>
      <c r="G5" s="2" t="s">
        <v>1797</v>
      </c>
      <c r="H5" s="2" t="s">
        <v>1798</v>
      </c>
      <c r="I5" s="2" t="s">
        <v>181</v>
      </c>
      <c r="J5" s="2" t="s">
        <v>95</v>
      </c>
      <c r="K5" s="2" t="s">
        <v>1782</v>
      </c>
      <c r="L5" s="2" t="s">
        <v>1783</v>
      </c>
      <c r="M5" s="3">
        <v>44044</v>
      </c>
      <c r="N5" s="3">
        <v>44061</v>
      </c>
      <c r="O5" s="4">
        <v>214.673</v>
      </c>
      <c r="P5" s="2" t="s">
        <v>492</v>
      </c>
      <c r="Q5" s="2" t="s">
        <v>131</v>
      </c>
      <c r="R5" s="2" t="s">
        <v>185</v>
      </c>
      <c r="S5" s="2" t="s">
        <v>422</v>
      </c>
      <c r="T5" s="2" t="s">
        <v>87</v>
      </c>
      <c r="U5" s="2" t="s">
        <v>37</v>
      </c>
      <c r="V5" s="2" t="s">
        <v>504</v>
      </c>
      <c r="W5" s="2" t="s">
        <v>1785</v>
      </c>
      <c r="X5" s="2" t="s">
        <v>412</v>
      </c>
      <c r="Y5" s="2" t="s">
        <v>1799</v>
      </c>
      <c r="Z5" s="2" t="s">
        <v>412</v>
      </c>
      <c r="AA5" s="2" t="s">
        <v>184</v>
      </c>
      <c r="AB5" s="2" t="s">
        <v>414</v>
      </c>
      <c r="AC5" s="14">
        <f t="shared" ref="AC5:AD5" si="1">M5</f>
        <v>44044</v>
      </c>
      <c r="AD5" s="14">
        <f t="shared" si="1"/>
        <v>44061</v>
      </c>
    </row>
    <row r="6" spans="1:33" x14ac:dyDescent="0.2">
      <c r="A6" s="2" t="s">
        <v>431</v>
      </c>
      <c r="B6" s="3">
        <v>44027</v>
      </c>
      <c r="C6" s="2" t="s">
        <v>661</v>
      </c>
      <c r="D6" s="2" t="s">
        <v>102</v>
      </c>
      <c r="E6" s="2" t="s">
        <v>662</v>
      </c>
      <c r="F6" s="2" t="s">
        <v>663</v>
      </c>
      <c r="G6" s="2" t="s">
        <v>664</v>
      </c>
      <c r="H6" s="2" t="s">
        <v>665</v>
      </c>
      <c r="I6" s="2" t="s">
        <v>112</v>
      </c>
      <c r="J6" s="2" t="s">
        <v>32</v>
      </c>
      <c r="K6" s="2" t="s">
        <v>526</v>
      </c>
      <c r="L6" s="2" t="s">
        <v>527</v>
      </c>
      <c r="M6" s="3">
        <v>44047</v>
      </c>
      <c r="N6" s="3">
        <v>44054</v>
      </c>
      <c r="O6" s="4">
        <v>400.12299999999999</v>
      </c>
      <c r="P6" s="2" t="s">
        <v>114</v>
      </c>
      <c r="Q6" s="2" t="s">
        <v>131</v>
      </c>
      <c r="R6" s="2" t="s">
        <v>132</v>
      </c>
      <c r="S6" s="2" t="s">
        <v>439</v>
      </c>
      <c r="T6" s="2" t="s">
        <v>117</v>
      </c>
      <c r="U6" s="2" t="s">
        <v>37</v>
      </c>
      <c r="V6" s="2" t="s">
        <v>118</v>
      </c>
      <c r="W6" s="2" t="s">
        <v>412</v>
      </c>
      <c r="X6" s="2" t="s">
        <v>412</v>
      </c>
      <c r="Y6" s="2" t="s">
        <v>766</v>
      </c>
      <c r="Z6" s="2" t="s">
        <v>412</v>
      </c>
      <c r="AA6" s="2" t="s">
        <v>39</v>
      </c>
      <c r="AB6" s="2" t="s">
        <v>441</v>
      </c>
      <c r="AC6" s="14">
        <f t="shared" ref="AC6:AD10" si="2">M6</f>
        <v>44047</v>
      </c>
      <c r="AD6" s="14">
        <f t="shared" si="2"/>
        <v>44054</v>
      </c>
      <c r="AE6">
        <v>0</v>
      </c>
    </row>
    <row r="7" spans="1:33" x14ac:dyDescent="0.2">
      <c r="A7" s="2" t="s">
        <v>431</v>
      </c>
      <c r="B7" s="3">
        <v>44042</v>
      </c>
      <c r="C7" s="2" t="s">
        <v>661</v>
      </c>
      <c r="D7" s="2" t="s">
        <v>28</v>
      </c>
      <c r="E7" s="2" t="s">
        <v>29</v>
      </c>
      <c r="F7" s="2" t="s">
        <v>30</v>
      </c>
      <c r="G7" s="2" t="s">
        <v>666</v>
      </c>
      <c r="H7" s="2" t="s">
        <v>667</v>
      </c>
      <c r="I7" s="2" t="s">
        <v>112</v>
      </c>
      <c r="J7" s="2" t="s">
        <v>32</v>
      </c>
      <c r="K7" s="2" t="s">
        <v>526</v>
      </c>
      <c r="L7" s="2" t="s">
        <v>527</v>
      </c>
      <c r="M7" s="3">
        <v>44047</v>
      </c>
      <c r="N7" s="3">
        <v>44077</v>
      </c>
      <c r="O7" s="4">
        <v>498.71499999999997</v>
      </c>
      <c r="P7" s="2" t="s">
        <v>114</v>
      </c>
      <c r="Q7" s="2" t="s">
        <v>115</v>
      </c>
      <c r="R7" s="2" t="s">
        <v>332</v>
      </c>
      <c r="S7" s="2" t="s">
        <v>439</v>
      </c>
      <c r="T7" s="2" t="s">
        <v>117</v>
      </c>
      <c r="U7" s="2" t="s">
        <v>37</v>
      </c>
      <c r="V7" s="2" t="s">
        <v>118</v>
      </c>
      <c r="W7" s="2" t="s">
        <v>412</v>
      </c>
      <c r="X7" s="2" t="s">
        <v>412</v>
      </c>
      <c r="Y7" s="2" t="s">
        <v>767</v>
      </c>
      <c r="Z7" s="2" t="s">
        <v>412</v>
      </c>
      <c r="AA7" s="2" t="s">
        <v>39</v>
      </c>
      <c r="AB7" s="2" t="s">
        <v>441</v>
      </c>
      <c r="AC7" s="14">
        <f t="shared" si="2"/>
        <v>44047</v>
      </c>
      <c r="AD7" s="14">
        <f t="shared" si="2"/>
        <v>44077</v>
      </c>
      <c r="AE7">
        <v>0</v>
      </c>
    </row>
    <row r="8" spans="1:33" x14ac:dyDescent="0.2">
      <c r="A8" s="2" t="s">
        <v>431</v>
      </c>
      <c r="B8" s="3">
        <v>44042</v>
      </c>
      <c r="C8" s="2" t="s">
        <v>661</v>
      </c>
      <c r="D8" s="2" t="s">
        <v>28</v>
      </c>
      <c r="E8" s="2" t="s">
        <v>29</v>
      </c>
      <c r="F8" s="2" t="s">
        <v>30</v>
      </c>
      <c r="G8" s="2" t="s">
        <v>668</v>
      </c>
      <c r="H8" s="2" t="s">
        <v>669</v>
      </c>
      <c r="I8" s="2" t="s">
        <v>112</v>
      </c>
      <c r="J8" s="2" t="s">
        <v>32</v>
      </c>
      <c r="K8" s="2" t="s">
        <v>526</v>
      </c>
      <c r="L8" s="2" t="s">
        <v>527</v>
      </c>
      <c r="M8" s="3">
        <v>44047</v>
      </c>
      <c r="N8" s="3">
        <v>44077</v>
      </c>
      <c r="O8" s="4">
        <v>501.11</v>
      </c>
      <c r="P8" s="2" t="s">
        <v>114</v>
      </c>
      <c r="Q8" s="2" t="s">
        <v>115</v>
      </c>
      <c r="R8" s="2" t="s">
        <v>332</v>
      </c>
      <c r="S8" s="2" t="s">
        <v>439</v>
      </c>
      <c r="T8" s="2" t="s">
        <v>117</v>
      </c>
      <c r="U8" s="2" t="s">
        <v>37</v>
      </c>
      <c r="V8" s="2" t="s">
        <v>118</v>
      </c>
      <c r="W8" s="2" t="s">
        <v>412</v>
      </c>
      <c r="X8" s="2" t="s">
        <v>412</v>
      </c>
      <c r="Y8" s="2" t="s">
        <v>767</v>
      </c>
      <c r="Z8" s="2" t="s">
        <v>412</v>
      </c>
      <c r="AA8" s="2" t="s">
        <v>39</v>
      </c>
      <c r="AB8" s="2" t="s">
        <v>441</v>
      </c>
      <c r="AC8" s="14">
        <f t="shared" si="2"/>
        <v>44047</v>
      </c>
      <c r="AD8" s="14">
        <f t="shared" si="2"/>
        <v>44077</v>
      </c>
      <c r="AE8">
        <v>0</v>
      </c>
    </row>
    <row r="9" spans="1:33" x14ac:dyDescent="0.2">
      <c r="A9" s="2" t="s">
        <v>431</v>
      </c>
      <c r="B9" s="3">
        <v>44042</v>
      </c>
      <c r="C9" s="2" t="s">
        <v>661</v>
      </c>
      <c r="D9" s="2" t="s">
        <v>28</v>
      </c>
      <c r="E9" s="2" t="s">
        <v>29</v>
      </c>
      <c r="F9" s="2" t="s">
        <v>30</v>
      </c>
      <c r="G9" s="2" t="s">
        <v>670</v>
      </c>
      <c r="H9" s="2" t="s">
        <v>671</v>
      </c>
      <c r="I9" s="2" t="s">
        <v>112</v>
      </c>
      <c r="J9" s="2" t="s">
        <v>32</v>
      </c>
      <c r="K9" s="2" t="s">
        <v>526</v>
      </c>
      <c r="L9" s="2" t="s">
        <v>527</v>
      </c>
      <c r="M9" s="3">
        <v>44047</v>
      </c>
      <c r="N9" s="3">
        <v>44077</v>
      </c>
      <c r="O9" s="4">
        <v>501.09300000000002</v>
      </c>
      <c r="P9" s="2" t="s">
        <v>114</v>
      </c>
      <c r="Q9" s="2" t="s">
        <v>115</v>
      </c>
      <c r="R9" s="2" t="s">
        <v>332</v>
      </c>
      <c r="S9" s="2" t="s">
        <v>439</v>
      </c>
      <c r="T9" s="2" t="s">
        <v>117</v>
      </c>
      <c r="U9" s="2" t="s">
        <v>37</v>
      </c>
      <c r="V9" s="2" t="s">
        <v>118</v>
      </c>
      <c r="W9" s="2" t="s">
        <v>412</v>
      </c>
      <c r="X9" s="2" t="s">
        <v>412</v>
      </c>
      <c r="Y9" s="2" t="s">
        <v>767</v>
      </c>
      <c r="Z9" s="2" t="s">
        <v>412</v>
      </c>
      <c r="AA9" s="2" t="s">
        <v>39</v>
      </c>
      <c r="AB9" s="2" t="s">
        <v>441</v>
      </c>
      <c r="AC9" s="14">
        <f t="shared" si="2"/>
        <v>44047</v>
      </c>
      <c r="AD9" s="14">
        <f t="shared" si="2"/>
        <v>44077</v>
      </c>
      <c r="AE9">
        <v>0</v>
      </c>
    </row>
    <row r="10" spans="1:33" x14ac:dyDescent="0.2">
      <c r="A10" s="2" t="s">
        <v>427</v>
      </c>
      <c r="B10" s="3">
        <v>44027</v>
      </c>
      <c r="C10" s="2" t="s">
        <v>1800</v>
      </c>
      <c r="D10" s="2" t="s">
        <v>91</v>
      </c>
      <c r="E10" s="2" t="s">
        <v>258</v>
      </c>
      <c r="F10" s="2" t="s">
        <v>1687</v>
      </c>
      <c r="G10" s="2" t="s">
        <v>1801</v>
      </c>
      <c r="H10" s="2" t="s">
        <v>1802</v>
      </c>
      <c r="I10" s="2" t="s">
        <v>77</v>
      </c>
      <c r="J10" s="2" t="s">
        <v>32</v>
      </c>
      <c r="K10" s="2" t="s">
        <v>743</v>
      </c>
      <c r="L10" s="2" t="s">
        <v>744</v>
      </c>
      <c r="M10" s="3">
        <v>44045</v>
      </c>
      <c r="N10" s="3">
        <v>44064</v>
      </c>
      <c r="O10" s="4">
        <v>498.36099999999999</v>
      </c>
      <c r="P10" s="2" t="s">
        <v>48</v>
      </c>
      <c r="Q10" s="2" t="s">
        <v>100</v>
      </c>
      <c r="R10" s="2" t="s">
        <v>1688</v>
      </c>
      <c r="S10" s="2" t="s">
        <v>428</v>
      </c>
      <c r="T10" s="2" t="s">
        <v>36</v>
      </c>
      <c r="U10" s="2" t="s">
        <v>37</v>
      </c>
      <c r="V10" s="2" t="s">
        <v>241</v>
      </c>
      <c r="W10" s="2" t="s">
        <v>1689</v>
      </c>
      <c r="X10" s="2" t="s">
        <v>412</v>
      </c>
      <c r="Y10" s="2" t="s">
        <v>429</v>
      </c>
      <c r="Z10" s="2" t="s">
        <v>412</v>
      </c>
      <c r="AA10" s="2" t="s">
        <v>39</v>
      </c>
      <c r="AB10" s="2" t="s">
        <v>414</v>
      </c>
      <c r="AC10" s="14">
        <f t="shared" si="2"/>
        <v>44045</v>
      </c>
      <c r="AD10" s="14">
        <f t="shared" si="2"/>
        <v>44064</v>
      </c>
    </row>
    <row r="11" spans="1:33" x14ac:dyDescent="0.2">
      <c r="A11" s="2" t="s">
        <v>427</v>
      </c>
      <c r="B11" s="3">
        <v>44027</v>
      </c>
      <c r="C11" s="2" t="s">
        <v>1800</v>
      </c>
      <c r="D11" s="2" t="s">
        <v>91</v>
      </c>
      <c r="E11" s="2" t="s">
        <v>258</v>
      </c>
      <c r="F11" s="2" t="s">
        <v>1687</v>
      </c>
      <c r="G11" s="2" t="s">
        <v>1803</v>
      </c>
      <c r="H11" s="2" t="s">
        <v>1804</v>
      </c>
      <c r="I11" s="2" t="s">
        <v>77</v>
      </c>
      <c r="J11" s="2" t="s">
        <v>32</v>
      </c>
      <c r="K11" s="2" t="s">
        <v>743</v>
      </c>
      <c r="L11" s="2" t="s">
        <v>744</v>
      </c>
      <c r="M11" s="3">
        <v>44045</v>
      </c>
      <c r="N11" s="3">
        <v>44064</v>
      </c>
      <c r="O11" s="4">
        <v>497.79500000000002</v>
      </c>
      <c r="P11" s="2" t="s">
        <v>48</v>
      </c>
      <c r="Q11" s="2" t="s">
        <v>100</v>
      </c>
      <c r="R11" s="2" t="s">
        <v>1690</v>
      </c>
      <c r="S11" s="2" t="s">
        <v>428</v>
      </c>
      <c r="T11" s="2" t="s">
        <v>36</v>
      </c>
      <c r="U11" s="2" t="s">
        <v>37</v>
      </c>
      <c r="V11" s="2" t="s">
        <v>241</v>
      </c>
      <c r="W11" s="2" t="s">
        <v>1691</v>
      </c>
      <c r="X11" s="2" t="s">
        <v>412</v>
      </c>
      <c r="Y11" s="2" t="s">
        <v>429</v>
      </c>
      <c r="Z11" s="2" t="s">
        <v>412</v>
      </c>
      <c r="AA11" s="2" t="s">
        <v>39</v>
      </c>
      <c r="AB11" s="2" t="s">
        <v>414</v>
      </c>
      <c r="AC11" s="14">
        <f t="shared" ref="AC11:AC13" si="3">M11</f>
        <v>44045</v>
      </c>
      <c r="AD11" s="14">
        <f t="shared" ref="AD11:AD13" si="4">N11</f>
        <v>44064</v>
      </c>
    </row>
    <row r="12" spans="1:33" x14ac:dyDescent="0.2">
      <c r="A12" s="2" t="s">
        <v>427</v>
      </c>
      <c r="B12" s="3">
        <v>44043</v>
      </c>
      <c r="C12" s="2" t="s">
        <v>607</v>
      </c>
      <c r="D12" s="2" t="s">
        <v>62</v>
      </c>
      <c r="E12" s="2" t="s">
        <v>294</v>
      </c>
      <c r="F12" s="2" t="s">
        <v>295</v>
      </c>
      <c r="G12" s="2" t="s">
        <v>612</v>
      </c>
      <c r="H12" s="2" t="s">
        <v>613</v>
      </c>
      <c r="I12" s="2" t="s">
        <v>77</v>
      </c>
      <c r="J12" s="2" t="s">
        <v>32</v>
      </c>
      <c r="K12" s="2" t="s">
        <v>293</v>
      </c>
      <c r="L12" s="2" t="s">
        <v>512</v>
      </c>
      <c r="M12" s="3">
        <v>44045</v>
      </c>
      <c r="N12" s="3">
        <v>44063</v>
      </c>
      <c r="O12" s="4">
        <v>99.563999999999993</v>
      </c>
      <c r="P12" s="2" t="s">
        <v>48</v>
      </c>
      <c r="Q12" s="2" t="s">
        <v>59</v>
      </c>
      <c r="R12" s="2" t="s">
        <v>60</v>
      </c>
      <c r="S12" s="2" t="s">
        <v>419</v>
      </c>
      <c r="T12" s="2" t="s">
        <v>36</v>
      </c>
      <c r="U12" s="2" t="s">
        <v>37</v>
      </c>
      <c r="V12" s="2" t="s">
        <v>52</v>
      </c>
      <c r="W12" s="2" t="s">
        <v>614</v>
      </c>
      <c r="X12" s="2" t="s">
        <v>412</v>
      </c>
      <c r="Y12" s="2" t="s">
        <v>437</v>
      </c>
      <c r="Z12" s="2" t="s">
        <v>615</v>
      </c>
      <c r="AA12" s="2" t="s">
        <v>39</v>
      </c>
      <c r="AB12" s="2" t="s">
        <v>414</v>
      </c>
      <c r="AC12" s="14">
        <f t="shared" si="3"/>
        <v>44045</v>
      </c>
      <c r="AD12" s="14">
        <f t="shared" si="4"/>
        <v>44063</v>
      </c>
    </row>
    <row r="13" spans="1:33" x14ac:dyDescent="0.2">
      <c r="A13" s="2" t="s">
        <v>427</v>
      </c>
      <c r="B13" s="3">
        <v>44043</v>
      </c>
      <c r="C13" s="2" t="s">
        <v>607</v>
      </c>
      <c r="D13" s="2" t="s">
        <v>62</v>
      </c>
      <c r="E13" s="2" t="s">
        <v>296</v>
      </c>
      <c r="F13" s="2" t="s">
        <v>297</v>
      </c>
      <c r="G13" s="2" t="s">
        <v>616</v>
      </c>
      <c r="H13" s="2" t="s">
        <v>617</v>
      </c>
      <c r="I13" s="2" t="s">
        <v>298</v>
      </c>
      <c r="J13" s="2" t="s">
        <v>58</v>
      </c>
      <c r="K13" s="2" t="s">
        <v>293</v>
      </c>
      <c r="L13" s="2" t="s">
        <v>512</v>
      </c>
      <c r="M13" s="3">
        <v>44045</v>
      </c>
      <c r="N13" s="3">
        <v>44063</v>
      </c>
      <c r="O13" s="4">
        <v>47.188000000000002</v>
      </c>
      <c r="P13" s="2" t="s">
        <v>48</v>
      </c>
      <c r="Q13" s="2" t="s">
        <v>59</v>
      </c>
      <c r="R13" s="2" t="s">
        <v>60</v>
      </c>
      <c r="S13" s="2" t="s">
        <v>449</v>
      </c>
      <c r="T13" s="2" t="s">
        <v>61</v>
      </c>
      <c r="U13" s="2" t="s">
        <v>37</v>
      </c>
      <c r="V13" s="2" t="s">
        <v>52</v>
      </c>
      <c r="W13" s="2" t="s">
        <v>618</v>
      </c>
      <c r="X13" s="2" t="s">
        <v>412</v>
      </c>
      <c r="Y13" s="2" t="s">
        <v>462</v>
      </c>
      <c r="Z13" s="2" t="s">
        <v>619</v>
      </c>
      <c r="AA13" s="2" t="s">
        <v>39</v>
      </c>
      <c r="AB13" s="2" t="s">
        <v>414</v>
      </c>
      <c r="AC13" s="14">
        <f t="shared" si="3"/>
        <v>44045</v>
      </c>
      <c r="AD13" s="14">
        <f t="shared" si="4"/>
        <v>44063</v>
      </c>
    </row>
    <row r="14" spans="1:33" x14ac:dyDescent="0.2">
      <c r="A14" s="2" t="s">
        <v>431</v>
      </c>
      <c r="B14" s="3">
        <v>44042</v>
      </c>
      <c r="C14" s="2" t="s">
        <v>661</v>
      </c>
      <c r="D14" s="2" t="s">
        <v>28</v>
      </c>
      <c r="E14" s="2" t="s">
        <v>29</v>
      </c>
      <c r="F14" s="2" t="s">
        <v>30</v>
      </c>
      <c r="G14" s="2" t="s">
        <v>672</v>
      </c>
      <c r="H14" s="2" t="s">
        <v>673</v>
      </c>
      <c r="I14" s="2" t="s">
        <v>112</v>
      </c>
      <c r="J14" s="2" t="s">
        <v>32</v>
      </c>
      <c r="K14" s="2" t="s">
        <v>526</v>
      </c>
      <c r="L14" s="2" t="s">
        <v>527</v>
      </c>
      <c r="M14" s="3">
        <v>44047</v>
      </c>
      <c r="N14" s="3">
        <v>44077</v>
      </c>
      <c r="O14" s="4">
        <v>501.178</v>
      </c>
      <c r="P14" s="2" t="s">
        <v>114</v>
      </c>
      <c r="Q14" s="2" t="s">
        <v>115</v>
      </c>
      <c r="R14" s="2" t="s">
        <v>332</v>
      </c>
      <c r="S14" s="2" t="s">
        <v>439</v>
      </c>
      <c r="T14" s="2" t="s">
        <v>117</v>
      </c>
      <c r="U14" s="2" t="s">
        <v>37</v>
      </c>
      <c r="V14" s="2" t="s">
        <v>118</v>
      </c>
      <c r="W14" s="2" t="s">
        <v>412</v>
      </c>
      <c r="X14" s="2" t="s">
        <v>412</v>
      </c>
      <c r="Y14" s="2" t="s">
        <v>767</v>
      </c>
      <c r="Z14" s="2" t="s">
        <v>412</v>
      </c>
      <c r="AA14" s="2" t="s">
        <v>39</v>
      </c>
      <c r="AB14" s="2" t="s">
        <v>441</v>
      </c>
      <c r="AC14" s="14">
        <f>M14</f>
        <v>44047</v>
      </c>
      <c r="AD14" s="14">
        <f>N14</f>
        <v>44077</v>
      </c>
      <c r="AE14">
        <v>0</v>
      </c>
    </row>
    <row r="15" spans="1:33" x14ac:dyDescent="0.2">
      <c r="A15" s="2" t="s">
        <v>427</v>
      </c>
      <c r="B15" s="3">
        <v>44042</v>
      </c>
      <c r="C15" s="2" t="s">
        <v>630</v>
      </c>
      <c r="D15" s="2" t="s">
        <v>74</v>
      </c>
      <c r="E15" s="2" t="s">
        <v>75</v>
      </c>
      <c r="F15" s="2" t="s">
        <v>76</v>
      </c>
      <c r="G15" s="2" t="s">
        <v>631</v>
      </c>
      <c r="H15" s="2" t="s">
        <v>632</v>
      </c>
      <c r="I15" s="2" t="s">
        <v>77</v>
      </c>
      <c r="J15" s="2" t="s">
        <v>32</v>
      </c>
      <c r="K15" s="2" t="s">
        <v>761</v>
      </c>
      <c r="L15" s="2" t="s">
        <v>762</v>
      </c>
      <c r="M15" s="3">
        <v>44046</v>
      </c>
      <c r="N15" s="3">
        <v>44085</v>
      </c>
      <c r="O15" s="4">
        <v>299.22000000000003</v>
      </c>
      <c r="P15" s="2" t="s">
        <v>48</v>
      </c>
      <c r="Q15" s="2" t="s">
        <v>78</v>
      </c>
      <c r="R15" s="2" t="s">
        <v>79</v>
      </c>
      <c r="S15" s="2" t="s">
        <v>425</v>
      </c>
      <c r="T15" s="2" t="s">
        <v>36</v>
      </c>
      <c r="U15" s="2" t="s">
        <v>37</v>
      </c>
      <c r="V15" s="2" t="s">
        <v>73</v>
      </c>
      <c r="W15" s="2" t="s">
        <v>633</v>
      </c>
      <c r="X15" s="2" t="s">
        <v>412</v>
      </c>
      <c r="Y15" s="2" t="s">
        <v>426</v>
      </c>
      <c r="Z15" s="2" t="s">
        <v>412</v>
      </c>
      <c r="AA15" s="2" t="s">
        <v>39</v>
      </c>
      <c r="AB15" s="2" t="s">
        <v>414</v>
      </c>
      <c r="AC15" s="14">
        <f t="shared" ref="AC15:AC22" si="5">M15</f>
        <v>44046</v>
      </c>
      <c r="AD15" s="14">
        <f t="shared" ref="AD15:AD22" si="6">N15</f>
        <v>44085</v>
      </c>
    </row>
    <row r="16" spans="1:33" x14ac:dyDescent="0.2">
      <c r="A16" s="2" t="s">
        <v>427</v>
      </c>
      <c r="B16" s="3">
        <v>44042</v>
      </c>
      <c r="C16" s="2" t="s">
        <v>630</v>
      </c>
      <c r="D16" s="2" t="s">
        <v>74</v>
      </c>
      <c r="E16" s="2" t="s">
        <v>75</v>
      </c>
      <c r="F16" s="2" t="s">
        <v>76</v>
      </c>
      <c r="G16" s="2" t="s">
        <v>634</v>
      </c>
      <c r="H16" s="2" t="s">
        <v>635</v>
      </c>
      <c r="I16" s="2" t="s">
        <v>77</v>
      </c>
      <c r="J16" s="2" t="s">
        <v>32</v>
      </c>
      <c r="K16" s="2" t="s">
        <v>761</v>
      </c>
      <c r="L16" s="2" t="s">
        <v>762</v>
      </c>
      <c r="M16" s="3">
        <v>44046</v>
      </c>
      <c r="N16" s="3">
        <v>44085</v>
      </c>
      <c r="O16" s="4">
        <v>223.82599999999999</v>
      </c>
      <c r="P16" s="2" t="s">
        <v>48</v>
      </c>
      <c r="Q16" s="2" t="s">
        <v>78</v>
      </c>
      <c r="R16" s="2" t="s">
        <v>79</v>
      </c>
      <c r="S16" s="2" t="s">
        <v>422</v>
      </c>
      <c r="T16" s="2" t="s">
        <v>36</v>
      </c>
      <c r="U16" s="2" t="s">
        <v>37</v>
      </c>
      <c r="V16" s="2" t="s">
        <v>73</v>
      </c>
      <c r="W16" s="2" t="s">
        <v>636</v>
      </c>
      <c r="X16" s="2" t="s">
        <v>412</v>
      </c>
      <c r="Y16" s="2" t="s">
        <v>423</v>
      </c>
      <c r="Z16" s="2" t="s">
        <v>412</v>
      </c>
      <c r="AA16" s="2" t="s">
        <v>39</v>
      </c>
      <c r="AB16" s="2" t="s">
        <v>414</v>
      </c>
      <c r="AC16" s="14">
        <f t="shared" si="5"/>
        <v>44046</v>
      </c>
      <c r="AD16" s="14">
        <f t="shared" si="6"/>
        <v>44085</v>
      </c>
    </row>
    <row r="17" spans="1:31" x14ac:dyDescent="0.2">
      <c r="A17" s="2" t="s">
        <v>427</v>
      </c>
      <c r="B17" s="3">
        <v>44042</v>
      </c>
      <c r="C17" s="2" t="s">
        <v>544</v>
      </c>
      <c r="D17" s="2" t="s">
        <v>91</v>
      </c>
      <c r="E17" s="2" t="s">
        <v>347</v>
      </c>
      <c r="F17" s="2" t="s">
        <v>348</v>
      </c>
      <c r="G17" s="2" t="s">
        <v>545</v>
      </c>
      <c r="H17" s="2" t="s">
        <v>546</v>
      </c>
      <c r="I17" s="2" t="s">
        <v>349</v>
      </c>
      <c r="J17" s="2" t="s">
        <v>58</v>
      </c>
      <c r="K17" s="2" t="s">
        <v>245</v>
      </c>
      <c r="L17" s="2" t="s">
        <v>547</v>
      </c>
      <c r="M17" s="3">
        <v>44046</v>
      </c>
      <c r="N17" s="3">
        <v>44057</v>
      </c>
      <c r="O17" s="4">
        <v>103.4</v>
      </c>
      <c r="P17" s="2" t="s">
        <v>48</v>
      </c>
      <c r="Q17" s="2" t="s">
        <v>100</v>
      </c>
      <c r="R17" s="2" t="s">
        <v>101</v>
      </c>
      <c r="S17" s="2" t="s">
        <v>419</v>
      </c>
      <c r="T17" s="2" t="s">
        <v>72</v>
      </c>
      <c r="U17" s="2" t="s">
        <v>37</v>
      </c>
      <c r="V17" s="2" t="s">
        <v>155</v>
      </c>
      <c r="W17" s="2" t="s">
        <v>548</v>
      </c>
      <c r="X17" s="2" t="s">
        <v>412</v>
      </c>
      <c r="Y17" s="2" t="s">
        <v>454</v>
      </c>
      <c r="Z17" s="2" t="s">
        <v>549</v>
      </c>
      <c r="AA17" s="2" t="s">
        <v>39</v>
      </c>
      <c r="AB17" s="2" t="s">
        <v>414</v>
      </c>
      <c r="AC17" s="14">
        <f t="shared" si="5"/>
        <v>44046</v>
      </c>
      <c r="AD17" s="14">
        <f t="shared" si="6"/>
        <v>44057</v>
      </c>
    </row>
    <row r="18" spans="1:31" x14ac:dyDescent="0.2">
      <c r="A18" s="2" t="s">
        <v>427</v>
      </c>
      <c r="B18" s="3">
        <v>44027</v>
      </c>
      <c r="C18" s="2" t="s">
        <v>544</v>
      </c>
      <c r="D18" s="2" t="s">
        <v>91</v>
      </c>
      <c r="E18" s="2" t="s">
        <v>350</v>
      </c>
      <c r="F18" s="2" t="s">
        <v>351</v>
      </c>
      <c r="G18" s="2" t="s">
        <v>550</v>
      </c>
      <c r="H18" s="2" t="s">
        <v>551</v>
      </c>
      <c r="I18" s="2" t="s">
        <v>77</v>
      </c>
      <c r="J18" s="2" t="s">
        <v>32</v>
      </c>
      <c r="K18" s="2" t="s">
        <v>245</v>
      </c>
      <c r="L18" s="2" t="s">
        <v>547</v>
      </c>
      <c r="M18" s="3">
        <v>44046</v>
      </c>
      <c r="N18" s="3">
        <v>44057</v>
      </c>
      <c r="O18" s="4">
        <v>99.679000000000002</v>
      </c>
      <c r="P18" s="2" t="s">
        <v>48</v>
      </c>
      <c r="Q18" s="2" t="s">
        <v>100</v>
      </c>
      <c r="R18" s="2" t="s">
        <v>101</v>
      </c>
      <c r="S18" s="2" t="s">
        <v>419</v>
      </c>
      <c r="T18" s="2" t="s">
        <v>36</v>
      </c>
      <c r="U18" s="2" t="s">
        <v>37</v>
      </c>
      <c r="V18" s="2" t="s">
        <v>155</v>
      </c>
      <c r="W18" s="2" t="s">
        <v>552</v>
      </c>
      <c r="X18" s="2" t="s">
        <v>412</v>
      </c>
      <c r="Y18" s="2" t="s">
        <v>437</v>
      </c>
      <c r="Z18" s="2" t="s">
        <v>412</v>
      </c>
      <c r="AA18" s="2" t="s">
        <v>39</v>
      </c>
      <c r="AB18" s="2" t="s">
        <v>414</v>
      </c>
      <c r="AC18" s="14">
        <f t="shared" si="5"/>
        <v>44046</v>
      </c>
      <c r="AD18" s="14">
        <f t="shared" si="6"/>
        <v>44057</v>
      </c>
    </row>
    <row r="19" spans="1:31" x14ac:dyDescent="0.2">
      <c r="A19" s="2" t="s">
        <v>427</v>
      </c>
      <c r="B19" s="3">
        <v>44032</v>
      </c>
      <c r="C19" s="2" t="s">
        <v>544</v>
      </c>
      <c r="D19" s="2" t="s">
        <v>91</v>
      </c>
      <c r="E19" s="2" t="s">
        <v>553</v>
      </c>
      <c r="F19" s="2" t="s">
        <v>554</v>
      </c>
      <c r="G19" s="2" t="s">
        <v>555</v>
      </c>
      <c r="H19" s="2" t="s">
        <v>556</v>
      </c>
      <c r="I19" s="2" t="s">
        <v>77</v>
      </c>
      <c r="J19" s="2" t="s">
        <v>32</v>
      </c>
      <c r="K19" s="2" t="s">
        <v>245</v>
      </c>
      <c r="L19" s="2" t="s">
        <v>547</v>
      </c>
      <c r="M19" s="3">
        <v>44046</v>
      </c>
      <c r="N19" s="3">
        <v>44057</v>
      </c>
      <c r="O19" s="4">
        <v>299.24599999999998</v>
      </c>
      <c r="P19" s="2" t="s">
        <v>48</v>
      </c>
      <c r="Q19" s="2" t="s">
        <v>100</v>
      </c>
      <c r="R19" s="2" t="s">
        <v>101</v>
      </c>
      <c r="S19" s="2" t="s">
        <v>425</v>
      </c>
      <c r="T19" s="2" t="s">
        <v>36</v>
      </c>
      <c r="U19" s="2" t="s">
        <v>37</v>
      </c>
      <c r="V19" s="2" t="s">
        <v>155</v>
      </c>
      <c r="W19" s="2" t="s">
        <v>557</v>
      </c>
      <c r="X19" s="2" t="s">
        <v>412</v>
      </c>
      <c r="Y19" s="2" t="s">
        <v>426</v>
      </c>
      <c r="Z19" s="2" t="s">
        <v>412</v>
      </c>
      <c r="AA19" s="2" t="s">
        <v>39</v>
      </c>
      <c r="AB19" s="2" t="s">
        <v>414</v>
      </c>
      <c r="AC19" s="14">
        <f t="shared" si="5"/>
        <v>44046</v>
      </c>
      <c r="AD19" s="14">
        <f t="shared" si="6"/>
        <v>44057</v>
      </c>
    </row>
    <row r="20" spans="1:31" x14ac:dyDescent="0.2">
      <c r="A20" s="2" t="s">
        <v>427</v>
      </c>
      <c r="B20" s="3">
        <v>44032</v>
      </c>
      <c r="C20" s="2" t="s">
        <v>544</v>
      </c>
      <c r="D20" s="2" t="s">
        <v>102</v>
      </c>
      <c r="E20" s="2" t="s">
        <v>398</v>
      </c>
      <c r="F20" s="2" t="s">
        <v>399</v>
      </c>
      <c r="G20" s="2" t="s">
        <v>558</v>
      </c>
      <c r="H20" s="2" t="s">
        <v>559</v>
      </c>
      <c r="I20" s="2" t="s">
        <v>400</v>
      </c>
      <c r="J20" s="2" t="s">
        <v>58</v>
      </c>
      <c r="K20" s="2" t="s">
        <v>245</v>
      </c>
      <c r="L20" s="2" t="s">
        <v>547</v>
      </c>
      <c r="M20" s="3">
        <v>44046</v>
      </c>
      <c r="N20" s="3">
        <v>44065</v>
      </c>
      <c r="O20" s="4">
        <v>76.841999999999999</v>
      </c>
      <c r="P20" s="2" t="s">
        <v>48</v>
      </c>
      <c r="Q20" s="2" t="s">
        <v>401</v>
      </c>
      <c r="R20" s="2" t="s">
        <v>402</v>
      </c>
      <c r="S20" s="2" t="s">
        <v>419</v>
      </c>
      <c r="T20" s="2" t="s">
        <v>140</v>
      </c>
      <c r="U20" s="2" t="s">
        <v>37</v>
      </c>
      <c r="V20" s="2" t="s">
        <v>155</v>
      </c>
      <c r="W20" s="2" t="s">
        <v>560</v>
      </c>
      <c r="X20" s="2" t="s">
        <v>412</v>
      </c>
      <c r="Y20" s="2" t="s">
        <v>433</v>
      </c>
      <c r="Z20" s="2" t="s">
        <v>561</v>
      </c>
      <c r="AA20" s="2" t="s">
        <v>39</v>
      </c>
      <c r="AB20" s="2" t="s">
        <v>414</v>
      </c>
      <c r="AC20" s="14">
        <f t="shared" si="5"/>
        <v>44046</v>
      </c>
      <c r="AD20" s="14">
        <f t="shared" si="6"/>
        <v>44065</v>
      </c>
    </row>
    <row r="21" spans="1:31" x14ac:dyDescent="0.2">
      <c r="A21" s="2" t="s">
        <v>427</v>
      </c>
      <c r="B21" s="3">
        <v>44017</v>
      </c>
      <c r="C21" s="2" t="s">
        <v>544</v>
      </c>
      <c r="D21" s="2" t="s">
        <v>44</v>
      </c>
      <c r="E21" s="2" t="s">
        <v>45</v>
      </c>
      <c r="F21" s="2" t="s">
        <v>299</v>
      </c>
      <c r="G21" s="2" t="s">
        <v>562</v>
      </c>
      <c r="H21" s="2" t="s">
        <v>563</v>
      </c>
      <c r="I21" s="2" t="s">
        <v>300</v>
      </c>
      <c r="J21" s="2" t="s">
        <v>58</v>
      </c>
      <c r="K21" s="2" t="s">
        <v>245</v>
      </c>
      <c r="L21" s="2" t="s">
        <v>547</v>
      </c>
      <c r="M21" s="3">
        <v>44046</v>
      </c>
      <c r="N21" s="3">
        <v>44068</v>
      </c>
      <c r="O21" s="4">
        <v>20.347999999999999</v>
      </c>
      <c r="P21" s="2" t="s">
        <v>48</v>
      </c>
      <c r="Q21" s="2" t="s">
        <v>85</v>
      </c>
      <c r="R21" s="2" t="s">
        <v>301</v>
      </c>
      <c r="S21" s="2" t="s">
        <v>450</v>
      </c>
      <c r="T21" s="2" t="s">
        <v>42</v>
      </c>
      <c r="U21" s="2" t="s">
        <v>37</v>
      </c>
      <c r="V21" s="2" t="s">
        <v>155</v>
      </c>
      <c r="W21" s="2" t="s">
        <v>564</v>
      </c>
      <c r="X21" s="2" t="s">
        <v>412</v>
      </c>
      <c r="Y21" s="2" t="s">
        <v>420</v>
      </c>
      <c r="Z21" s="2" t="s">
        <v>53</v>
      </c>
      <c r="AA21" s="2" t="s">
        <v>39</v>
      </c>
      <c r="AB21" s="2" t="s">
        <v>414</v>
      </c>
      <c r="AC21" s="14">
        <f t="shared" si="5"/>
        <v>44046</v>
      </c>
      <c r="AD21" s="14">
        <f t="shared" si="6"/>
        <v>44068</v>
      </c>
    </row>
    <row r="22" spans="1:31" x14ac:dyDescent="0.2">
      <c r="A22" s="2" t="s">
        <v>427</v>
      </c>
      <c r="B22" s="3">
        <v>44017</v>
      </c>
      <c r="C22" s="2" t="s">
        <v>544</v>
      </c>
      <c r="D22" s="2" t="s">
        <v>44</v>
      </c>
      <c r="E22" s="2" t="s">
        <v>45</v>
      </c>
      <c r="F22" s="2" t="s">
        <v>299</v>
      </c>
      <c r="G22" s="2" t="s">
        <v>565</v>
      </c>
      <c r="H22" s="2" t="s">
        <v>566</v>
      </c>
      <c r="I22" s="2" t="s">
        <v>567</v>
      </c>
      <c r="J22" s="2" t="s">
        <v>58</v>
      </c>
      <c r="K22" s="2" t="s">
        <v>245</v>
      </c>
      <c r="L22" s="2" t="s">
        <v>547</v>
      </c>
      <c r="M22" s="3">
        <v>44046</v>
      </c>
      <c r="N22" s="3">
        <v>44068</v>
      </c>
      <c r="O22" s="4">
        <v>102.004</v>
      </c>
      <c r="P22" s="2" t="s">
        <v>48</v>
      </c>
      <c r="Q22" s="2" t="s">
        <v>85</v>
      </c>
      <c r="R22" s="2" t="s">
        <v>301</v>
      </c>
      <c r="S22" s="2" t="s">
        <v>415</v>
      </c>
      <c r="T22" s="2" t="s">
        <v>42</v>
      </c>
      <c r="U22" s="2" t="s">
        <v>37</v>
      </c>
      <c r="V22" s="2" t="s">
        <v>155</v>
      </c>
      <c r="W22" s="2" t="s">
        <v>568</v>
      </c>
      <c r="X22" s="2" t="s">
        <v>412</v>
      </c>
      <c r="Y22" s="2" t="s">
        <v>467</v>
      </c>
      <c r="Z22" s="2" t="s">
        <v>53</v>
      </c>
      <c r="AA22" s="2" t="s">
        <v>39</v>
      </c>
      <c r="AB22" s="2" t="s">
        <v>414</v>
      </c>
      <c r="AC22" s="14">
        <f t="shared" si="5"/>
        <v>44046</v>
      </c>
      <c r="AD22" s="14">
        <f t="shared" si="6"/>
        <v>44068</v>
      </c>
    </row>
    <row r="23" spans="1:31" x14ac:dyDescent="0.2">
      <c r="A23" s="2" t="s">
        <v>431</v>
      </c>
      <c r="B23" s="3">
        <v>44017</v>
      </c>
      <c r="C23" s="2" t="s">
        <v>661</v>
      </c>
      <c r="D23" s="2" t="s">
        <v>91</v>
      </c>
      <c r="E23" s="2" t="s">
        <v>191</v>
      </c>
      <c r="F23" s="2" t="s">
        <v>192</v>
      </c>
      <c r="G23" s="2" t="s">
        <v>674</v>
      </c>
      <c r="H23" s="2" t="s">
        <v>675</v>
      </c>
      <c r="I23" s="2" t="s">
        <v>112</v>
      </c>
      <c r="J23" s="2" t="s">
        <v>32</v>
      </c>
      <c r="K23" s="2" t="s">
        <v>526</v>
      </c>
      <c r="L23" s="2" t="s">
        <v>527</v>
      </c>
      <c r="M23" s="3">
        <v>44047</v>
      </c>
      <c r="N23" s="3">
        <v>44058</v>
      </c>
      <c r="O23" s="4">
        <v>259.34500000000003</v>
      </c>
      <c r="P23" s="2" t="s">
        <v>114</v>
      </c>
      <c r="Q23" s="2" t="s">
        <v>182</v>
      </c>
      <c r="R23" s="2" t="s">
        <v>183</v>
      </c>
      <c r="S23" s="2" t="s">
        <v>439</v>
      </c>
      <c r="T23" s="2" t="s">
        <v>117</v>
      </c>
      <c r="U23" s="2" t="s">
        <v>37</v>
      </c>
      <c r="V23" s="2" t="s">
        <v>118</v>
      </c>
      <c r="W23" s="2" t="s">
        <v>412</v>
      </c>
      <c r="X23" s="2" t="s">
        <v>412</v>
      </c>
      <c r="Y23" s="2" t="s">
        <v>768</v>
      </c>
      <c r="Z23" s="2" t="s">
        <v>412</v>
      </c>
      <c r="AA23" s="2" t="s">
        <v>39</v>
      </c>
      <c r="AB23" s="2" t="s">
        <v>441</v>
      </c>
      <c r="AC23" s="14">
        <f t="shared" ref="AC23:AC34" si="7">M23</f>
        <v>44047</v>
      </c>
      <c r="AD23" s="14">
        <f t="shared" ref="AD23:AD34" si="8">N23</f>
        <v>44058</v>
      </c>
      <c r="AE23">
        <v>0</v>
      </c>
    </row>
    <row r="24" spans="1:31" x14ac:dyDescent="0.2">
      <c r="A24" s="2" t="s">
        <v>431</v>
      </c>
      <c r="B24" s="3">
        <v>44027</v>
      </c>
      <c r="C24" s="2" t="s">
        <v>661</v>
      </c>
      <c r="D24" s="2" t="s">
        <v>102</v>
      </c>
      <c r="E24" s="2" t="s">
        <v>322</v>
      </c>
      <c r="F24" s="2" t="s">
        <v>331</v>
      </c>
      <c r="G24" s="2" t="s">
        <v>677</v>
      </c>
      <c r="H24" s="2" t="s">
        <v>678</v>
      </c>
      <c r="I24" s="2" t="s">
        <v>112</v>
      </c>
      <c r="J24" s="2" t="s">
        <v>32</v>
      </c>
      <c r="K24" s="2" t="s">
        <v>526</v>
      </c>
      <c r="L24" s="2" t="s">
        <v>527</v>
      </c>
      <c r="M24" s="3">
        <v>44047</v>
      </c>
      <c r="N24" s="3">
        <v>44054</v>
      </c>
      <c r="O24" s="4">
        <v>48.584000000000003</v>
      </c>
      <c r="P24" s="2" t="s">
        <v>114</v>
      </c>
      <c r="Q24" s="2" t="s">
        <v>131</v>
      </c>
      <c r="R24" s="2" t="s">
        <v>132</v>
      </c>
      <c r="S24" s="2" t="s">
        <v>439</v>
      </c>
      <c r="T24" s="2" t="s">
        <v>117</v>
      </c>
      <c r="U24" s="2" t="s">
        <v>37</v>
      </c>
      <c r="V24" s="2" t="s">
        <v>118</v>
      </c>
      <c r="W24" s="2" t="s">
        <v>412</v>
      </c>
      <c r="X24" s="2" t="s">
        <v>412</v>
      </c>
      <c r="Y24" s="2" t="s">
        <v>457</v>
      </c>
      <c r="Z24" s="2" t="s">
        <v>412</v>
      </c>
      <c r="AA24" s="2" t="s">
        <v>39</v>
      </c>
      <c r="AB24" s="2" t="s">
        <v>441</v>
      </c>
      <c r="AC24" s="14">
        <f t="shared" si="7"/>
        <v>44047</v>
      </c>
      <c r="AD24" s="14">
        <f t="shared" si="8"/>
        <v>44054</v>
      </c>
      <c r="AE24">
        <v>0</v>
      </c>
    </row>
    <row r="25" spans="1:31" x14ac:dyDescent="0.2">
      <c r="A25" s="2" t="s">
        <v>431</v>
      </c>
      <c r="B25" s="3">
        <v>44042</v>
      </c>
      <c r="C25" s="2" t="s">
        <v>661</v>
      </c>
      <c r="D25" s="2" t="s">
        <v>28</v>
      </c>
      <c r="E25" s="2" t="s">
        <v>129</v>
      </c>
      <c r="F25" s="2" t="s">
        <v>130</v>
      </c>
      <c r="G25" s="2" t="s">
        <v>679</v>
      </c>
      <c r="H25" s="2" t="s">
        <v>680</v>
      </c>
      <c r="I25" s="2" t="s">
        <v>112</v>
      </c>
      <c r="J25" s="2" t="s">
        <v>32</v>
      </c>
      <c r="K25" s="2" t="s">
        <v>526</v>
      </c>
      <c r="L25" s="2" t="s">
        <v>527</v>
      </c>
      <c r="M25" s="3">
        <v>44047</v>
      </c>
      <c r="N25" s="3">
        <v>44057</v>
      </c>
      <c r="O25" s="4">
        <v>499.06299999999999</v>
      </c>
      <c r="P25" s="2" t="s">
        <v>114</v>
      </c>
      <c r="Q25" s="2" t="s">
        <v>85</v>
      </c>
      <c r="R25" s="2" t="s">
        <v>86</v>
      </c>
      <c r="S25" s="2" t="s">
        <v>439</v>
      </c>
      <c r="T25" s="2" t="s">
        <v>117</v>
      </c>
      <c r="U25" s="2" t="s">
        <v>37</v>
      </c>
      <c r="V25" s="2" t="s">
        <v>118</v>
      </c>
      <c r="W25" s="2" t="s">
        <v>412</v>
      </c>
      <c r="X25" s="2" t="s">
        <v>412</v>
      </c>
      <c r="Y25" s="2" t="s">
        <v>767</v>
      </c>
      <c r="Z25" s="2" t="s">
        <v>412</v>
      </c>
      <c r="AA25" s="2" t="s">
        <v>39</v>
      </c>
      <c r="AB25" s="2" t="s">
        <v>441</v>
      </c>
      <c r="AC25" s="14">
        <f t="shared" si="7"/>
        <v>44047</v>
      </c>
      <c r="AD25" s="14">
        <f t="shared" si="8"/>
        <v>44057</v>
      </c>
      <c r="AE25">
        <v>0</v>
      </c>
    </row>
    <row r="26" spans="1:31" x14ac:dyDescent="0.2">
      <c r="A26" s="2" t="s">
        <v>431</v>
      </c>
      <c r="B26" s="3">
        <v>44042</v>
      </c>
      <c r="C26" s="2" t="s">
        <v>661</v>
      </c>
      <c r="D26" s="2" t="s">
        <v>28</v>
      </c>
      <c r="E26" s="2" t="s">
        <v>129</v>
      </c>
      <c r="F26" s="2" t="s">
        <v>130</v>
      </c>
      <c r="G26" s="2" t="s">
        <v>681</v>
      </c>
      <c r="H26" s="2" t="s">
        <v>682</v>
      </c>
      <c r="I26" s="2" t="s">
        <v>112</v>
      </c>
      <c r="J26" s="2" t="s">
        <v>32</v>
      </c>
      <c r="K26" s="2" t="s">
        <v>526</v>
      </c>
      <c r="L26" s="2" t="s">
        <v>527</v>
      </c>
      <c r="M26" s="3">
        <v>44047</v>
      </c>
      <c r="N26" s="3">
        <v>44057</v>
      </c>
      <c r="O26" s="4">
        <v>498.70499999999998</v>
      </c>
      <c r="P26" s="2" t="s">
        <v>114</v>
      </c>
      <c r="Q26" s="2" t="s">
        <v>85</v>
      </c>
      <c r="R26" s="2" t="s">
        <v>86</v>
      </c>
      <c r="S26" s="2" t="s">
        <v>439</v>
      </c>
      <c r="T26" s="2" t="s">
        <v>117</v>
      </c>
      <c r="U26" s="2" t="s">
        <v>37</v>
      </c>
      <c r="V26" s="2" t="s">
        <v>118</v>
      </c>
      <c r="W26" s="2" t="s">
        <v>412</v>
      </c>
      <c r="X26" s="2" t="s">
        <v>412</v>
      </c>
      <c r="Y26" s="2" t="s">
        <v>767</v>
      </c>
      <c r="Z26" s="2" t="s">
        <v>412</v>
      </c>
      <c r="AA26" s="2" t="s">
        <v>39</v>
      </c>
      <c r="AB26" s="2" t="s">
        <v>441</v>
      </c>
      <c r="AC26" s="14">
        <f t="shared" si="7"/>
        <v>44047</v>
      </c>
      <c r="AD26" s="14">
        <f t="shared" si="8"/>
        <v>44057</v>
      </c>
      <c r="AE26">
        <v>0</v>
      </c>
    </row>
    <row r="27" spans="1:31" x14ac:dyDescent="0.2">
      <c r="A27" s="2" t="s">
        <v>431</v>
      </c>
      <c r="B27" s="3">
        <v>44042</v>
      </c>
      <c r="C27" s="2" t="s">
        <v>661</v>
      </c>
      <c r="D27" s="2" t="s">
        <v>28</v>
      </c>
      <c r="E27" s="2" t="s">
        <v>129</v>
      </c>
      <c r="F27" s="2" t="s">
        <v>130</v>
      </c>
      <c r="G27" s="2" t="s">
        <v>683</v>
      </c>
      <c r="H27" s="2" t="s">
        <v>684</v>
      </c>
      <c r="I27" s="2" t="s">
        <v>112</v>
      </c>
      <c r="J27" s="2" t="s">
        <v>32</v>
      </c>
      <c r="K27" s="2" t="s">
        <v>526</v>
      </c>
      <c r="L27" s="2" t="s">
        <v>527</v>
      </c>
      <c r="M27" s="3">
        <v>44047</v>
      </c>
      <c r="N27" s="3">
        <v>44057</v>
      </c>
      <c r="O27" s="4">
        <v>498.762</v>
      </c>
      <c r="P27" s="2" t="s">
        <v>114</v>
      </c>
      <c r="Q27" s="2" t="s">
        <v>85</v>
      </c>
      <c r="R27" s="2" t="s">
        <v>86</v>
      </c>
      <c r="S27" s="2" t="s">
        <v>439</v>
      </c>
      <c r="T27" s="2" t="s">
        <v>117</v>
      </c>
      <c r="U27" s="2" t="s">
        <v>37</v>
      </c>
      <c r="V27" s="2" t="s">
        <v>118</v>
      </c>
      <c r="W27" s="2" t="s">
        <v>412</v>
      </c>
      <c r="X27" s="2" t="s">
        <v>412</v>
      </c>
      <c r="Y27" s="2" t="s">
        <v>767</v>
      </c>
      <c r="Z27" s="2" t="s">
        <v>412</v>
      </c>
      <c r="AA27" s="2" t="s">
        <v>39</v>
      </c>
      <c r="AB27" s="2" t="s">
        <v>441</v>
      </c>
      <c r="AC27" s="14">
        <f t="shared" si="7"/>
        <v>44047</v>
      </c>
      <c r="AD27" s="14">
        <f t="shared" si="8"/>
        <v>44057</v>
      </c>
      <c r="AE27">
        <v>0</v>
      </c>
    </row>
    <row r="28" spans="1:31" x14ac:dyDescent="0.2">
      <c r="A28" s="2" t="s">
        <v>431</v>
      </c>
      <c r="B28" s="3">
        <v>44042</v>
      </c>
      <c r="C28" s="2" t="s">
        <v>661</v>
      </c>
      <c r="D28" s="2" t="s">
        <v>28</v>
      </c>
      <c r="E28" s="2" t="s">
        <v>129</v>
      </c>
      <c r="F28" s="2" t="s">
        <v>130</v>
      </c>
      <c r="G28" s="2" t="s">
        <v>685</v>
      </c>
      <c r="H28" s="2" t="s">
        <v>686</v>
      </c>
      <c r="I28" s="2" t="s">
        <v>112</v>
      </c>
      <c r="J28" s="2" t="s">
        <v>32</v>
      </c>
      <c r="K28" s="2" t="s">
        <v>526</v>
      </c>
      <c r="L28" s="2" t="s">
        <v>527</v>
      </c>
      <c r="M28" s="3">
        <v>44047</v>
      </c>
      <c r="N28" s="3">
        <v>44057</v>
      </c>
      <c r="O28" s="4">
        <v>498.73500000000001</v>
      </c>
      <c r="P28" s="2" t="s">
        <v>114</v>
      </c>
      <c r="Q28" s="2" t="s">
        <v>85</v>
      </c>
      <c r="R28" s="2" t="s">
        <v>86</v>
      </c>
      <c r="S28" s="2" t="s">
        <v>439</v>
      </c>
      <c r="T28" s="2" t="s">
        <v>117</v>
      </c>
      <c r="U28" s="2" t="s">
        <v>37</v>
      </c>
      <c r="V28" s="2" t="s">
        <v>118</v>
      </c>
      <c r="W28" s="2" t="s">
        <v>412</v>
      </c>
      <c r="X28" s="2" t="s">
        <v>412</v>
      </c>
      <c r="Y28" s="2" t="s">
        <v>767</v>
      </c>
      <c r="Z28" s="2" t="s">
        <v>412</v>
      </c>
      <c r="AA28" s="2" t="s">
        <v>39</v>
      </c>
      <c r="AB28" s="2" t="s">
        <v>441</v>
      </c>
      <c r="AC28" s="14">
        <f t="shared" si="7"/>
        <v>44047</v>
      </c>
      <c r="AD28" s="14">
        <f t="shared" si="8"/>
        <v>44057</v>
      </c>
      <c r="AE28">
        <v>0</v>
      </c>
    </row>
    <row r="29" spans="1:31" x14ac:dyDescent="0.2">
      <c r="A29" s="2" t="s">
        <v>431</v>
      </c>
      <c r="B29" s="3">
        <v>44027</v>
      </c>
      <c r="C29" s="2" t="s">
        <v>661</v>
      </c>
      <c r="D29" s="2" t="s">
        <v>102</v>
      </c>
      <c r="E29" s="2" t="s">
        <v>322</v>
      </c>
      <c r="F29" s="2" t="s">
        <v>687</v>
      </c>
      <c r="G29" s="2" t="s">
        <v>688</v>
      </c>
      <c r="H29" s="2" t="s">
        <v>689</v>
      </c>
      <c r="I29" s="2" t="s">
        <v>112</v>
      </c>
      <c r="J29" s="2" t="s">
        <v>32</v>
      </c>
      <c r="K29" s="2" t="s">
        <v>526</v>
      </c>
      <c r="L29" s="2" t="s">
        <v>527</v>
      </c>
      <c r="M29" s="3">
        <v>44047</v>
      </c>
      <c r="N29" s="3">
        <v>44054</v>
      </c>
      <c r="O29" s="4">
        <v>202.03700000000001</v>
      </c>
      <c r="P29" s="2" t="s">
        <v>114</v>
      </c>
      <c r="Q29" s="2" t="s">
        <v>131</v>
      </c>
      <c r="R29" s="2" t="s">
        <v>132</v>
      </c>
      <c r="S29" s="2" t="s">
        <v>439</v>
      </c>
      <c r="T29" s="2" t="s">
        <v>117</v>
      </c>
      <c r="U29" s="2" t="s">
        <v>37</v>
      </c>
      <c r="V29" s="2" t="s">
        <v>118</v>
      </c>
      <c r="W29" s="2" t="s">
        <v>412</v>
      </c>
      <c r="X29" s="2" t="s">
        <v>412</v>
      </c>
      <c r="Y29" s="2" t="s">
        <v>769</v>
      </c>
      <c r="Z29" s="2" t="s">
        <v>412</v>
      </c>
      <c r="AA29" s="2" t="s">
        <v>39</v>
      </c>
      <c r="AB29" s="2" t="s">
        <v>441</v>
      </c>
      <c r="AC29" s="14">
        <f t="shared" si="7"/>
        <v>44047</v>
      </c>
      <c r="AD29" s="14">
        <f t="shared" si="8"/>
        <v>44054</v>
      </c>
      <c r="AE29">
        <v>0</v>
      </c>
    </row>
    <row r="30" spans="1:31" x14ac:dyDescent="0.2">
      <c r="A30" s="2" t="s">
        <v>431</v>
      </c>
      <c r="B30" s="3">
        <v>44043</v>
      </c>
      <c r="C30" s="2" t="s">
        <v>637</v>
      </c>
      <c r="D30" s="2" t="s">
        <v>54</v>
      </c>
      <c r="E30" s="2" t="s">
        <v>55</v>
      </c>
      <c r="F30" s="2" t="s">
        <v>56</v>
      </c>
      <c r="G30" s="2" t="s">
        <v>638</v>
      </c>
      <c r="H30" s="2" t="s">
        <v>639</v>
      </c>
      <c r="I30" s="2" t="s">
        <v>57</v>
      </c>
      <c r="J30" s="2" t="s">
        <v>58</v>
      </c>
      <c r="K30" s="2" t="s">
        <v>293</v>
      </c>
      <c r="L30" s="2" t="s">
        <v>512</v>
      </c>
      <c r="M30" s="3">
        <v>44047</v>
      </c>
      <c r="N30" s="3">
        <v>44055</v>
      </c>
      <c r="O30" s="4">
        <v>93.787999999999997</v>
      </c>
      <c r="P30" s="2" t="s">
        <v>33</v>
      </c>
      <c r="Q30" s="2" t="s">
        <v>59</v>
      </c>
      <c r="R30" s="2" t="s">
        <v>60</v>
      </c>
      <c r="S30" s="2" t="s">
        <v>419</v>
      </c>
      <c r="T30" s="2" t="s">
        <v>61</v>
      </c>
      <c r="U30" s="2" t="s">
        <v>37</v>
      </c>
      <c r="V30" s="2" t="s">
        <v>52</v>
      </c>
      <c r="W30" s="2" t="s">
        <v>640</v>
      </c>
      <c r="X30" s="2" t="s">
        <v>412</v>
      </c>
      <c r="Y30" s="2" t="s">
        <v>433</v>
      </c>
      <c r="Z30" s="2" t="s">
        <v>615</v>
      </c>
      <c r="AA30" s="2" t="s">
        <v>39</v>
      </c>
      <c r="AB30" s="2" t="s">
        <v>414</v>
      </c>
      <c r="AC30" s="14">
        <f t="shared" si="7"/>
        <v>44047</v>
      </c>
      <c r="AD30" s="14">
        <f t="shared" si="8"/>
        <v>44055</v>
      </c>
      <c r="AE30">
        <v>0</v>
      </c>
    </row>
    <row r="31" spans="1:31" x14ac:dyDescent="0.2">
      <c r="A31" s="2" t="s">
        <v>431</v>
      </c>
      <c r="B31" s="3">
        <v>44043</v>
      </c>
      <c r="C31" s="2" t="s">
        <v>637</v>
      </c>
      <c r="D31" s="2" t="s">
        <v>62</v>
      </c>
      <c r="E31" s="2" t="s">
        <v>641</v>
      </c>
      <c r="F31" s="2" t="s">
        <v>642</v>
      </c>
      <c r="G31" s="2" t="s">
        <v>643</v>
      </c>
      <c r="H31" s="2" t="s">
        <v>644</v>
      </c>
      <c r="I31" s="2" t="s">
        <v>63</v>
      </c>
      <c r="J31" s="2" t="s">
        <v>64</v>
      </c>
      <c r="K31" s="2" t="s">
        <v>293</v>
      </c>
      <c r="L31" s="2" t="s">
        <v>512</v>
      </c>
      <c r="M31" s="3">
        <v>44047</v>
      </c>
      <c r="N31" s="3">
        <v>44055</v>
      </c>
      <c r="O31" s="4">
        <v>193.55</v>
      </c>
      <c r="P31" s="2" t="s">
        <v>33</v>
      </c>
      <c r="Q31" s="2" t="s">
        <v>59</v>
      </c>
      <c r="R31" s="2" t="s">
        <v>60</v>
      </c>
      <c r="S31" s="2" t="s">
        <v>420</v>
      </c>
      <c r="T31" s="2" t="s">
        <v>36</v>
      </c>
      <c r="U31" s="2" t="s">
        <v>37</v>
      </c>
      <c r="V31" s="2" t="s">
        <v>52</v>
      </c>
      <c r="W31" s="2" t="s">
        <v>645</v>
      </c>
      <c r="X31" s="2" t="s">
        <v>412</v>
      </c>
      <c r="Y31" s="2" t="s">
        <v>421</v>
      </c>
      <c r="Z31" s="2" t="s">
        <v>615</v>
      </c>
      <c r="AA31" s="2" t="s">
        <v>39</v>
      </c>
      <c r="AB31" s="2" t="s">
        <v>414</v>
      </c>
      <c r="AC31" s="14">
        <f t="shared" si="7"/>
        <v>44047</v>
      </c>
      <c r="AD31" s="14">
        <f t="shared" si="8"/>
        <v>44055</v>
      </c>
      <c r="AE31">
        <v>0</v>
      </c>
    </row>
    <row r="32" spans="1:31" x14ac:dyDescent="0.2">
      <c r="A32" s="2" t="s">
        <v>431</v>
      </c>
      <c r="B32" s="3">
        <v>44043</v>
      </c>
      <c r="C32" s="2" t="s">
        <v>637</v>
      </c>
      <c r="D32" s="2" t="s">
        <v>54</v>
      </c>
      <c r="E32" s="2" t="s">
        <v>369</v>
      </c>
      <c r="F32" s="2" t="s">
        <v>370</v>
      </c>
      <c r="G32" s="2" t="s">
        <v>646</v>
      </c>
      <c r="H32" s="2" t="s">
        <v>647</v>
      </c>
      <c r="I32" s="2" t="s">
        <v>63</v>
      </c>
      <c r="J32" s="2" t="s">
        <v>64</v>
      </c>
      <c r="K32" s="2" t="s">
        <v>293</v>
      </c>
      <c r="L32" s="2" t="s">
        <v>512</v>
      </c>
      <c r="M32" s="3">
        <v>44047</v>
      </c>
      <c r="N32" s="3">
        <v>44055</v>
      </c>
      <c r="O32" s="4">
        <v>290.15199999999999</v>
      </c>
      <c r="P32" s="2" t="s">
        <v>33</v>
      </c>
      <c r="Q32" s="2" t="s">
        <v>59</v>
      </c>
      <c r="R32" s="2" t="s">
        <v>60</v>
      </c>
      <c r="S32" s="2" t="s">
        <v>425</v>
      </c>
      <c r="T32" s="2" t="s">
        <v>36</v>
      </c>
      <c r="U32" s="2" t="s">
        <v>37</v>
      </c>
      <c r="V32" s="2" t="s">
        <v>52</v>
      </c>
      <c r="W32" s="2" t="s">
        <v>648</v>
      </c>
      <c r="X32" s="2" t="s">
        <v>412</v>
      </c>
      <c r="Y32" s="2" t="s">
        <v>426</v>
      </c>
      <c r="Z32" s="2" t="s">
        <v>649</v>
      </c>
      <c r="AA32" s="2" t="s">
        <v>39</v>
      </c>
      <c r="AB32" s="2" t="s">
        <v>414</v>
      </c>
      <c r="AC32" s="14">
        <f t="shared" si="7"/>
        <v>44047</v>
      </c>
      <c r="AD32" s="14">
        <f t="shared" si="8"/>
        <v>44055</v>
      </c>
      <c r="AE32">
        <v>0</v>
      </c>
    </row>
    <row r="33" spans="1:31" x14ac:dyDescent="0.2">
      <c r="A33" s="2" t="s">
        <v>431</v>
      </c>
      <c r="B33" s="3">
        <v>44043</v>
      </c>
      <c r="C33" s="2" t="s">
        <v>637</v>
      </c>
      <c r="D33" s="2" t="s">
        <v>54</v>
      </c>
      <c r="E33" s="2" t="s">
        <v>369</v>
      </c>
      <c r="F33" s="2" t="s">
        <v>370</v>
      </c>
      <c r="G33" s="2" t="s">
        <v>650</v>
      </c>
      <c r="H33" s="2" t="s">
        <v>651</v>
      </c>
      <c r="I33" s="2" t="s">
        <v>63</v>
      </c>
      <c r="J33" s="2" t="s">
        <v>64</v>
      </c>
      <c r="K33" s="2" t="s">
        <v>293</v>
      </c>
      <c r="L33" s="2" t="s">
        <v>512</v>
      </c>
      <c r="M33" s="3">
        <v>44047</v>
      </c>
      <c r="N33" s="3">
        <v>44055</v>
      </c>
      <c r="O33" s="4">
        <v>290.20699999999999</v>
      </c>
      <c r="P33" s="2" t="s">
        <v>33</v>
      </c>
      <c r="Q33" s="2" t="s">
        <v>59</v>
      </c>
      <c r="R33" s="2" t="s">
        <v>60</v>
      </c>
      <c r="S33" s="2" t="s">
        <v>425</v>
      </c>
      <c r="T33" s="2" t="s">
        <v>36</v>
      </c>
      <c r="U33" s="2" t="s">
        <v>37</v>
      </c>
      <c r="V33" s="2" t="s">
        <v>52</v>
      </c>
      <c r="W33" s="2" t="s">
        <v>652</v>
      </c>
      <c r="X33" s="2" t="s">
        <v>412</v>
      </c>
      <c r="Y33" s="2" t="s">
        <v>426</v>
      </c>
      <c r="Z33" s="2" t="s">
        <v>649</v>
      </c>
      <c r="AA33" s="2" t="s">
        <v>39</v>
      </c>
      <c r="AB33" s="2" t="s">
        <v>414</v>
      </c>
      <c r="AC33" s="14">
        <f t="shared" si="7"/>
        <v>44047</v>
      </c>
      <c r="AD33" s="14">
        <f t="shared" si="8"/>
        <v>44055</v>
      </c>
      <c r="AE33">
        <v>0</v>
      </c>
    </row>
    <row r="34" spans="1:31" x14ac:dyDescent="0.2">
      <c r="A34" s="2" t="s">
        <v>431</v>
      </c>
      <c r="B34" s="3">
        <v>44037</v>
      </c>
      <c r="C34" s="2" t="s">
        <v>723</v>
      </c>
      <c r="D34" s="2" t="s">
        <v>365</v>
      </c>
      <c r="E34" s="2" t="s">
        <v>620</v>
      </c>
      <c r="F34" s="2" t="s">
        <v>621</v>
      </c>
      <c r="G34" s="2" t="s">
        <v>724</v>
      </c>
      <c r="H34" s="2" t="s">
        <v>725</v>
      </c>
      <c r="I34" s="2" t="s">
        <v>31</v>
      </c>
      <c r="J34" s="2" t="s">
        <v>32</v>
      </c>
      <c r="K34" s="2" t="s">
        <v>260</v>
      </c>
      <c r="L34" s="2" t="s">
        <v>518</v>
      </c>
      <c r="M34" s="3">
        <v>44049</v>
      </c>
      <c r="N34" s="3">
        <v>44058</v>
      </c>
      <c r="O34" s="4">
        <v>288.238</v>
      </c>
      <c r="P34" s="2" t="s">
        <v>33</v>
      </c>
      <c r="Q34" s="2" t="s">
        <v>159</v>
      </c>
      <c r="R34" s="2" t="s">
        <v>160</v>
      </c>
      <c r="S34" s="2" t="s">
        <v>456</v>
      </c>
      <c r="T34" s="2" t="s">
        <v>362</v>
      </c>
      <c r="U34" s="2" t="s">
        <v>37</v>
      </c>
      <c r="V34" s="2" t="s">
        <v>155</v>
      </c>
      <c r="W34" s="2" t="s">
        <v>726</v>
      </c>
      <c r="X34" s="2" t="s">
        <v>412</v>
      </c>
      <c r="Y34" s="2" t="s">
        <v>480</v>
      </c>
      <c r="Z34" s="2" t="s">
        <v>412</v>
      </c>
      <c r="AA34" s="2" t="s">
        <v>39</v>
      </c>
      <c r="AB34" s="2" t="s">
        <v>414</v>
      </c>
      <c r="AC34" s="14">
        <f t="shared" si="7"/>
        <v>44049</v>
      </c>
      <c r="AD34" s="14">
        <f t="shared" si="8"/>
        <v>44058</v>
      </c>
      <c r="AE34">
        <v>0</v>
      </c>
    </row>
    <row r="35" spans="1:31" x14ac:dyDescent="0.2">
      <c r="A35" s="2" t="s">
        <v>470</v>
      </c>
      <c r="B35" s="3">
        <v>44048</v>
      </c>
      <c r="C35" s="2" t="s">
        <v>770</v>
      </c>
      <c r="D35" s="2" t="s">
        <v>74</v>
      </c>
      <c r="E35" s="2" t="s">
        <v>75</v>
      </c>
      <c r="F35" s="2" t="s">
        <v>285</v>
      </c>
      <c r="G35" s="2" t="s">
        <v>771</v>
      </c>
      <c r="H35" s="2" t="s">
        <v>772</v>
      </c>
      <c r="I35" s="2" t="s">
        <v>491</v>
      </c>
      <c r="J35" s="2" t="s">
        <v>286</v>
      </c>
      <c r="K35" s="2" t="s">
        <v>773</v>
      </c>
      <c r="L35" s="2" t="s">
        <v>622</v>
      </c>
      <c r="M35" s="3">
        <v>44044</v>
      </c>
      <c r="N35" s="3">
        <v>44069</v>
      </c>
      <c r="O35" s="4">
        <v>19.577000000000002</v>
      </c>
      <c r="P35" s="2" t="s">
        <v>287</v>
      </c>
      <c r="Q35" s="2" t="s">
        <v>288</v>
      </c>
      <c r="R35" s="2" t="s">
        <v>289</v>
      </c>
      <c r="S35" s="2" t="s">
        <v>450</v>
      </c>
      <c r="T35" s="2" t="s">
        <v>87</v>
      </c>
      <c r="U35" s="2" t="s">
        <v>37</v>
      </c>
      <c r="V35" s="2" t="s">
        <v>65</v>
      </c>
      <c r="W35" s="2" t="s">
        <v>774</v>
      </c>
      <c r="X35" s="2" t="s">
        <v>412</v>
      </c>
      <c r="Y35" s="2" t="s">
        <v>477</v>
      </c>
      <c r="Z35" s="2" t="s">
        <v>592</v>
      </c>
      <c r="AA35" s="2" t="s">
        <v>109</v>
      </c>
      <c r="AB35" s="2" t="s">
        <v>414</v>
      </c>
      <c r="AC35" s="14">
        <f>M35</f>
        <v>44044</v>
      </c>
      <c r="AD35" s="14">
        <f>N35</f>
        <v>44069</v>
      </c>
    </row>
    <row r="36" spans="1:31" x14ac:dyDescent="0.2">
      <c r="A36" s="2" t="s">
        <v>470</v>
      </c>
      <c r="B36" s="3">
        <v>44048</v>
      </c>
      <c r="C36" s="2" t="s">
        <v>770</v>
      </c>
      <c r="D36" s="2" t="s">
        <v>74</v>
      </c>
      <c r="E36" s="2" t="s">
        <v>75</v>
      </c>
      <c r="F36" s="2" t="s">
        <v>285</v>
      </c>
      <c r="G36" s="2" t="s">
        <v>775</v>
      </c>
      <c r="H36" s="2" t="s">
        <v>776</v>
      </c>
      <c r="I36" s="2" t="s">
        <v>222</v>
      </c>
      <c r="J36" s="2" t="s">
        <v>223</v>
      </c>
      <c r="K36" s="2" t="s">
        <v>773</v>
      </c>
      <c r="L36" s="2" t="s">
        <v>622</v>
      </c>
      <c r="M36" s="3">
        <v>44044</v>
      </c>
      <c r="N36" s="3">
        <v>44069</v>
      </c>
      <c r="O36" s="4">
        <v>19.617000000000001</v>
      </c>
      <c r="P36" s="2" t="s">
        <v>287</v>
      </c>
      <c r="Q36" s="2" t="s">
        <v>288</v>
      </c>
      <c r="R36" s="2" t="s">
        <v>289</v>
      </c>
      <c r="S36" s="2" t="s">
        <v>450</v>
      </c>
      <c r="T36" s="2" t="s">
        <v>87</v>
      </c>
      <c r="U36" s="2" t="s">
        <v>37</v>
      </c>
      <c r="V36" s="2" t="s">
        <v>65</v>
      </c>
      <c r="W36" s="2" t="s">
        <v>777</v>
      </c>
      <c r="X36" s="2" t="s">
        <v>412</v>
      </c>
      <c r="Y36" s="2" t="s">
        <v>477</v>
      </c>
      <c r="Z36" s="2" t="s">
        <v>592</v>
      </c>
      <c r="AA36" s="2" t="s">
        <v>109</v>
      </c>
      <c r="AB36" s="2" t="s">
        <v>414</v>
      </c>
      <c r="AC36" s="14">
        <f t="shared" ref="AC36:AD36" si="9">M36</f>
        <v>44044</v>
      </c>
      <c r="AD36" s="14">
        <f t="shared" si="9"/>
        <v>44069</v>
      </c>
    </row>
    <row r="37" spans="1:31" x14ac:dyDescent="0.2">
      <c r="A37" s="2" t="s">
        <v>470</v>
      </c>
      <c r="B37" s="3">
        <v>44042</v>
      </c>
      <c r="C37" s="2" t="s">
        <v>691</v>
      </c>
      <c r="D37" s="2" t="s">
        <v>28</v>
      </c>
      <c r="E37" s="2" t="s">
        <v>98</v>
      </c>
      <c r="F37" s="2" t="s">
        <v>205</v>
      </c>
      <c r="G37" s="2" t="s">
        <v>692</v>
      </c>
      <c r="H37" s="2" t="s">
        <v>693</v>
      </c>
      <c r="I37" s="2" t="s">
        <v>31</v>
      </c>
      <c r="J37" s="2" t="s">
        <v>32</v>
      </c>
      <c r="K37" s="2" t="s">
        <v>752</v>
      </c>
      <c r="L37" s="2" t="s">
        <v>694</v>
      </c>
      <c r="M37" s="3">
        <v>44045</v>
      </c>
      <c r="N37" s="3">
        <v>44076</v>
      </c>
      <c r="O37" s="4">
        <v>494.37799999999999</v>
      </c>
      <c r="P37" s="2" t="s">
        <v>224</v>
      </c>
      <c r="Q37" s="2" t="s">
        <v>34</v>
      </c>
      <c r="R37" s="2" t="s">
        <v>35</v>
      </c>
      <c r="S37" s="2" t="s">
        <v>428</v>
      </c>
      <c r="T37" s="2" t="s">
        <v>87</v>
      </c>
      <c r="U37" s="2" t="s">
        <v>37</v>
      </c>
      <c r="V37" s="2" t="s">
        <v>88</v>
      </c>
      <c r="W37" s="2" t="s">
        <v>695</v>
      </c>
      <c r="X37" s="2" t="s">
        <v>412</v>
      </c>
      <c r="Y37" s="2" t="s">
        <v>429</v>
      </c>
      <c r="Z37" s="2" t="s">
        <v>412</v>
      </c>
      <c r="AA37" s="2" t="s">
        <v>39</v>
      </c>
      <c r="AB37" s="2" t="s">
        <v>414</v>
      </c>
      <c r="AC37" s="14">
        <f>M37</f>
        <v>44045</v>
      </c>
      <c r="AD37" s="14">
        <f>N37</f>
        <v>44076</v>
      </c>
    </row>
    <row r="38" spans="1:31" x14ac:dyDescent="0.2">
      <c r="A38" s="2" t="s">
        <v>470</v>
      </c>
      <c r="B38" s="3">
        <v>44042</v>
      </c>
      <c r="C38" s="2" t="s">
        <v>691</v>
      </c>
      <c r="D38" s="2" t="s">
        <v>28</v>
      </c>
      <c r="E38" s="2" t="s">
        <v>98</v>
      </c>
      <c r="F38" s="2" t="s">
        <v>205</v>
      </c>
      <c r="G38" s="2" t="s">
        <v>696</v>
      </c>
      <c r="H38" s="2" t="s">
        <v>697</v>
      </c>
      <c r="I38" s="2" t="s">
        <v>31</v>
      </c>
      <c r="J38" s="2" t="s">
        <v>32</v>
      </c>
      <c r="K38" s="2" t="s">
        <v>752</v>
      </c>
      <c r="L38" s="2" t="s">
        <v>694</v>
      </c>
      <c r="M38" s="3">
        <v>44045</v>
      </c>
      <c r="N38" s="3">
        <v>44076</v>
      </c>
      <c r="O38" s="4">
        <v>494.75799999999998</v>
      </c>
      <c r="P38" s="2" t="s">
        <v>224</v>
      </c>
      <c r="Q38" s="2" t="s">
        <v>34</v>
      </c>
      <c r="R38" s="2" t="s">
        <v>35</v>
      </c>
      <c r="S38" s="2" t="s">
        <v>428</v>
      </c>
      <c r="T38" s="2" t="s">
        <v>87</v>
      </c>
      <c r="U38" s="2" t="s">
        <v>37</v>
      </c>
      <c r="V38" s="2" t="s">
        <v>88</v>
      </c>
      <c r="W38" s="2" t="s">
        <v>698</v>
      </c>
      <c r="X38" s="2" t="s">
        <v>412</v>
      </c>
      <c r="Y38" s="2" t="s">
        <v>429</v>
      </c>
      <c r="Z38" s="2" t="s">
        <v>412</v>
      </c>
      <c r="AA38" s="2" t="s">
        <v>39</v>
      </c>
      <c r="AB38" s="2" t="s">
        <v>414</v>
      </c>
      <c r="AC38" s="14">
        <f t="shared" ref="AC38:AC41" si="10">M38</f>
        <v>44045</v>
      </c>
      <c r="AD38" s="14">
        <f t="shared" ref="AD38:AD41" si="11">N38</f>
        <v>44076</v>
      </c>
    </row>
    <row r="39" spans="1:31" x14ac:dyDescent="0.2">
      <c r="A39" s="2" t="s">
        <v>470</v>
      </c>
      <c r="B39" s="3">
        <v>44042</v>
      </c>
      <c r="C39" s="2" t="s">
        <v>691</v>
      </c>
      <c r="D39" s="2" t="s">
        <v>28</v>
      </c>
      <c r="E39" s="2" t="s">
        <v>98</v>
      </c>
      <c r="F39" s="2" t="s">
        <v>205</v>
      </c>
      <c r="G39" s="2" t="s">
        <v>699</v>
      </c>
      <c r="H39" s="2" t="s">
        <v>700</v>
      </c>
      <c r="I39" s="2" t="s">
        <v>31</v>
      </c>
      <c r="J39" s="2" t="s">
        <v>32</v>
      </c>
      <c r="K39" s="2" t="s">
        <v>752</v>
      </c>
      <c r="L39" s="2" t="s">
        <v>694</v>
      </c>
      <c r="M39" s="3">
        <v>44045</v>
      </c>
      <c r="N39" s="3">
        <v>44076</v>
      </c>
      <c r="O39" s="4">
        <v>494.24299999999999</v>
      </c>
      <c r="P39" s="2" t="s">
        <v>224</v>
      </c>
      <c r="Q39" s="2" t="s">
        <v>34</v>
      </c>
      <c r="R39" s="2" t="s">
        <v>35</v>
      </c>
      <c r="S39" s="2" t="s">
        <v>428</v>
      </c>
      <c r="T39" s="2" t="s">
        <v>87</v>
      </c>
      <c r="U39" s="2" t="s">
        <v>37</v>
      </c>
      <c r="V39" s="2" t="s">
        <v>88</v>
      </c>
      <c r="W39" s="2" t="s">
        <v>701</v>
      </c>
      <c r="X39" s="2" t="s">
        <v>412</v>
      </c>
      <c r="Y39" s="2" t="s">
        <v>429</v>
      </c>
      <c r="Z39" s="2" t="s">
        <v>412</v>
      </c>
      <c r="AA39" s="2" t="s">
        <v>39</v>
      </c>
      <c r="AB39" s="2" t="s">
        <v>414</v>
      </c>
      <c r="AC39" s="14">
        <f t="shared" si="10"/>
        <v>44045</v>
      </c>
      <c r="AD39" s="14">
        <f t="shared" si="11"/>
        <v>44076</v>
      </c>
    </row>
    <row r="40" spans="1:31" x14ac:dyDescent="0.2">
      <c r="A40" s="2" t="s">
        <v>470</v>
      </c>
      <c r="B40" s="3">
        <v>44042</v>
      </c>
      <c r="C40" s="2" t="s">
        <v>691</v>
      </c>
      <c r="D40" s="2" t="s">
        <v>28</v>
      </c>
      <c r="E40" s="2" t="s">
        <v>98</v>
      </c>
      <c r="F40" s="2" t="s">
        <v>205</v>
      </c>
      <c r="G40" s="2" t="s">
        <v>702</v>
      </c>
      <c r="H40" s="2" t="s">
        <v>703</v>
      </c>
      <c r="I40" s="2" t="s">
        <v>31</v>
      </c>
      <c r="J40" s="2" t="s">
        <v>32</v>
      </c>
      <c r="K40" s="2" t="s">
        <v>752</v>
      </c>
      <c r="L40" s="2" t="s">
        <v>694</v>
      </c>
      <c r="M40" s="3">
        <v>44045</v>
      </c>
      <c r="N40" s="3">
        <v>44076</v>
      </c>
      <c r="O40" s="4">
        <v>495.041</v>
      </c>
      <c r="P40" s="2" t="s">
        <v>224</v>
      </c>
      <c r="Q40" s="2" t="s">
        <v>34</v>
      </c>
      <c r="R40" s="2" t="s">
        <v>35</v>
      </c>
      <c r="S40" s="2" t="s">
        <v>428</v>
      </c>
      <c r="T40" s="2" t="s">
        <v>87</v>
      </c>
      <c r="U40" s="2" t="s">
        <v>37</v>
      </c>
      <c r="V40" s="2" t="s">
        <v>88</v>
      </c>
      <c r="W40" s="2" t="s">
        <v>704</v>
      </c>
      <c r="X40" s="2" t="s">
        <v>412</v>
      </c>
      <c r="Y40" s="2" t="s">
        <v>429</v>
      </c>
      <c r="Z40" s="2" t="s">
        <v>412</v>
      </c>
      <c r="AA40" s="2" t="s">
        <v>39</v>
      </c>
      <c r="AB40" s="2" t="s">
        <v>414</v>
      </c>
      <c r="AC40" s="14">
        <f t="shared" si="10"/>
        <v>44045</v>
      </c>
      <c r="AD40" s="14">
        <f t="shared" si="11"/>
        <v>44076</v>
      </c>
    </row>
    <row r="41" spans="1:31" x14ac:dyDescent="0.2">
      <c r="A41" s="2" t="s">
        <v>470</v>
      </c>
      <c r="B41" s="3">
        <v>44042</v>
      </c>
      <c r="C41" s="2" t="s">
        <v>691</v>
      </c>
      <c r="D41" s="2" t="s">
        <v>91</v>
      </c>
      <c r="E41" s="2" t="s">
        <v>745</v>
      </c>
      <c r="F41" s="2" t="s">
        <v>746</v>
      </c>
      <c r="G41" s="2" t="s">
        <v>778</v>
      </c>
      <c r="H41" s="2" t="s">
        <v>779</v>
      </c>
      <c r="I41" s="2" t="s">
        <v>747</v>
      </c>
      <c r="J41" s="2" t="s">
        <v>223</v>
      </c>
      <c r="K41" s="2" t="s">
        <v>752</v>
      </c>
      <c r="L41" s="2" t="s">
        <v>694</v>
      </c>
      <c r="M41" s="3">
        <v>44045</v>
      </c>
      <c r="N41" s="3">
        <v>44109</v>
      </c>
      <c r="O41" s="4">
        <v>429.04500000000002</v>
      </c>
      <c r="P41" s="2" t="s">
        <v>224</v>
      </c>
      <c r="Q41" s="2" t="s">
        <v>748</v>
      </c>
      <c r="R41" s="2" t="s">
        <v>749</v>
      </c>
      <c r="S41" s="2" t="s">
        <v>451</v>
      </c>
      <c r="T41" s="2" t="s">
        <v>87</v>
      </c>
      <c r="U41" s="2" t="s">
        <v>37</v>
      </c>
      <c r="V41" s="2" t="s">
        <v>88</v>
      </c>
      <c r="W41" s="2" t="s">
        <v>750</v>
      </c>
      <c r="X41" s="2" t="s">
        <v>412</v>
      </c>
      <c r="Y41" s="2" t="s">
        <v>780</v>
      </c>
      <c r="Z41" s="2" t="s">
        <v>412</v>
      </c>
      <c r="AA41" s="2" t="s">
        <v>39</v>
      </c>
      <c r="AB41" s="2" t="s">
        <v>414</v>
      </c>
      <c r="AC41" s="14">
        <f t="shared" si="10"/>
        <v>44045</v>
      </c>
      <c r="AD41" s="14">
        <f t="shared" si="11"/>
        <v>44109</v>
      </c>
    </row>
    <row r="42" spans="1:31" x14ac:dyDescent="0.2">
      <c r="A42" s="2" t="s">
        <v>427</v>
      </c>
      <c r="B42" s="3">
        <v>44042</v>
      </c>
      <c r="C42" s="2" t="s">
        <v>654</v>
      </c>
      <c r="D42" s="2" t="s">
        <v>28</v>
      </c>
      <c r="E42" s="2" t="s">
        <v>29</v>
      </c>
      <c r="F42" s="2" t="s">
        <v>397</v>
      </c>
      <c r="G42" s="2" t="s">
        <v>655</v>
      </c>
      <c r="H42" s="2" t="s">
        <v>656</v>
      </c>
      <c r="I42" s="2" t="s">
        <v>77</v>
      </c>
      <c r="J42" s="2" t="s">
        <v>32</v>
      </c>
      <c r="K42" s="2" t="s">
        <v>260</v>
      </c>
      <c r="L42" s="2" t="s">
        <v>518</v>
      </c>
      <c r="M42" s="3">
        <v>44046</v>
      </c>
      <c r="N42" s="3">
        <v>44059</v>
      </c>
      <c r="O42" s="4">
        <v>498.19200000000001</v>
      </c>
      <c r="P42" s="2" t="s">
        <v>48</v>
      </c>
      <c r="Q42" s="2" t="s">
        <v>405</v>
      </c>
      <c r="R42" s="2" t="s">
        <v>406</v>
      </c>
      <c r="S42" s="2" t="s">
        <v>428</v>
      </c>
      <c r="T42" s="2" t="s">
        <v>36</v>
      </c>
      <c r="U42" s="2" t="s">
        <v>37</v>
      </c>
      <c r="V42" s="2" t="s">
        <v>241</v>
      </c>
      <c r="W42" s="2" t="s">
        <v>657</v>
      </c>
      <c r="X42" s="2" t="s">
        <v>412</v>
      </c>
      <c r="Y42" s="2" t="s">
        <v>429</v>
      </c>
      <c r="Z42" s="2" t="s">
        <v>412</v>
      </c>
      <c r="AA42" s="2" t="s">
        <v>39</v>
      </c>
      <c r="AB42" s="2" t="s">
        <v>414</v>
      </c>
      <c r="AC42" s="14">
        <f t="shared" ref="AC42:AC45" si="12">M42</f>
        <v>44046</v>
      </c>
      <c r="AD42" s="14">
        <f t="shared" ref="AD42:AD45" si="13">N42</f>
        <v>44059</v>
      </c>
    </row>
    <row r="43" spans="1:31" x14ac:dyDescent="0.2">
      <c r="A43" s="2" t="s">
        <v>427</v>
      </c>
      <c r="B43" s="3">
        <v>44042</v>
      </c>
      <c r="C43" s="2" t="s">
        <v>654</v>
      </c>
      <c r="D43" s="2" t="s">
        <v>28</v>
      </c>
      <c r="E43" s="2" t="s">
        <v>29</v>
      </c>
      <c r="F43" s="2" t="s">
        <v>397</v>
      </c>
      <c r="G43" s="2" t="s">
        <v>658</v>
      </c>
      <c r="H43" s="2" t="s">
        <v>659</v>
      </c>
      <c r="I43" s="2" t="s">
        <v>77</v>
      </c>
      <c r="J43" s="2" t="s">
        <v>32</v>
      </c>
      <c r="K43" s="2" t="s">
        <v>260</v>
      </c>
      <c r="L43" s="2" t="s">
        <v>518</v>
      </c>
      <c r="M43" s="3">
        <v>44046</v>
      </c>
      <c r="N43" s="3">
        <v>44059</v>
      </c>
      <c r="O43" s="4">
        <v>497.62299999999999</v>
      </c>
      <c r="P43" s="2" t="s">
        <v>48</v>
      </c>
      <c r="Q43" s="2" t="s">
        <v>405</v>
      </c>
      <c r="R43" s="2" t="s">
        <v>406</v>
      </c>
      <c r="S43" s="2" t="s">
        <v>428</v>
      </c>
      <c r="T43" s="2" t="s">
        <v>36</v>
      </c>
      <c r="U43" s="2" t="s">
        <v>37</v>
      </c>
      <c r="V43" s="2" t="s">
        <v>241</v>
      </c>
      <c r="W43" s="2" t="s">
        <v>660</v>
      </c>
      <c r="X43" s="2" t="s">
        <v>412</v>
      </c>
      <c r="Y43" s="2" t="s">
        <v>429</v>
      </c>
      <c r="Z43" s="2" t="s">
        <v>412</v>
      </c>
      <c r="AA43" s="2" t="s">
        <v>39</v>
      </c>
      <c r="AB43" s="2" t="s">
        <v>414</v>
      </c>
      <c r="AC43" s="14">
        <f t="shared" si="12"/>
        <v>44046</v>
      </c>
      <c r="AD43" s="14">
        <f t="shared" si="13"/>
        <v>44059</v>
      </c>
    </row>
    <row r="44" spans="1:31" x14ac:dyDescent="0.2">
      <c r="A44" s="2" t="s">
        <v>427</v>
      </c>
      <c r="B44" s="3">
        <v>44055</v>
      </c>
      <c r="C44" s="2" t="s">
        <v>793</v>
      </c>
      <c r="D44" s="2" t="s">
        <v>62</v>
      </c>
      <c r="E44" s="2" t="s">
        <v>167</v>
      </c>
      <c r="F44" s="2" t="s">
        <v>168</v>
      </c>
      <c r="G44" s="2" t="s">
        <v>794</v>
      </c>
      <c r="H44" s="2" t="s">
        <v>795</v>
      </c>
      <c r="I44" s="2" t="s">
        <v>77</v>
      </c>
      <c r="J44" s="2" t="s">
        <v>32</v>
      </c>
      <c r="K44" s="2" t="s">
        <v>796</v>
      </c>
      <c r="L44" s="2" t="s">
        <v>797</v>
      </c>
      <c r="M44" s="3">
        <v>44047</v>
      </c>
      <c r="N44" s="3">
        <v>44076</v>
      </c>
      <c r="O44" s="4">
        <v>199.375</v>
      </c>
      <c r="P44" s="2" t="s">
        <v>48</v>
      </c>
      <c r="Q44" s="2" t="s">
        <v>166</v>
      </c>
      <c r="R44" s="2" t="s">
        <v>169</v>
      </c>
      <c r="S44" s="2" t="s">
        <v>420</v>
      </c>
      <c r="T44" s="2" t="s">
        <v>36</v>
      </c>
      <c r="U44" s="2" t="s">
        <v>37</v>
      </c>
      <c r="V44" s="2" t="s">
        <v>52</v>
      </c>
      <c r="W44" s="2" t="s">
        <v>798</v>
      </c>
      <c r="X44" s="2" t="s">
        <v>412</v>
      </c>
      <c r="Y44" s="2" t="s">
        <v>421</v>
      </c>
      <c r="Z44" s="2" t="s">
        <v>799</v>
      </c>
      <c r="AA44" s="2" t="s">
        <v>39</v>
      </c>
      <c r="AB44" s="2" t="s">
        <v>414</v>
      </c>
      <c r="AC44" s="14">
        <f t="shared" si="12"/>
        <v>44047</v>
      </c>
      <c r="AD44" s="14">
        <f t="shared" si="13"/>
        <v>44076</v>
      </c>
    </row>
    <row r="45" spans="1:31" x14ac:dyDescent="0.2">
      <c r="A45" s="2" t="s">
        <v>427</v>
      </c>
      <c r="B45" s="3">
        <v>44073</v>
      </c>
      <c r="C45" s="2" t="s">
        <v>793</v>
      </c>
      <c r="D45" s="2" t="s">
        <v>91</v>
      </c>
      <c r="E45" s="2" t="s">
        <v>164</v>
      </c>
      <c r="F45" s="2" t="s">
        <v>165</v>
      </c>
      <c r="G45" s="2" t="s">
        <v>800</v>
      </c>
      <c r="H45" s="2" t="s">
        <v>801</v>
      </c>
      <c r="I45" s="2" t="s">
        <v>77</v>
      </c>
      <c r="J45" s="2" t="s">
        <v>32</v>
      </c>
      <c r="K45" s="2" t="s">
        <v>796</v>
      </c>
      <c r="L45" s="2" t="s">
        <v>797</v>
      </c>
      <c r="M45" s="3">
        <v>44047</v>
      </c>
      <c r="N45" s="3">
        <v>44076</v>
      </c>
      <c r="O45" s="4">
        <v>311.67500000000001</v>
      </c>
      <c r="P45" s="2" t="s">
        <v>48</v>
      </c>
      <c r="Q45" s="2" t="s">
        <v>166</v>
      </c>
      <c r="R45" s="2" t="s">
        <v>169</v>
      </c>
      <c r="S45" s="2" t="s">
        <v>417</v>
      </c>
      <c r="T45" s="2" t="s">
        <v>42</v>
      </c>
      <c r="U45" s="2" t="s">
        <v>37</v>
      </c>
      <c r="V45" s="2" t="s">
        <v>52</v>
      </c>
      <c r="W45" s="2" t="s">
        <v>802</v>
      </c>
      <c r="X45" s="2" t="s">
        <v>412</v>
      </c>
      <c r="Y45" s="2" t="s">
        <v>458</v>
      </c>
      <c r="Z45" s="2" t="s">
        <v>594</v>
      </c>
      <c r="AA45" s="2" t="s">
        <v>39</v>
      </c>
      <c r="AB45" s="2" t="s">
        <v>414</v>
      </c>
      <c r="AC45" s="14">
        <f t="shared" si="12"/>
        <v>44047</v>
      </c>
      <c r="AD45" s="14">
        <f t="shared" si="13"/>
        <v>44076</v>
      </c>
    </row>
    <row r="46" spans="1:31" x14ac:dyDescent="0.2">
      <c r="A46" s="2" t="s">
        <v>431</v>
      </c>
      <c r="B46" s="3">
        <v>44027</v>
      </c>
      <c r="C46" s="2" t="s">
        <v>599</v>
      </c>
      <c r="D46" s="2" t="s">
        <v>62</v>
      </c>
      <c r="E46" s="2" t="s">
        <v>217</v>
      </c>
      <c r="F46" s="2" t="s">
        <v>218</v>
      </c>
      <c r="G46" s="2" t="s">
        <v>600</v>
      </c>
      <c r="H46" s="2" t="s">
        <v>601</v>
      </c>
      <c r="I46" s="2" t="s">
        <v>31</v>
      </c>
      <c r="J46" s="2" t="s">
        <v>32</v>
      </c>
      <c r="K46" s="2" t="s">
        <v>240</v>
      </c>
      <c r="L46" s="2" t="s">
        <v>586</v>
      </c>
      <c r="M46" s="3">
        <v>44050</v>
      </c>
      <c r="N46" s="3">
        <v>44060</v>
      </c>
      <c r="O46" s="4">
        <v>509.70499999999998</v>
      </c>
      <c r="P46" s="2" t="s">
        <v>33</v>
      </c>
      <c r="Q46" s="2" t="s">
        <v>34</v>
      </c>
      <c r="R46" s="2" t="s">
        <v>35</v>
      </c>
      <c r="S46" s="2" t="s">
        <v>435</v>
      </c>
      <c r="T46" s="2" t="s">
        <v>36</v>
      </c>
      <c r="U46" s="2" t="s">
        <v>37</v>
      </c>
      <c r="V46" s="2" t="s">
        <v>43</v>
      </c>
      <c r="W46" s="2" t="s">
        <v>602</v>
      </c>
      <c r="X46" s="2" t="s">
        <v>412</v>
      </c>
      <c r="Y46" s="2" t="s">
        <v>436</v>
      </c>
      <c r="Z46" s="2" t="s">
        <v>412</v>
      </c>
      <c r="AA46" s="2" t="s">
        <v>39</v>
      </c>
      <c r="AB46" s="2" t="s">
        <v>414</v>
      </c>
      <c r="AC46" s="14">
        <f>M46</f>
        <v>44050</v>
      </c>
      <c r="AD46" s="14">
        <f>N46</f>
        <v>44060</v>
      </c>
      <c r="AE46">
        <v>0</v>
      </c>
    </row>
    <row r="47" spans="1:31" x14ac:dyDescent="0.2">
      <c r="A47" s="2" t="s">
        <v>431</v>
      </c>
      <c r="B47" s="3">
        <v>44027</v>
      </c>
      <c r="C47" s="2" t="s">
        <v>603</v>
      </c>
      <c r="D47" s="2" t="s">
        <v>62</v>
      </c>
      <c r="E47" s="2" t="s">
        <v>217</v>
      </c>
      <c r="F47" s="2" t="s">
        <v>218</v>
      </c>
      <c r="G47" s="2" t="s">
        <v>604</v>
      </c>
      <c r="H47" s="2" t="s">
        <v>605</v>
      </c>
      <c r="I47" s="2" t="s">
        <v>31</v>
      </c>
      <c r="J47" s="2" t="s">
        <v>32</v>
      </c>
      <c r="K47" s="2" t="s">
        <v>240</v>
      </c>
      <c r="L47" s="2" t="s">
        <v>586</v>
      </c>
      <c r="M47" s="3">
        <v>44050</v>
      </c>
      <c r="N47" s="3">
        <v>44060</v>
      </c>
      <c r="O47" s="4">
        <v>484.45100000000002</v>
      </c>
      <c r="P47" s="2" t="s">
        <v>33</v>
      </c>
      <c r="Q47" s="2" t="s">
        <v>34</v>
      </c>
      <c r="R47" s="2" t="s">
        <v>35</v>
      </c>
      <c r="S47" s="2" t="s">
        <v>428</v>
      </c>
      <c r="T47" s="2" t="s">
        <v>36</v>
      </c>
      <c r="U47" s="2" t="s">
        <v>37</v>
      </c>
      <c r="V47" s="2" t="s">
        <v>38</v>
      </c>
      <c r="W47" s="2" t="s">
        <v>606</v>
      </c>
      <c r="X47" s="2" t="s">
        <v>412</v>
      </c>
      <c r="Y47" s="2" t="s">
        <v>429</v>
      </c>
      <c r="Z47" s="2" t="s">
        <v>412</v>
      </c>
      <c r="AA47" s="2" t="s">
        <v>39</v>
      </c>
      <c r="AB47" s="2" t="s">
        <v>414</v>
      </c>
      <c r="AC47" s="14">
        <f>M47</f>
        <v>44050</v>
      </c>
      <c r="AD47" s="14">
        <f>N47</f>
        <v>44060</v>
      </c>
      <c r="AE47">
        <v>0</v>
      </c>
    </row>
    <row r="48" spans="1:31" x14ac:dyDescent="0.2">
      <c r="A48" s="2" t="s">
        <v>427</v>
      </c>
      <c r="B48" s="3">
        <v>44017</v>
      </c>
      <c r="C48" s="2" t="s">
        <v>705</v>
      </c>
      <c r="D48" s="2" t="s">
        <v>44</v>
      </c>
      <c r="E48" s="2" t="s">
        <v>45</v>
      </c>
      <c r="F48" s="2" t="s">
        <v>46</v>
      </c>
      <c r="G48" s="2" t="s">
        <v>706</v>
      </c>
      <c r="H48" s="2" t="s">
        <v>707</v>
      </c>
      <c r="I48" s="2" t="s">
        <v>708</v>
      </c>
      <c r="J48" s="2" t="s">
        <v>47</v>
      </c>
      <c r="K48" s="2" t="s">
        <v>257</v>
      </c>
      <c r="L48" s="2" t="s">
        <v>622</v>
      </c>
      <c r="M48" s="3">
        <v>44048</v>
      </c>
      <c r="N48" s="3">
        <v>44074</v>
      </c>
      <c r="O48" s="4">
        <v>30.38</v>
      </c>
      <c r="P48" s="2" t="s">
        <v>48</v>
      </c>
      <c r="Q48" s="2" t="s">
        <v>49</v>
      </c>
      <c r="R48" s="2" t="s">
        <v>50</v>
      </c>
      <c r="S48" s="2" t="s">
        <v>446</v>
      </c>
      <c r="T48" s="2" t="s">
        <v>51</v>
      </c>
      <c r="U48" s="2" t="s">
        <v>37</v>
      </c>
      <c r="V48" s="2" t="s">
        <v>43</v>
      </c>
      <c r="W48" s="2" t="s">
        <v>709</v>
      </c>
      <c r="X48" s="2" t="s">
        <v>412</v>
      </c>
      <c r="Y48" s="2" t="s">
        <v>446</v>
      </c>
      <c r="Z48" s="2" t="s">
        <v>53</v>
      </c>
      <c r="AA48" s="2" t="s">
        <v>39</v>
      </c>
      <c r="AB48" s="2" t="s">
        <v>414</v>
      </c>
      <c r="AC48" s="14">
        <f t="shared" ref="AC48:AC52" si="14">M48</f>
        <v>44048</v>
      </c>
      <c r="AD48" s="14">
        <f t="shared" ref="AD48:AD52" si="15">N48</f>
        <v>44074</v>
      </c>
    </row>
    <row r="49" spans="1:32" x14ac:dyDescent="0.2">
      <c r="A49" s="2" t="s">
        <v>427</v>
      </c>
      <c r="B49" s="3">
        <v>44017</v>
      </c>
      <c r="C49" s="2" t="s">
        <v>705</v>
      </c>
      <c r="D49" s="2" t="s">
        <v>44</v>
      </c>
      <c r="E49" s="2" t="s">
        <v>45</v>
      </c>
      <c r="F49" s="2" t="s">
        <v>46</v>
      </c>
      <c r="G49" s="2" t="s">
        <v>710</v>
      </c>
      <c r="H49" s="2" t="s">
        <v>711</v>
      </c>
      <c r="I49" s="2" t="s">
        <v>712</v>
      </c>
      <c r="J49" s="2" t="s">
        <v>47</v>
      </c>
      <c r="K49" s="2" t="s">
        <v>257</v>
      </c>
      <c r="L49" s="2" t="s">
        <v>622</v>
      </c>
      <c r="M49" s="3">
        <v>44048</v>
      </c>
      <c r="N49" s="3">
        <v>44074</v>
      </c>
      <c r="O49" s="4">
        <v>30.36</v>
      </c>
      <c r="P49" s="2" t="s">
        <v>48</v>
      </c>
      <c r="Q49" s="2" t="s">
        <v>49</v>
      </c>
      <c r="R49" s="2" t="s">
        <v>50</v>
      </c>
      <c r="S49" s="2" t="s">
        <v>446</v>
      </c>
      <c r="T49" s="2" t="s">
        <v>51</v>
      </c>
      <c r="U49" s="2" t="s">
        <v>37</v>
      </c>
      <c r="V49" s="2" t="s">
        <v>43</v>
      </c>
      <c r="W49" s="2" t="s">
        <v>709</v>
      </c>
      <c r="X49" s="2" t="s">
        <v>412</v>
      </c>
      <c r="Y49" s="2" t="s">
        <v>446</v>
      </c>
      <c r="Z49" s="2" t="s">
        <v>53</v>
      </c>
      <c r="AA49" s="2" t="s">
        <v>39</v>
      </c>
      <c r="AB49" s="2" t="s">
        <v>414</v>
      </c>
      <c r="AC49" s="14">
        <f t="shared" si="14"/>
        <v>44048</v>
      </c>
      <c r="AD49" s="14">
        <f t="shared" si="15"/>
        <v>44074</v>
      </c>
    </row>
    <row r="50" spans="1:32" x14ac:dyDescent="0.2">
      <c r="A50" s="2" t="s">
        <v>427</v>
      </c>
      <c r="B50" s="3">
        <v>44042</v>
      </c>
      <c r="C50" s="2" t="s">
        <v>583</v>
      </c>
      <c r="D50" s="2" t="s">
        <v>28</v>
      </c>
      <c r="E50" s="2" t="s">
        <v>29</v>
      </c>
      <c r="F50" s="2" t="s">
        <v>397</v>
      </c>
      <c r="G50" s="2" t="s">
        <v>584</v>
      </c>
      <c r="H50" s="2" t="s">
        <v>585</v>
      </c>
      <c r="I50" s="2" t="s">
        <v>77</v>
      </c>
      <c r="J50" s="2" t="s">
        <v>32</v>
      </c>
      <c r="K50" s="2" t="s">
        <v>240</v>
      </c>
      <c r="L50" s="2" t="s">
        <v>586</v>
      </c>
      <c r="M50" s="3">
        <v>44048</v>
      </c>
      <c r="N50" s="3">
        <v>44078</v>
      </c>
      <c r="O50" s="4">
        <v>499.36500000000001</v>
      </c>
      <c r="P50" s="2" t="s">
        <v>48</v>
      </c>
      <c r="Q50" s="2" t="s">
        <v>405</v>
      </c>
      <c r="R50" s="2" t="s">
        <v>406</v>
      </c>
      <c r="S50" s="2" t="s">
        <v>428</v>
      </c>
      <c r="T50" s="2" t="s">
        <v>36</v>
      </c>
      <c r="U50" s="2" t="s">
        <v>37</v>
      </c>
      <c r="V50" s="2" t="s">
        <v>38</v>
      </c>
      <c r="W50" s="2" t="s">
        <v>587</v>
      </c>
      <c r="X50" s="2" t="s">
        <v>412</v>
      </c>
      <c r="Y50" s="2" t="s">
        <v>429</v>
      </c>
      <c r="Z50" s="2" t="s">
        <v>412</v>
      </c>
      <c r="AA50" s="2" t="s">
        <v>39</v>
      </c>
      <c r="AB50" s="2" t="s">
        <v>414</v>
      </c>
      <c r="AC50" s="14">
        <f t="shared" si="14"/>
        <v>44048</v>
      </c>
      <c r="AD50" s="14">
        <f t="shared" si="15"/>
        <v>44078</v>
      </c>
    </row>
    <row r="51" spans="1:32" x14ac:dyDescent="0.2">
      <c r="A51" s="2" t="s">
        <v>427</v>
      </c>
      <c r="B51" s="3">
        <v>44042</v>
      </c>
      <c r="C51" s="2" t="s">
        <v>583</v>
      </c>
      <c r="D51" s="2" t="s">
        <v>28</v>
      </c>
      <c r="E51" s="2" t="s">
        <v>29</v>
      </c>
      <c r="F51" s="2" t="s">
        <v>397</v>
      </c>
      <c r="G51" s="2" t="s">
        <v>588</v>
      </c>
      <c r="H51" s="2" t="s">
        <v>589</v>
      </c>
      <c r="I51" s="2" t="s">
        <v>77</v>
      </c>
      <c r="J51" s="2" t="s">
        <v>32</v>
      </c>
      <c r="K51" s="2" t="s">
        <v>240</v>
      </c>
      <c r="L51" s="2" t="s">
        <v>586</v>
      </c>
      <c r="M51" s="3">
        <v>44048</v>
      </c>
      <c r="N51" s="3">
        <v>44078</v>
      </c>
      <c r="O51" s="4">
        <v>497.935</v>
      </c>
      <c r="P51" s="2" t="s">
        <v>48</v>
      </c>
      <c r="Q51" s="2" t="s">
        <v>405</v>
      </c>
      <c r="R51" s="2" t="s">
        <v>406</v>
      </c>
      <c r="S51" s="2" t="s">
        <v>428</v>
      </c>
      <c r="T51" s="2" t="s">
        <v>36</v>
      </c>
      <c r="U51" s="2" t="s">
        <v>37</v>
      </c>
      <c r="V51" s="2" t="s">
        <v>38</v>
      </c>
      <c r="W51" s="2" t="s">
        <v>590</v>
      </c>
      <c r="X51" s="2" t="s">
        <v>412</v>
      </c>
      <c r="Y51" s="2" t="s">
        <v>429</v>
      </c>
      <c r="Z51" s="2" t="s">
        <v>412</v>
      </c>
      <c r="AA51" s="2" t="s">
        <v>39</v>
      </c>
      <c r="AB51" s="2" t="s">
        <v>414</v>
      </c>
      <c r="AC51" s="14">
        <f t="shared" si="14"/>
        <v>44048</v>
      </c>
      <c r="AD51" s="14">
        <f t="shared" si="15"/>
        <v>44078</v>
      </c>
    </row>
    <row r="52" spans="1:32" x14ac:dyDescent="0.2">
      <c r="A52" s="2" t="s">
        <v>427</v>
      </c>
      <c r="B52" s="3">
        <v>44048</v>
      </c>
      <c r="C52" s="2" t="s">
        <v>828</v>
      </c>
      <c r="D52" s="2" t="s">
        <v>62</v>
      </c>
      <c r="E52" s="2" t="s">
        <v>212</v>
      </c>
      <c r="F52" s="2" t="s">
        <v>213</v>
      </c>
      <c r="G52" s="2" t="s">
        <v>829</v>
      </c>
      <c r="H52" s="2" t="s">
        <v>830</v>
      </c>
      <c r="I52" s="2" t="s">
        <v>77</v>
      </c>
      <c r="J52" s="2" t="s">
        <v>32</v>
      </c>
      <c r="K52" s="2" t="s">
        <v>388</v>
      </c>
      <c r="L52" s="2" t="s">
        <v>831</v>
      </c>
      <c r="M52" s="3">
        <v>44048</v>
      </c>
      <c r="N52" s="3">
        <v>44073</v>
      </c>
      <c r="O52" s="4">
        <v>494.41</v>
      </c>
      <c r="P52" s="2" t="s">
        <v>48</v>
      </c>
      <c r="Q52" s="2" t="s">
        <v>115</v>
      </c>
      <c r="R52" s="2" t="s">
        <v>116</v>
      </c>
      <c r="S52" s="2" t="s">
        <v>432</v>
      </c>
      <c r="T52" s="2" t="s">
        <v>140</v>
      </c>
      <c r="U52" s="2" t="s">
        <v>37</v>
      </c>
      <c r="V52" s="2" t="s">
        <v>43</v>
      </c>
      <c r="W52" s="2" t="s">
        <v>832</v>
      </c>
      <c r="X52" s="2" t="s">
        <v>412</v>
      </c>
      <c r="Y52" s="2" t="s">
        <v>478</v>
      </c>
      <c r="Z52" s="2" t="s">
        <v>833</v>
      </c>
      <c r="AA52" s="2" t="s">
        <v>39</v>
      </c>
      <c r="AB52" s="2" t="s">
        <v>414</v>
      </c>
      <c r="AC52" s="14">
        <f t="shared" si="14"/>
        <v>44048</v>
      </c>
      <c r="AD52" s="14">
        <f t="shared" si="15"/>
        <v>44073</v>
      </c>
    </row>
    <row r="53" spans="1:32" x14ac:dyDescent="0.2">
      <c r="A53" s="2" t="s">
        <v>427</v>
      </c>
      <c r="B53" s="3">
        <v>44042</v>
      </c>
      <c r="C53" s="2" t="s">
        <v>803</v>
      </c>
      <c r="D53" s="2" t="s">
        <v>91</v>
      </c>
      <c r="E53" s="2" t="s">
        <v>728</v>
      </c>
      <c r="F53" s="2" t="s">
        <v>729</v>
      </c>
      <c r="G53" s="2" t="s">
        <v>804</v>
      </c>
      <c r="H53" s="2" t="s">
        <v>805</v>
      </c>
      <c r="I53" s="2" t="s">
        <v>730</v>
      </c>
      <c r="J53" s="2" t="s">
        <v>58</v>
      </c>
      <c r="K53" s="2" t="s">
        <v>739</v>
      </c>
      <c r="L53" s="2" t="s">
        <v>740</v>
      </c>
      <c r="M53" s="3">
        <v>44049</v>
      </c>
      <c r="N53" s="3">
        <v>44117</v>
      </c>
      <c r="O53" s="4">
        <v>103.37</v>
      </c>
      <c r="P53" s="2" t="s">
        <v>48</v>
      </c>
      <c r="Q53" s="2" t="s">
        <v>731</v>
      </c>
      <c r="R53" s="2" t="s">
        <v>732</v>
      </c>
      <c r="S53" s="2" t="s">
        <v>419</v>
      </c>
      <c r="T53" s="2" t="s">
        <v>72</v>
      </c>
      <c r="U53" s="2" t="s">
        <v>37</v>
      </c>
      <c r="V53" s="2" t="s">
        <v>65</v>
      </c>
      <c r="W53" s="2" t="s">
        <v>735</v>
      </c>
      <c r="X53" s="2" t="s">
        <v>412</v>
      </c>
      <c r="Y53" s="2" t="s">
        <v>454</v>
      </c>
      <c r="Z53" s="2" t="s">
        <v>53</v>
      </c>
      <c r="AA53" s="2" t="s">
        <v>733</v>
      </c>
      <c r="AB53" s="2" t="s">
        <v>414</v>
      </c>
      <c r="AC53" s="14">
        <f t="shared" ref="AC53:AC58" si="16">M53</f>
        <v>44049</v>
      </c>
      <c r="AD53" s="14">
        <f t="shared" ref="AD53:AD58" si="17">N53</f>
        <v>44117</v>
      </c>
      <c r="AE53" s="2"/>
      <c r="AF53" s="2"/>
    </row>
    <row r="54" spans="1:32" x14ac:dyDescent="0.2">
      <c r="A54" s="2" t="s">
        <v>427</v>
      </c>
      <c r="B54" s="3">
        <v>44042</v>
      </c>
      <c r="C54" s="2" t="s">
        <v>803</v>
      </c>
      <c r="D54" s="2" t="s">
        <v>91</v>
      </c>
      <c r="E54" s="2" t="s">
        <v>728</v>
      </c>
      <c r="F54" s="2" t="s">
        <v>729</v>
      </c>
      <c r="G54" s="2" t="s">
        <v>806</v>
      </c>
      <c r="H54" s="2" t="s">
        <v>807</v>
      </c>
      <c r="I54" s="2" t="s">
        <v>730</v>
      </c>
      <c r="J54" s="2" t="s">
        <v>58</v>
      </c>
      <c r="K54" s="2" t="s">
        <v>739</v>
      </c>
      <c r="L54" s="2" t="s">
        <v>740</v>
      </c>
      <c r="M54" s="3">
        <v>44049</v>
      </c>
      <c r="N54" s="3">
        <v>44117</v>
      </c>
      <c r="O54" s="4">
        <v>103.45</v>
      </c>
      <c r="P54" s="2" t="s">
        <v>48</v>
      </c>
      <c r="Q54" s="2" t="s">
        <v>731</v>
      </c>
      <c r="R54" s="2" t="s">
        <v>732</v>
      </c>
      <c r="S54" s="2" t="s">
        <v>419</v>
      </c>
      <c r="T54" s="2" t="s">
        <v>72</v>
      </c>
      <c r="U54" s="2" t="s">
        <v>37</v>
      </c>
      <c r="V54" s="2" t="s">
        <v>65</v>
      </c>
      <c r="W54" s="2" t="s">
        <v>736</v>
      </c>
      <c r="X54" s="2" t="s">
        <v>412</v>
      </c>
      <c r="Y54" s="2" t="s">
        <v>454</v>
      </c>
      <c r="Z54" s="2" t="s">
        <v>53</v>
      </c>
      <c r="AA54" s="2" t="s">
        <v>733</v>
      </c>
      <c r="AB54" s="2" t="s">
        <v>414</v>
      </c>
      <c r="AC54" s="14">
        <f t="shared" si="16"/>
        <v>44049</v>
      </c>
      <c r="AD54" s="14">
        <f t="shared" si="17"/>
        <v>44117</v>
      </c>
      <c r="AE54" s="2"/>
      <c r="AF54" s="2"/>
    </row>
    <row r="55" spans="1:32" x14ac:dyDescent="0.2">
      <c r="A55" s="2" t="s">
        <v>427</v>
      </c>
      <c r="B55" s="3">
        <v>44042</v>
      </c>
      <c r="C55" s="2" t="s">
        <v>803</v>
      </c>
      <c r="D55" s="2" t="s">
        <v>91</v>
      </c>
      <c r="E55" s="2" t="s">
        <v>728</v>
      </c>
      <c r="F55" s="2" t="s">
        <v>729</v>
      </c>
      <c r="G55" s="2" t="s">
        <v>808</v>
      </c>
      <c r="H55" s="2" t="s">
        <v>809</v>
      </c>
      <c r="I55" s="2" t="s">
        <v>730</v>
      </c>
      <c r="J55" s="2" t="s">
        <v>58</v>
      </c>
      <c r="K55" s="2" t="s">
        <v>739</v>
      </c>
      <c r="L55" s="2" t="s">
        <v>740</v>
      </c>
      <c r="M55" s="3">
        <v>44049</v>
      </c>
      <c r="N55" s="3">
        <v>44117</v>
      </c>
      <c r="O55" s="4">
        <v>103.402</v>
      </c>
      <c r="P55" s="2" t="s">
        <v>48</v>
      </c>
      <c r="Q55" s="2" t="s">
        <v>731</v>
      </c>
      <c r="R55" s="2" t="s">
        <v>732</v>
      </c>
      <c r="S55" s="2" t="s">
        <v>419</v>
      </c>
      <c r="T55" s="2" t="s">
        <v>72</v>
      </c>
      <c r="U55" s="2" t="s">
        <v>37</v>
      </c>
      <c r="V55" s="2" t="s">
        <v>65</v>
      </c>
      <c r="W55" s="2" t="s">
        <v>737</v>
      </c>
      <c r="X55" s="2" t="s">
        <v>412</v>
      </c>
      <c r="Y55" s="2" t="s">
        <v>454</v>
      </c>
      <c r="Z55" s="2" t="s">
        <v>53</v>
      </c>
      <c r="AA55" s="2" t="s">
        <v>733</v>
      </c>
      <c r="AB55" s="2" t="s">
        <v>414</v>
      </c>
      <c r="AC55" s="14">
        <f t="shared" si="16"/>
        <v>44049</v>
      </c>
      <c r="AD55" s="14">
        <f t="shared" si="17"/>
        <v>44117</v>
      </c>
      <c r="AE55" s="2"/>
      <c r="AF55" s="2"/>
    </row>
    <row r="56" spans="1:32" x14ac:dyDescent="0.2">
      <c r="A56" s="2" t="s">
        <v>427</v>
      </c>
      <c r="B56" s="3">
        <v>44042</v>
      </c>
      <c r="C56" s="2" t="s">
        <v>803</v>
      </c>
      <c r="D56" s="2" t="s">
        <v>91</v>
      </c>
      <c r="E56" s="2" t="s">
        <v>728</v>
      </c>
      <c r="F56" s="2" t="s">
        <v>729</v>
      </c>
      <c r="G56" s="2" t="s">
        <v>810</v>
      </c>
      <c r="H56" s="2" t="s">
        <v>811</v>
      </c>
      <c r="I56" s="2" t="s">
        <v>730</v>
      </c>
      <c r="J56" s="2" t="s">
        <v>58</v>
      </c>
      <c r="K56" s="2" t="s">
        <v>739</v>
      </c>
      <c r="L56" s="2" t="s">
        <v>740</v>
      </c>
      <c r="M56" s="3">
        <v>44049</v>
      </c>
      <c r="N56" s="3">
        <v>44117</v>
      </c>
      <c r="O56" s="4">
        <v>103.44199999999999</v>
      </c>
      <c r="P56" s="2" t="s">
        <v>48</v>
      </c>
      <c r="Q56" s="2" t="s">
        <v>731</v>
      </c>
      <c r="R56" s="2" t="s">
        <v>732</v>
      </c>
      <c r="S56" s="2" t="s">
        <v>419</v>
      </c>
      <c r="T56" s="2" t="s">
        <v>72</v>
      </c>
      <c r="U56" s="2" t="s">
        <v>37</v>
      </c>
      <c r="V56" s="2" t="s">
        <v>65</v>
      </c>
      <c r="W56" s="2" t="s">
        <v>738</v>
      </c>
      <c r="X56" s="2" t="s">
        <v>412</v>
      </c>
      <c r="Y56" s="2" t="s">
        <v>454</v>
      </c>
      <c r="Z56" s="2" t="s">
        <v>53</v>
      </c>
      <c r="AA56" s="2" t="s">
        <v>733</v>
      </c>
      <c r="AB56" s="2" t="s">
        <v>414</v>
      </c>
      <c r="AC56" s="14">
        <f t="shared" si="16"/>
        <v>44049</v>
      </c>
      <c r="AD56" s="14">
        <f t="shared" si="17"/>
        <v>44117</v>
      </c>
      <c r="AE56" s="2"/>
      <c r="AF56" s="2"/>
    </row>
    <row r="57" spans="1:32" x14ac:dyDescent="0.2">
      <c r="A57" s="2" t="s">
        <v>427</v>
      </c>
      <c r="B57" s="3">
        <v>44042</v>
      </c>
      <c r="C57" s="2" t="s">
        <v>803</v>
      </c>
      <c r="D57" s="2" t="s">
        <v>91</v>
      </c>
      <c r="E57" s="2" t="s">
        <v>728</v>
      </c>
      <c r="F57" s="2" t="s">
        <v>729</v>
      </c>
      <c r="G57" s="2" t="s">
        <v>812</v>
      </c>
      <c r="H57" s="2" t="s">
        <v>813</v>
      </c>
      <c r="I57" s="2" t="s">
        <v>730</v>
      </c>
      <c r="J57" s="2" t="s">
        <v>58</v>
      </c>
      <c r="K57" s="2" t="s">
        <v>739</v>
      </c>
      <c r="L57" s="2" t="s">
        <v>740</v>
      </c>
      <c r="M57" s="3">
        <v>44049</v>
      </c>
      <c r="N57" s="3">
        <v>44117</v>
      </c>
      <c r="O57" s="4">
        <v>103.44199999999999</v>
      </c>
      <c r="P57" s="2" t="s">
        <v>48</v>
      </c>
      <c r="Q57" s="2" t="s">
        <v>731</v>
      </c>
      <c r="R57" s="2" t="s">
        <v>732</v>
      </c>
      <c r="S57" s="2" t="s">
        <v>419</v>
      </c>
      <c r="T57" s="2" t="s">
        <v>72</v>
      </c>
      <c r="U57" s="2" t="s">
        <v>37</v>
      </c>
      <c r="V57" s="2" t="s">
        <v>65</v>
      </c>
      <c r="W57" s="2" t="s">
        <v>741</v>
      </c>
      <c r="X57" s="2" t="s">
        <v>412</v>
      </c>
      <c r="Y57" s="2" t="s">
        <v>454</v>
      </c>
      <c r="Z57" s="2" t="s">
        <v>53</v>
      </c>
      <c r="AA57" s="2" t="s">
        <v>733</v>
      </c>
      <c r="AB57" s="2" t="s">
        <v>414</v>
      </c>
      <c r="AC57" s="14">
        <f t="shared" si="16"/>
        <v>44049</v>
      </c>
      <c r="AD57" s="14">
        <f t="shared" si="17"/>
        <v>44117</v>
      </c>
      <c r="AE57" s="2"/>
      <c r="AF57" s="2"/>
    </row>
    <row r="58" spans="1:32" x14ac:dyDescent="0.2">
      <c r="A58" s="2" t="s">
        <v>427</v>
      </c>
      <c r="B58" s="3">
        <v>44042</v>
      </c>
      <c r="C58" s="2" t="s">
        <v>803</v>
      </c>
      <c r="D58" s="2" t="s">
        <v>91</v>
      </c>
      <c r="E58" s="2" t="s">
        <v>728</v>
      </c>
      <c r="F58" s="2" t="s">
        <v>729</v>
      </c>
      <c r="G58" s="2" t="s">
        <v>814</v>
      </c>
      <c r="H58" s="2" t="s">
        <v>815</v>
      </c>
      <c r="I58" s="2" t="s">
        <v>730</v>
      </c>
      <c r="J58" s="2" t="s">
        <v>58</v>
      </c>
      <c r="K58" s="2" t="s">
        <v>739</v>
      </c>
      <c r="L58" s="2" t="s">
        <v>740</v>
      </c>
      <c r="M58" s="3">
        <v>44049</v>
      </c>
      <c r="N58" s="3">
        <v>44117</v>
      </c>
      <c r="O58" s="4">
        <v>103.446</v>
      </c>
      <c r="P58" s="2" t="s">
        <v>48</v>
      </c>
      <c r="Q58" s="2" t="s">
        <v>731</v>
      </c>
      <c r="R58" s="2" t="s">
        <v>732</v>
      </c>
      <c r="S58" s="2" t="s">
        <v>419</v>
      </c>
      <c r="T58" s="2" t="s">
        <v>72</v>
      </c>
      <c r="U58" s="2" t="s">
        <v>37</v>
      </c>
      <c r="V58" s="2" t="s">
        <v>65</v>
      </c>
      <c r="W58" s="2" t="s">
        <v>742</v>
      </c>
      <c r="X58" s="2" t="s">
        <v>412</v>
      </c>
      <c r="Y58" s="2" t="s">
        <v>454</v>
      </c>
      <c r="Z58" s="2" t="s">
        <v>53</v>
      </c>
      <c r="AA58" s="2" t="s">
        <v>733</v>
      </c>
      <c r="AB58" s="2" t="s">
        <v>414</v>
      </c>
      <c r="AC58" s="14">
        <f t="shared" si="16"/>
        <v>44049</v>
      </c>
      <c r="AD58" s="14">
        <f t="shared" si="17"/>
        <v>44117</v>
      </c>
      <c r="AE58" s="2"/>
      <c r="AF58" s="2"/>
    </row>
    <row r="59" spans="1:32" x14ac:dyDescent="0.2">
      <c r="A59" s="2" t="s">
        <v>427</v>
      </c>
      <c r="B59" s="3">
        <v>44024</v>
      </c>
      <c r="C59" s="2" t="s">
        <v>834</v>
      </c>
      <c r="D59" s="2" t="s">
        <v>62</v>
      </c>
      <c r="E59" s="2" t="s">
        <v>167</v>
      </c>
      <c r="F59" s="2" t="s">
        <v>168</v>
      </c>
      <c r="G59" s="2" t="s">
        <v>608</v>
      </c>
      <c r="H59" s="2" t="s">
        <v>609</v>
      </c>
      <c r="I59" s="2" t="s">
        <v>77</v>
      </c>
      <c r="J59" s="2" t="s">
        <v>32</v>
      </c>
      <c r="K59" s="2" t="s">
        <v>759</v>
      </c>
      <c r="L59" s="2" t="s">
        <v>760</v>
      </c>
      <c r="M59" s="3">
        <v>44050</v>
      </c>
      <c r="N59" s="3">
        <v>44074</v>
      </c>
      <c r="O59" s="4">
        <v>199.77500000000001</v>
      </c>
      <c r="P59" s="2" t="s">
        <v>48</v>
      </c>
      <c r="Q59" s="2" t="s">
        <v>166</v>
      </c>
      <c r="R59" s="2" t="s">
        <v>169</v>
      </c>
      <c r="S59" s="2" t="s">
        <v>420</v>
      </c>
      <c r="T59" s="2" t="s">
        <v>36</v>
      </c>
      <c r="U59" s="2" t="s">
        <v>37</v>
      </c>
      <c r="V59" s="2" t="s">
        <v>52</v>
      </c>
      <c r="W59" s="2" t="s">
        <v>610</v>
      </c>
      <c r="X59" s="2" t="s">
        <v>412</v>
      </c>
      <c r="Y59" s="2" t="s">
        <v>421</v>
      </c>
      <c r="Z59" s="2" t="s">
        <v>611</v>
      </c>
      <c r="AA59" s="2" t="s">
        <v>39</v>
      </c>
      <c r="AB59" s="2" t="s">
        <v>414</v>
      </c>
      <c r="AC59" s="14">
        <f t="shared" ref="AC59:AC64" si="18">M59</f>
        <v>44050</v>
      </c>
      <c r="AD59" s="14">
        <f t="shared" ref="AD59:AD64" si="19">N59</f>
        <v>44074</v>
      </c>
      <c r="AE59" s="2"/>
    </row>
    <row r="60" spans="1:32" x14ac:dyDescent="0.2">
      <c r="A60" s="2" t="s">
        <v>427</v>
      </c>
      <c r="B60" s="3">
        <v>44043</v>
      </c>
      <c r="C60" s="2" t="s">
        <v>834</v>
      </c>
      <c r="D60" s="2" t="s">
        <v>137</v>
      </c>
      <c r="E60" s="2" t="s">
        <v>392</v>
      </c>
      <c r="F60" s="2" t="s">
        <v>393</v>
      </c>
      <c r="G60" s="2" t="s">
        <v>719</v>
      </c>
      <c r="H60" s="2" t="s">
        <v>720</v>
      </c>
      <c r="I60" s="2" t="s">
        <v>394</v>
      </c>
      <c r="J60" s="2" t="s">
        <v>58</v>
      </c>
      <c r="K60" s="2" t="s">
        <v>759</v>
      </c>
      <c r="L60" s="2" t="s">
        <v>760</v>
      </c>
      <c r="M60" s="3">
        <v>44050</v>
      </c>
      <c r="N60" s="3">
        <v>44074</v>
      </c>
      <c r="O60" s="4">
        <v>146.59200000000001</v>
      </c>
      <c r="P60" s="2" t="s">
        <v>48</v>
      </c>
      <c r="Q60" s="2" t="s">
        <v>166</v>
      </c>
      <c r="R60" s="2" t="s">
        <v>395</v>
      </c>
      <c r="S60" s="2" t="s">
        <v>465</v>
      </c>
      <c r="T60" s="2" t="s">
        <v>36</v>
      </c>
      <c r="U60" s="2" t="s">
        <v>37</v>
      </c>
      <c r="V60" s="2" t="s">
        <v>52</v>
      </c>
      <c r="W60" s="2" t="s">
        <v>721</v>
      </c>
      <c r="X60" s="2" t="s">
        <v>412</v>
      </c>
      <c r="Y60" s="2" t="s">
        <v>471</v>
      </c>
      <c r="Z60" s="2" t="s">
        <v>722</v>
      </c>
      <c r="AA60" s="2" t="s">
        <v>39</v>
      </c>
      <c r="AB60" s="2" t="s">
        <v>414</v>
      </c>
      <c r="AC60" s="14">
        <f t="shared" si="18"/>
        <v>44050</v>
      </c>
      <c r="AD60" s="14">
        <f t="shared" si="19"/>
        <v>44074</v>
      </c>
      <c r="AE60" s="2"/>
    </row>
    <row r="61" spans="1:32" x14ac:dyDescent="0.2">
      <c r="A61" s="2" t="s">
        <v>470</v>
      </c>
      <c r="B61" s="3">
        <v>44048</v>
      </c>
      <c r="C61" s="2" t="s">
        <v>835</v>
      </c>
      <c r="D61" s="2" t="s">
        <v>219</v>
      </c>
      <c r="E61" s="2" t="s">
        <v>220</v>
      </c>
      <c r="F61" s="2" t="s">
        <v>221</v>
      </c>
      <c r="G61" s="2" t="s">
        <v>836</v>
      </c>
      <c r="H61" s="2" t="s">
        <v>837</v>
      </c>
      <c r="I61" s="2" t="s">
        <v>222</v>
      </c>
      <c r="J61" s="2" t="s">
        <v>223</v>
      </c>
      <c r="K61" s="2" t="s">
        <v>734</v>
      </c>
      <c r="L61" s="2" t="s">
        <v>838</v>
      </c>
      <c r="M61" s="3">
        <v>44048</v>
      </c>
      <c r="N61" s="3">
        <v>44098</v>
      </c>
      <c r="O61" s="4">
        <v>128.55000000000001</v>
      </c>
      <c r="P61" s="2" t="s">
        <v>224</v>
      </c>
      <c r="Q61" s="2" t="s">
        <v>225</v>
      </c>
      <c r="R61" s="2" t="s">
        <v>226</v>
      </c>
      <c r="S61" s="2" t="s">
        <v>415</v>
      </c>
      <c r="T61" s="2" t="s">
        <v>87</v>
      </c>
      <c r="U61" s="2" t="s">
        <v>37</v>
      </c>
      <c r="V61" s="2" t="s">
        <v>88</v>
      </c>
      <c r="W61" s="2" t="s">
        <v>839</v>
      </c>
      <c r="X61" s="2" t="s">
        <v>412</v>
      </c>
      <c r="Y61" s="2" t="s">
        <v>840</v>
      </c>
      <c r="Z61" s="2" t="s">
        <v>412</v>
      </c>
      <c r="AA61" s="2" t="s">
        <v>227</v>
      </c>
      <c r="AB61" s="2" t="s">
        <v>414</v>
      </c>
      <c r="AC61" s="14">
        <f t="shared" si="18"/>
        <v>44048</v>
      </c>
      <c r="AD61" s="14">
        <f t="shared" si="19"/>
        <v>44098</v>
      </c>
    </row>
    <row r="62" spans="1:32" x14ac:dyDescent="0.2">
      <c r="A62" s="2" t="s">
        <v>470</v>
      </c>
      <c r="B62" s="3">
        <v>44073</v>
      </c>
      <c r="C62" s="2" t="s">
        <v>835</v>
      </c>
      <c r="D62" s="2" t="s">
        <v>91</v>
      </c>
      <c r="E62" s="2" t="s">
        <v>228</v>
      </c>
      <c r="F62" s="2" t="s">
        <v>229</v>
      </c>
      <c r="G62" s="2" t="s">
        <v>841</v>
      </c>
      <c r="H62" s="2" t="s">
        <v>842</v>
      </c>
      <c r="I62" s="2" t="s">
        <v>230</v>
      </c>
      <c r="J62" s="2" t="s">
        <v>223</v>
      </c>
      <c r="K62" s="2" t="s">
        <v>734</v>
      </c>
      <c r="L62" s="2" t="s">
        <v>838</v>
      </c>
      <c r="M62" s="3">
        <v>44048</v>
      </c>
      <c r="N62" s="3">
        <v>44082</v>
      </c>
      <c r="O62" s="4">
        <v>102.93</v>
      </c>
      <c r="P62" s="2" t="s">
        <v>224</v>
      </c>
      <c r="Q62" s="2" t="s">
        <v>231</v>
      </c>
      <c r="R62" s="2" t="s">
        <v>232</v>
      </c>
      <c r="S62" s="2" t="s">
        <v>419</v>
      </c>
      <c r="T62" s="2" t="s">
        <v>87</v>
      </c>
      <c r="U62" s="2" t="s">
        <v>37</v>
      </c>
      <c r="V62" s="2" t="s">
        <v>88</v>
      </c>
      <c r="W62" s="2" t="s">
        <v>843</v>
      </c>
      <c r="X62" s="2" t="s">
        <v>412</v>
      </c>
      <c r="Y62" s="2" t="s">
        <v>468</v>
      </c>
      <c r="Z62" s="2" t="s">
        <v>519</v>
      </c>
      <c r="AA62" s="2" t="s">
        <v>39</v>
      </c>
      <c r="AB62" s="2" t="s">
        <v>414</v>
      </c>
      <c r="AC62" s="14">
        <f t="shared" si="18"/>
        <v>44048</v>
      </c>
      <c r="AD62" s="14">
        <f t="shared" si="19"/>
        <v>44082</v>
      </c>
    </row>
    <row r="63" spans="1:32" x14ac:dyDescent="0.2">
      <c r="A63" s="2" t="s">
        <v>470</v>
      </c>
      <c r="B63" s="3">
        <v>44048</v>
      </c>
      <c r="C63" s="2" t="s">
        <v>835</v>
      </c>
      <c r="D63" s="2" t="s">
        <v>137</v>
      </c>
      <c r="E63" s="2" t="s">
        <v>138</v>
      </c>
      <c r="F63" s="2" t="s">
        <v>139</v>
      </c>
      <c r="G63" s="2" t="s">
        <v>844</v>
      </c>
      <c r="H63" s="2" t="s">
        <v>845</v>
      </c>
      <c r="I63" s="2" t="s">
        <v>846</v>
      </c>
      <c r="J63" s="2" t="s">
        <v>32</v>
      </c>
      <c r="K63" s="2" t="s">
        <v>734</v>
      </c>
      <c r="L63" s="2" t="s">
        <v>838</v>
      </c>
      <c r="M63" s="3">
        <v>44048</v>
      </c>
      <c r="N63" s="3">
        <v>44079</v>
      </c>
      <c r="O63" s="4">
        <v>488.863</v>
      </c>
      <c r="P63" s="2" t="s">
        <v>224</v>
      </c>
      <c r="Q63" s="2" t="s">
        <v>34</v>
      </c>
      <c r="R63" s="2" t="s">
        <v>35</v>
      </c>
      <c r="S63" s="2" t="s">
        <v>432</v>
      </c>
      <c r="T63" s="2" t="s">
        <v>87</v>
      </c>
      <c r="U63" s="2" t="s">
        <v>37</v>
      </c>
      <c r="V63" s="2" t="s">
        <v>88</v>
      </c>
      <c r="W63" s="2" t="s">
        <v>847</v>
      </c>
      <c r="X63" s="2" t="s">
        <v>412</v>
      </c>
      <c r="Y63" s="2" t="s">
        <v>478</v>
      </c>
      <c r="Z63" s="2" t="s">
        <v>412</v>
      </c>
      <c r="AA63" s="2" t="s">
        <v>39</v>
      </c>
      <c r="AB63" s="2" t="s">
        <v>414</v>
      </c>
      <c r="AC63" s="14">
        <f t="shared" si="18"/>
        <v>44048</v>
      </c>
      <c r="AD63" s="14">
        <f t="shared" si="19"/>
        <v>44079</v>
      </c>
    </row>
    <row r="64" spans="1:32" x14ac:dyDescent="0.2">
      <c r="A64" s="2" t="s">
        <v>470</v>
      </c>
      <c r="B64" s="3">
        <v>44053</v>
      </c>
      <c r="C64" s="2" t="s">
        <v>835</v>
      </c>
      <c r="D64" s="2" t="s">
        <v>137</v>
      </c>
      <c r="E64" s="2" t="s">
        <v>138</v>
      </c>
      <c r="F64" s="2" t="s">
        <v>139</v>
      </c>
      <c r="G64" s="2" t="s">
        <v>848</v>
      </c>
      <c r="H64" s="2" t="s">
        <v>849</v>
      </c>
      <c r="I64" s="2" t="s">
        <v>846</v>
      </c>
      <c r="J64" s="2" t="s">
        <v>32</v>
      </c>
      <c r="K64" s="2" t="s">
        <v>734</v>
      </c>
      <c r="L64" s="2" t="s">
        <v>838</v>
      </c>
      <c r="M64" s="3">
        <v>44048</v>
      </c>
      <c r="N64" s="3">
        <v>44079</v>
      </c>
      <c r="O64" s="4">
        <v>508.589</v>
      </c>
      <c r="P64" s="2" t="s">
        <v>224</v>
      </c>
      <c r="Q64" s="2" t="s">
        <v>34</v>
      </c>
      <c r="R64" s="2" t="s">
        <v>35</v>
      </c>
      <c r="S64" s="2" t="s">
        <v>447</v>
      </c>
      <c r="T64" s="2" t="s">
        <v>87</v>
      </c>
      <c r="U64" s="2" t="s">
        <v>37</v>
      </c>
      <c r="V64" s="2" t="s">
        <v>88</v>
      </c>
      <c r="W64" s="2" t="s">
        <v>850</v>
      </c>
      <c r="X64" s="2" t="s">
        <v>412</v>
      </c>
      <c r="Y64" s="2" t="s">
        <v>448</v>
      </c>
      <c r="Z64" s="2" t="s">
        <v>412</v>
      </c>
      <c r="AA64" s="2" t="s">
        <v>39</v>
      </c>
      <c r="AB64" s="2" t="s">
        <v>414</v>
      </c>
      <c r="AC64" s="14">
        <f t="shared" si="18"/>
        <v>44048</v>
      </c>
      <c r="AD64" s="14">
        <f t="shared" si="19"/>
        <v>44079</v>
      </c>
    </row>
    <row r="65" spans="1:33" x14ac:dyDescent="0.2">
      <c r="A65" s="2" t="s">
        <v>410</v>
      </c>
      <c r="B65" s="3">
        <v>44042</v>
      </c>
      <c r="C65" s="2" t="s">
        <v>851</v>
      </c>
      <c r="D65" s="2" t="s">
        <v>28</v>
      </c>
      <c r="E65" s="2" t="s">
        <v>29</v>
      </c>
      <c r="F65" s="2" t="s">
        <v>397</v>
      </c>
      <c r="G65" s="2" t="s">
        <v>715</v>
      </c>
      <c r="H65" s="2" t="s">
        <v>716</v>
      </c>
      <c r="I65" s="2" t="s">
        <v>89</v>
      </c>
      <c r="J65" s="2" t="s">
        <v>90</v>
      </c>
      <c r="K65" s="2" t="s">
        <v>487</v>
      </c>
      <c r="L65" s="2" t="s">
        <v>751</v>
      </c>
      <c r="M65" s="3">
        <v>44048</v>
      </c>
      <c r="N65" s="3">
        <v>44079</v>
      </c>
      <c r="O65" s="4">
        <v>494.30099999999999</v>
      </c>
      <c r="P65" s="2" t="s">
        <v>84</v>
      </c>
      <c r="Q65" s="2" t="s">
        <v>405</v>
      </c>
      <c r="R65" s="2" t="s">
        <v>717</v>
      </c>
      <c r="S65" s="2" t="s">
        <v>428</v>
      </c>
      <c r="T65" s="2" t="s">
        <v>87</v>
      </c>
      <c r="U65" s="2" t="s">
        <v>37</v>
      </c>
      <c r="V65" s="2" t="s">
        <v>88</v>
      </c>
      <c r="W65" s="2" t="s">
        <v>718</v>
      </c>
      <c r="X65" s="2" t="s">
        <v>412</v>
      </c>
      <c r="Y65" s="2" t="s">
        <v>852</v>
      </c>
      <c r="Z65" s="2" t="s">
        <v>412</v>
      </c>
      <c r="AA65" s="2" t="s">
        <v>39</v>
      </c>
      <c r="AB65" s="2" t="s">
        <v>414</v>
      </c>
      <c r="AC65" s="14">
        <f>M65</f>
        <v>44048</v>
      </c>
      <c r="AD65" s="14">
        <f>N65</f>
        <v>44079</v>
      </c>
      <c r="AE65">
        <v>0</v>
      </c>
      <c r="AF65">
        <v>0</v>
      </c>
    </row>
    <row r="66" spans="1:33" x14ac:dyDescent="0.2">
      <c r="A66" s="2" t="s">
        <v>410</v>
      </c>
      <c r="B66" s="3">
        <v>44079</v>
      </c>
      <c r="C66" s="2" t="s">
        <v>851</v>
      </c>
      <c r="D66" s="2" t="s">
        <v>152</v>
      </c>
      <c r="E66" s="2" t="s">
        <v>138</v>
      </c>
      <c r="F66" s="2" t="s">
        <v>265</v>
      </c>
      <c r="G66" s="2" t="s">
        <v>853</v>
      </c>
      <c r="H66" s="2" t="s">
        <v>854</v>
      </c>
      <c r="I66" s="2" t="s">
        <v>385</v>
      </c>
      <c r="J66" s="2" t="s">
        <v>47</v>
      </c>
      <c r="K66" s="2" t="s">
        <v>487</v>
      </c>
      <c r="L66" s="2" t="s">
        <v>751</v>
      </c>
      <c r="M66" s="3">
        <v>44048</v>
      </c>
      <c r="N66" s="3">
        <v>44078</v>
      </c>
      <c r="O66" s="4">
        <v>105.75</v>
      </c>
      <c r="P66" s="2" t="s">
        <v>84</v>
      </c>
      <c r="Q66" s="2" t="s">
        <v>34</v>
      </c>
      <c r="R66" s="2" t="s">
        <v>266</v>
      </c>
      <c r="S66" s="2" t="s">
        <v>415</v>
      </c>
      <c r="T66" s="2" t="s">
        <v>87</v>
      </c>
      <c r="U66" s="2" t="s">
        <v>37</v>
      </c>
      <c r="V66" s="2" t="s">
        <v>88</v>
      </c>
      <c r="W66" s="2" t="s">
        <v>855</v>
      </c>
      <c r="X66" s="2" t="s">
        <v>412</v>
      </c>
      <c r="Y66" s="2" t="s">
        <v>416</v>
      </c>
      <c r="Z66" s="2" t="s">
        <v>856</v>
      </c>
      <c r="AA66" s="2" t="s">
        <v>39</v>
      </c>
      <c r="AB66" s="2" t="s">
        <v>414</v>
      </c>
      <c r="AC66" s="14">
        <f t="shared" ref="AC66:AC71" si="20">M66</f>
        <v>44048</v>
      </c>
      <c r="AD66" s="14">
        <f t="shared" ref="AD66:AD71" si="21">N66</f>
        <v>44078</v>
      </c>
      <c r="AE66" s="2">
        <v>0</v>
      </c>
      <c r="AF66" s="2">
        <v>0</v>
      </c>
    </row>
    <row r="67" spans="1:33" x14ac:dyDescent="0.2">
      <c r="A67" s="2" t="s">
        <v>410</v>
      </c>
      <c r="B67" s="3">
        <v>44079</v>
      </c>
      <c r="C67" s="2" t="s">
        <v>851</v>
      </c>
      <c r="D67" s="2" t="s">
        <v>152</v>
      </c>
      <c r="E67" s="2" t="s">
        <v>138</v>
      </c>
      <c r="F67" s="2" t="s">
        <v>265</v>
      </c>
      <c r="G67" s="2" t="s">
        <v>857</v>
      </c>
      <c r="H67" s="2" t="s">
        <v>858</v>
      </c>
      <c r="I67" s="2" t="s">
        <v>386</v>
      </c>
      <c r="J67" s="2" t="s">
        <v>47</v>
      </c>
      <c r="K67" s="2" t="s">
        <v>487</v>
      </c>
      <c r="L67" s="2" t="s">
        <v>751</v>
      </c>
      <c r="M67" s="3">
        <v>44048</v>
      </c>
      <c r="N67" s="3">
        <v>44078</v>
      </c>
      <c r="O67" s="4">
        <v>91.287999999999997</v>
      </c>
      <c r="P67" s="2" t="s">
        <v>84</v>
      </c>
      <c r="Q67" s="2" t="s">
        <v>34</v>
      </c>
      <c r="R67" s="2" t="s">
        <v>266</v>
      </c>
      <c r="S67" s="2" t="s">
        <v>419</v>
      </c>
      <c r="T67" s="2" t="s">
        <v>87</v>
      </c>
      <c r="U67" s="2" t="s">
        <v>37</v>
      </c>
      <c r="V67" s="2" t="s">
        <v>88</v>
      </c>
      <c r="W67" s="2" t="s">
        <v>859</v>
      </c>
      <c r="X67" s="2" t="s">
        <v>412</v>
      </c>
      <c r="Y67" s="2" t="s">
        <v>420</v>
      </c>
      <c r="Z67" s="2" t="s">
        <v>856</v>
      </c>
      <c r="AA67" s="2" t="s">
        <v>39</v>
      </c>
      <c r="AB67" s="2" t="s">
        <v>414</v>
      </c>
      <c r="AC67" s="14">
        <f t="shared" si="20"/>
        <v>44048</v>
      </c>
      <c r="AD67" s="14">
        <f t="shared" si="21"/>
        <v>44078</v>
      </c>
      <c r="AE67" s="2">
        <v>0</v>
      </c>
      <c r="AF67" s="2">
        <v>0</v>
      </c>
    </row>
    <row r="68" spans="1:33" x14ac:dyDescent="0.2">
      <c r="A68" s="2" t="s">
        <v>410</v>
      </c>
      <c r="B68" s="3">
        <v>44073</v>
      </c>
      <c r="C68" s="2" t="s">
        <v>851</v>
      </c>
      <c r="D68" s="2" t="s">
        <v>152</v>
      </c>
      <c r="E68" s="2" t="s">
        <v>534</v>
      </c>
      <c r="F68" s="2" t="s">
        <v>265</v>
      </c>
      <c r="G68" s="2" t="s">
        <v>860</v>
      </c>
      <c r="H68" s="2" t="s">
        <v>861</v>
      </c>
      <c r="I68" s="2" t="s">
        <v>862</v>
      </c>
      <c r="J68" s="2" t="s">
        <v>47</v>
      </c>
      <c r="K68" s="2" t="s">
        <v>487</v>
      </c>
      <c r="L68" s="2" t="s">
        <v>751</v>
      </c>
      <c r="M68" s="3">
        <v>44048</v>
      </c>
      <c r="N68" s="3">
        <v>44078</v>
      </c>
      <c r="O68" s="4">
        <v>13.411</v>
      </c>
      <c r="P68" s="2" t="s">
        <v>84</v>
      </c>
      <c r="Q68" s="2" t="s">
        <v>34</v>
      </c>
      <c r="R68" s="2" t="s">
        <v>536</v>
      </c>
      <c r="S68" s="2" t="s">
        <v>450</v>
      </c>
      <c r="T68" s="2" t="s">
        <v>87</v>
      </c>
      <c r="U68" s="2" t="s">
        <v>37</v>
      </c>
      <c r="V68" s="2" t="s">
        <v>88</v>
      </c>
      <c r="W68" s="2" t="s">
        <v>863</v>
      </c>
      <c r="X68" s="2" t="s">
        <v>412</v>
      </c>
      <c r="Y68" s="2" t="s">
        <v>450</v>
      </c>
      <c r="Z68" s="2" t="s">
        <v>412</v>
      </c>
      <c r="AA68" s="2" t="s">
        <v>39</v>
      </c>
      <c r="AB68" s="2" t="s">
        <v>414</v>
      </c>
      <c r="AC68" s="14">
        <f t="shared" si="20"/>
        <v>44048</v>
      </c>
      <c r="AD68" s="14">
        <f t="shared" si="21"/>
        <v>44078</v>
      </c>
      <c r="AE68" s="2">
        <v>0</v>
      </c>
      <c r="AF68" s="2">
        <v>0</v>
      </c>
    </row>
    <row r="69" spans="1:33" x14ac:dyDescent="0.2">
      <c r="A69" s="2" t="s">
        <v>410</v>
      </c>
      <c r="B69" s="3">
        <v>44048</v>
      </c>
      <c r="C69" s="2" t="s">
        <v>851</v>
      </c>
      <c r="D69" s="2" t="s">
        <v>152</v>
      </c>
      <c r="E69" s="2" t="s">
        <v>534</v>
      </c>
      <c r="F69" s="2" t="s">
        <v>265</v>
      </c>
      <c r="G69" s="2" t="s">
        <v>864</v>
      </c>
      <c r="H69" s="2" t="s">
        <v>865</v>
      </c>
      <c r="I69" s="2" t="s">
        <v>866</v>
      </c>
      <c r="J69" s="2" t="s">
        <v>47</v>
      </c>
      <c r="K69" s="2" t="s">
        <v>487</v>
      </c>
      <c r="L69" s="2" t="s">
        <v>751</v>
      </c>
      <c r="M69" s="3">
        <v>44048</v>
      </c>
      <c r="N69" s="3">
        <v>44078</v>
      </c>
      <c r="O69" s="4">
        <v>87.581999999999994</v>
      </c>
      <c r="P69" s="2" t="s">
        <v>84</v>
      </c>
      <c r="Q69" s="2" t="s">
        <v>34</v>
      </c>
      <c r="R69" s="2" t="s">
        <v>536</v>
      </c>
      <c r="S69" s="2" t="s">
        <v>419</v>
      </c>
      <c r="T69" s="2" t="s">
        <v>87</v>
      </c>
      <c r="U69" s="2" t="s">
        <v>37</v>
      </c>
      <c r="V69" s="2" t="s">
        <v>88</v>
      </c>
      <c r="W69" s="2" t="s">
        <v>867</v>
      </c>
      <c r="X69" s="2" t="s">
        <v>412</v>
      </c>
      <c r="Y69" s="2" t="s">
        <v>466</v>
      </c>
      <c r="Z69" s="2" t="s">
        <v>412</v>
      </c>
      <c r="AA69" s="2" t="s">
        <v>39</v>
      </c>
      <c r="AB69" s="2" t="s">
        <v>414</v>
      </c>
      <c r="AC69" s="14">
        <f t="shared" si="20"/>
        <v>44048</v>
      </c>
      <c r="AD69" s="14">
        <f t="shared" si="21"/>
        <v>44078</v>
      </c>
      <c r="AE69" s="2">
        <v>0</v>
      </c>
      <c r="AF69" s="2">
        <v>0</v>
      </c>
    </row>
    <row r="70" spans="1:33" x14ac:dyDescent="0.2">
      <c r="A70" s="2" t="s">
        <v>410</v>
      </c>
      <c r="B70" s="3">
        <v>44048</v>
      </c>
      <c r="C70" s="2" t="s">
        <v>851</v>
      </c>
      <c r="D70" s="2" t="s">
        <v>152</v>
      </c>
      <c r="E70" s="2" t="s">
        <v>534</v>
      </c>
      <c r="F70" s="2" t="s">
        <v>265</v>
      </c>
      <c r="G70" s="2" t="s">
        <v>868</v>
      </c>
      <c r="H70" s="2" t="s">
        <v>869</v>
      </c>
      <c r="I70" s="2" t="s">
        <v>387</v>
      </c>
      <c r="J70" s="2" t="s">
        <v>47</v>
      </c>
      <c r="K70" s="2" t="s">
        <v>487</v>
      </c>
      <c r="L70" s="2" t="s">
        <v>751</v>
      </c>
      <c r="M70" s="3">
        <v>44048</v>
      </c>
      <c r="N70" s="3">
        <v>44078</v>
      </c>
      <c r="O70" s="4">
        <v>75.378</v>
      </c>
      <c r="P70" s="2" t="s">
        <v>84</v>
      </c>
      <c r="Q70" s="2" t="s">
        <v>34</v>
      </c>
      <c r="R70" s="2" t="s">
        <v>536</v>
      </c>
      <c r="S70" s="2" t="s">
        <v>446</v>
      </c>
      <c r="T70" s="2" t="s">
        <v>87</v>
      </c>
      <c r="U70" s="2" t="s">
        <v>37</v>
      </c>
      <c r="V70" s="2" t="s">
        <v>88</v>
      </c>
      <c r="W70" s="2" t="s">
        <v>870</v>
      </c>
      <c r="X70" s="2" t="s">
        <v>412</v>
      </c>
      <c r="Y70" s="2" t="s">
        <v>466</v>
      </c>
      <c r="Z70" s="2" t="s">
        <v>412</v>
      </c>
      <c r="AA70" s="2" t="s">
        <v>39</v>
      </c>
      <c r="AB70" s="2" t="s">
        <v>414</v>
      </c>
      <c r="AC70" s="14">
        <f t="shared" si="20"/>
        <v>44048</v>
      </c>
      <c r="AD70" s="14">
        <f t="shared" si="21"/>
        <v>44078</v>
      </c>
      <c r="AE70" s="2">
        <v>0</v>
      </c>
      <c r="AF70" s="2">
        <v>0</v>
      </c>
    </row>
    <row r="71" spans="1:33" x14ac:dyDescent="0.2">
      <c r="A71" s="2" t="s">
        <v>410</v>
      </c>
      <c r="B71" s="3">
        <v>44048</v>
      </c>
      <c r="C71" s="2" t="s">
        <v>851</v>
      </c>
      <c r="D71" s="2" t="s">
        <v>152</v>
      </c>
      <c r="E71" s="2" t="s">
        <v>534</v>
      </c>
      <c r="F71" s="2" t="s">
        <v>265</v>
      </c>
      <c r="G71" s="2" t="s">
        <v>871</v>
      </c>
      <c r="H71" s="2" t="s">
        <v>872</v>
      </c>
      <c r="I71" s="2" t="s">
        <v>873</v>
      </c>
      <c r="J71" s="2" t="s">
        <v>47</v>
      </c>
      <c r="K71" s="2" t="s">
        <v>487</v>
      </c>
      <c r="L71" s="2" t="s">
        <v>751</v>
      </c>
      <c r="M71" s="3">
        <v>44048</v>
      </c>
      <c r="N71" s="3">
        <v>44078</v>
      </c>
      <c r="O71" s="4">
        <v>48.624000000000002</v>
      </c>
      <c r="P71" s="2" t="s">
        <v>84</v>
      </c>
      <c r="Q71" s="2" t="s">
        <v>34</v>
      </c>
      <c r="R71" s="2" t="s">
        <v>536</v>
      </c>
      <c r="S71" s="2" t="s">
        <v>449</v>
      </c>
      <c r="T71" s="2" t="s">
        <v>87</v>
      </c>
      <c r="U71" s="2" t="s">
        <v>37</v>
      </c>
      <c r="V71" s="2" t="s">
        <v>88</v>
      </c>
      <c r="W71" s="2" t="s">
        <v>874</v>
      </c>
      <c r="X71" s="2" t="s">
        <v>412</v>
      </c>
      <c r="Y71" s="2" t="s">
        <v>419</v>
      </c>
      <c r="Z71" s="2" t="s">
        <v>412</v>
      </c>
      <c r="AA71" s="2" t="s">
        <v>39</v>
      </c>
      <c r="AB71" s="2" t="s">
        <v>414</v>
      </c>
      <c r="AC71" s="14">
        <f t="shared" si="20"/>
        <v>44048</v>
      </c>
      <c r="AD71" s="14">
        <f t="shared" si="21"/>
        <v>44078</v>
      </c>
      <c r="AE71" s="2">
        <v>0</v>
      </c>
      <c r="AF71" s="2">
        <v>0</v>
      </c>
    </row>
    <row r="72" spans="1:33" x14ac:dyDescent="0.2">
      <c r="A72" s="2" t="s">
        <v>410</v>
      </c>
      <c r="B72" s="3">
        <v>44073</v>
      </c>
      <c r="C72" s="2" t="s">
        <v>875</v>
      </c>
      <c r="D72" s="2" t="s">
        <v>152</v>
      </c>
      <c r="E72" s="2" t="s">
        <v>523</v>
      </c>
      <c r="F72" s="2" t="s">
        <v>524</v>
      </c>
      <c r="G72" s="2" t="s">
        <v>876</v>
      </c>
      <c r="H72" s="2" t="s">
        <v>877</v>
      </c>
      <c r="I72" s="2" t="s">
        <v>202</v>
      </c>
      <c r="J72" s="2" t="s">
        <v>95</v>
      </c>
      <c r="K72" s="2" t="s">
        <v>754</v>
      </c>
      <c r="L72" s="2" t="s">
        <v>755</v>
      </c>
      <c r="M72" s="3">
        <v>44053</v>
      </c>
      <c r="N72" s="3">
        <v>44064</v>
      </c>
      <c r="O72" s="4">
        <v>262.77300000000002</v>
      </c>
      <c r="P72" s="2" t="s">
        <v>492</v>
      </c>
      <c r="Q72" s="2" t="s">
        <v>105</v>
      </c>
      <c r="R72" s="2" t="s">
        <v>525</v>
      </c>
      <c r="S72" s="2" t="s">
        <v>456</v>
      </c>
      <c r="T72" s="2" t="s">
        <v>87</v>
      </c>
      <c r="U72" s="2" t="s">
        <v>37</v>
      </c>
      <c r="V72" s="2" t="s">
        <v>43</v>
      </c>
      <c r="W72" s="2" t="s">
        <v>878</v>
      </c>
      <c r="X72" s="2" t="s">
        <v>412</v>
      </c>
      <c r="Y72" s="2" t="s">
        <v>510</v>
      </c>
      <c r="Z72" s="2" t="s">
        <v>412</v>
      </c>
      <c r="AA72" s="2" t="s">
        <v>39</v>
      </c>
      <c r="AB72" s="2" t="s">
        <v>414</v>
      </c>
      <c r="AC72" s="14">
        <v>44054</v>
      </c>
      <c r="AD72" s="14">
        <f>N72</f>
        <v>44064</v>
      </c>
      <c r="AE72">
        <v>1</v>
      </c>
      <c r="AG72" t="s">
        <v>1679</v>
      </c>
    </row>
    <row r="73" spans="1:33" x14ac:dyDescent="0.2">
      <c r="A73" s="2" t="s">
        <v>410</v>
      </c>
      <c r="B73" s="3">
        <v>44073</v>
      </c>
      <c r="C73" s="2" t="s">
        <v>875</v>
      </c>
      <c r="D73" s="2" t="s">
        <v>54</v>
      </c>
      <c r="E73" s="2" t="s">
        <v>879</v>
      </c>
      <c r="F73" s="2" t="s">
        <v>880</v>
      </c>
      <c r="G73" s="2" t="s">
        <v>881</v>
      </c>
      <c r="H73" s="2" t="s">
        <v>882</v>
      </c>
      <c r="I73" s="2" t="s">
        <v>883</v>
      </c>
      <c r="J73" s="2" t="s">
        <v>83</v>
      </c>
      <c r="K73" s="2" t="s">
        <v>754</v>
      </c>
      <c r="L73" s="2" t="s">
        <v>755</v>
      </c>
      <c r="M73" s="3">
        <v>44053</v>
      </c>
      <c r="N73" s="3">
        <v>44064</v>
      </c>
      <c r="O73" s="4">
        <v>184.90799999999999</v>
      </c>
      <c r="P73" s="2" t="s">
        <v>492</v>
      </c>
      <c r="Q73" s="2" t="s">
        <v>105</v>
      </c>
      <c r="R73" s="2" t="s">
        <v>106</v>
      </c>
      <c r="S73" s="2" t="s">
        <v>420</v>
      </c>
      <c r="T73" s="2" t="s">
        <v>87</v>
      </c>
      <c r="U73" s="2" t="s">
        <v>37</v>
      </c>
      <c r="V73" s="2" t="s">
        <v>43</v>
      </c>
      <c r="W73" s="2" t="s">
        <v>884</v>
      </c>
      <c r="X73" s="2" t="s">
        <v>412</v>
      </c>
      <c r="Y73" s="2" t="s">
        <v>421</v>
      </c>
      <c r="Z73" s="2" t="s">
        <v>885</v>
      </c>
      <c r="AA73" s="2" t="s">
        <v>39</v>
      </c>
      <c r="AB73" s="2" t="s">
        <v>414</v>
      </c>
      <c r="AC73" s="14">
        <v>44054</v>
      </c>
      <c r="AD73" s="14">
        <f t="shared" ref="AD73:AD74" si="22">N73</f>
        <v>44064</v>
      </c>
      <c r="AE73" s="2">
        <v>1</v>
      </c>
      <c r="AG73" s="2" t="s">
        <v>1679</v>
      </c>
    </row>
    <row r="74" spans="1:33" x14ac:dyDescent="0.2">
      <c r="A74" s="2" t="s">
        <v>410</v>
      </c>
      <c r="B74" s="3">
        <v>44073</v>
      </c>
      <c r="C74" s="2" t="s">
        <v>875</v>
      </c>
      <c r="D74" s="2" t="s">
        <v>91</v>
      </c>
      <c r="E74" s="2" t="s">
        <v>197</v>
      </c>
      <c r="F74" s="2" t="s">
        <v>198</v>
      </c>
      <c r="G74" s="2" t="s">
        <v>886</v>
      </c>
      <c r="H74" s="2" t="s">
        <v>887</v>
      </c>
      <c r="I74" s="2" t="s">
        <v>94</v>
      </c>
      <c r="J74" s="2" t="s">
        <v>95</v>
      </c>
      <c r="K74" s="2" t="s">
        <v>754</v>
      </c>
      <c r="L74" s="2" t="s">
        <v>755</v>
      </c>
      <c r="M74" s="3">
        <v>44053</v>
      </c>
      <c r="N74" s="3">
        <v>44064</v>
      </c>
      <c r="O74" s="4">
        <v>95.682000000000002</v>
      </c>
      <c r="P74" s="2" t="s">
        <v>492</v>
      </c>
      <c r="Q74" s="2" t="s">
        <v>105</v>
      </c>
      <c r="R74" s="2" t="s">
        <v>199</v>
      </c>
      <c r="S74" s="2" t="s">
        <v>419</v>
      </c>
      <c r="T74" s="2" t="s">
        <v>87</v>
      </c>
      <c r="U74" s="2" t="s">
        <v>37</v>
      </c>
      <c r="V74" s="2" t="s">
        <v>43</v>
      </c>
      <c r="W74" s="2" t="s">
        <v>888</v>
      </c>
      <c r="X74" s="2" t="s">
        <v>412</v>
      </c>
      <c r="Y74" s="2" t="s">
        <v>461</v>
      </c>
      <c r="Z74" s="2" t="s">
        <v>539</v>
      </c>
      <c r="AA74" s="2" t="s">
        <v>39</v>
      </c>
      <c r="AB74" s="2" t="s">
        <v>414</v>
      </c>
      <c r="AC74" s="14">
        <v>44054</v>
      </c>
      <c r="AD74" s="14">
        <f t="shared" si="22"/>
        <v>44064</v>
      </c>
      <c r="AE74" s="2">
        <v>1</v>
      </c>
      <c r="AG74" s="2" t="s">
        <v>1679</v>
      </c>
    </row>
    <row r="75" spans="1:33" x14ac:dyDescent="0.2">
      <c r="A75" s="2" t="s">
        <v>431</v>
      </c>
      <c r="B75" s="3">
        <v>44053</v>
      </c>
      <c r="C75" s="2" t="s">
        <v>889</v>
      </c>
      <c r="D75" s="2" t="s">
        <v>28</v>
      </c>
      <c r="E75" s="2" t="s">
        <v>40</v>
      </c>
      <c r="F75" s="2" t="s">
        <v>41</v>
      </c>
      <c r="G75" s="2" t="s">
        <v>890</v>
      </c>
      <c r="H75" s="2" t="s">
        <v>891</v>
      </c>
      <c r="I75" s="2" t="s">
        <v>31</v>
      </c>
      <c r="J75" s="2" t="s">
        <v>32</v>
      </c>
      <c r="K75" s="2" t="s">
        <v>743</v>
      </c>
      <c r="L75" s="2" t="s">
        <v>744</v>
      </c>
      <c r="M75" s="3">
        <v>44052</v>
      </c>
      <c r="N75" s="3">
        <v>44060</v>
      </c>
      <c r="O75" s="4">
        <v>303.26600000000002</v>
      </c>
      <c r="P75" s="2" t="s">
        <v>33</v>
      </c>
      <c r="Q75" s="2" t="s">
        <v>34</v>
      </c>
      <c r="R75" s="2" t="s">
        <v>35</v>
      </c>
      <c r="S75" s="2" t="s">
        <v>417</v>
      </c>
      <c r="T75" s="2" t="s">
        <v>42</v>
      </c>
      <c r="U75" s="2" t="s">
        <v>37</v>
      </c>
      <c r="V75" s="2" t="s">
        <v>43</v>
      </c>
      <c r="W75" s="2" t="s">
        <v>892</v>
      </c>
      <c r="X75" s="2" t="s">
        <v>412</v>
      </c>
      <c r="Y75" s="2" t="s">
        <v>458</v>
      </c>
      <c r="Z75" s="2" t="s">
        <v>412</v>
      </c>
      <c r="AA75" s="2" t="s">
        <v>39</v>
      </c>
      <c r="AB75" s="2" t="s">
        <v>414</v>
      </c>
      <c r="AC75" s="32">
        <v>44053</v>
      </c>
      <c r="AD75" s="14">
        <f>N75</f>
        <v>44060</v>
      </c>
      <c r="AE75">
        <v>1</v>
      </c>
      <c r="AG75" t="s">
        <v>1791</v>
      </c>
    </row>
    <row r="76" spans="1:33" x14ac:dyDescent="0.2">
      <c r="A76" s="2" t="s">
        <v>410</v>
      </c>
      <c r="B76" s="3">
        <v>44073</v>
      </c>
      <c r="C76" s="2" t="s">
        <v>816</v>
      </c>
      <c r="D76" s="2" t="s">
        <v>28</v>
      </c>
      <c r="E76" s="2" t="s">
        <v>98</v>
      </c>
      <c r="F76" s="2" t="s">
        <v>205</v>
      </c>
      <c r="G76" s="2" t="s">
        <v>817</v>
      </c>
      <c r="H76" s="2" t="s">
        <v>818</v>
      </c>
      <c r="I76" s="2" t="s">
        <v>99</v>
      </c>
      <c r="J76" s="2" t="s">
        <v>32</v>
      </c>
      <c r="K76" s="2" t="s">
        <v>759</v>
      </c>
      <c r="L76" s="2" t="s">
        <v>760</v>
      </c>
      <c r="M76" s="3">
        <v>44054</v>
      </c>
      <c r="N76" s="3">
        <v>44071</v>
      </c>
      <c r="O76" s="4">
        <v>503.75299999999999</v>
      </c>
      <c r="P76" s="2" t="s">
        <v>492</v>
      </c>
      <c r="Q76" s="2" t="s">
        <v>34</v>
      </c>
      <c r="R76" s="2" t="s">
        <v>35</v>
      </c>
      <c r="S76" s="2" t="s">
        <v>443</v>
      </c>
      <c r="T76" s="2" t="s">
        <v>87</v>
      </c>
      <c r="U76" s="2" t="s">
        <v>37</v>
      </c>
      <c r="V76" s="2" t="s">
        <v>493</v>
      </c>
      <c r="W76" s="2" t="s">
        <v>819</v>
      </c>
      <c r="X76" s="2" t="s">
        <v>412</v>
      </c>
      <c r="Y76" s="2" t="s">
        <v>463</v>
      </c>
      <c r="Z76" s="2" t="s">
        <v>412</v>
      </c>
      <c r="AA76" s="2" t="s">
        <v>39</v>
      </c>
      <c r="AB76" s="2" t="s">
        <v>414</v>
      </c>
      <c r="AC76" s="14">
        <v>44054</v>
      </c>
      <c r="AD76" s="14">
        <f t="shared" ref="AD76:AD78" si="23">N76</f>
        <v>44071</v>
      </c>
      <c r="AE76">
        <v>0</v>
      </c>
    </row>
    <row r="77" spans="1:33" x14ac:dyDescent="0.2">
      <c r="A77" s="2" t="s">
        <v>410</v>
      </c>
      <c r="B77" s="3">
        <v>44053</v>
      </c>
      <c r="C77" s="2" t="s">
        <v>816</v>
      </c>
      <c r="D77" s="2" t="s">
        <v>102</v>
      </c>
      <c r="E77" s="2" t="s">
        <v>191</v>
      </c>
      <c r="F77" s="2" t="s">
        <v>192</v>
      </c>
      <c r="G77" s="2" t="s">
        <v>820</v>
      </c>
      <c r="H77" s="2" t="s">
        <v>821</v>
      </c>
      <c r="I77" s="2" t="s">
        <v>382</v>
      </c>
      <c r="J77" s="2" t="s">
        <v>83</v>
      </c>
      <c r="K77" s="2" t="s">
        <v>759</v>
      </c>
      <c r="L77" s="2" t="s">
        <v>760</v>
      </c>
      <c r="M77" s="3">
        <v>44054</v>
      </c>
      <c r="N77" s="3">
        <v>44075</v>
      </c>
      <c r="O77" s="4">
        <v>54.511000000000003</v>
      </c>
      <c r="P77" s="2" t="s">
        <v>492</v>
      </c>
      <c r="Q77" s="2" t="s">
        <v>85</v>
      </c>
      <c r="R77" s="2" t="s">
        <v>194</v>
      </c>
      <c r="S77" s="2" t="s">
        <v>446</v>
      </c>
      <c r="T77" s="2" t="s">
        <v>87</v>
      </c>
      <c r="U77" s="2" t="s">
        <v>37</v>
      </c>
      <c r="V77" s="2" t="s">
        <v>493</v>
      </c>
      <c r="W77" s="2" t="s">
        <v>822</v>
      </c>
      <c r="X77" s="2" t="s">
        <v>412</v>
      </c>
      <c r="Y77" s="2" t="s">
        <v>823</v>
      </c>
      <c r="Z77" s="2" t="s">
        <v>412</v>
      </c>
      <c r="AA77" s="2" t="s">
        <v>39</v>
      </c>
      <c r="AB77" s="2" t="s">
        <v>414</v>
      </c>
      <c r="AC77" s="14">
        <v>44054</v>
      </c>
      <c r="AD77" s="14">
        <f t="shared" si="23"/>
        <v>44075</v>
      </c>
      <c r="AE77" s="2">
        <v>0</v>
      </c>
    </row>
    <row r="78" spans="1:33" x14ac:dyDescent="0.2">
      <c r="A78" s="2" t="s">
        <v>410</v>
      </c>
      <c r="B78" s="3">
        <v>44053</v>
      </c>
      <c r="C78" s="2" t="s">
        <v>816</v>
      </c>
      <c r="D78" s="2" t="s">
        <v>102</v>
      </c>
      <c r="E78" s="2" t="s">
        <v>191</v>
      </c>
      <c r="F78" s="2" t="s">
        <v>192</v>
      </c>
      <c r="G78" s="2" t="s">
        <v>824</v>
      </c>
      <c r="H78" s="2" t="s">
        <v>825</v>
      </c>
      <c r="I78" s="2" t="s">
        <v>193</v>
      </c>
      <c r="J78" s="2" t="s">
        <v>83</v>
      </c>
      <c r="K78" s="2" t="s">
        <v>759</v>
      </c>
      <c r="L78" s="2" t="s">
        <v>760</v>
      </c>
      <c r="M78" s="3">
        <v>44054</v>
      </c>
      <c r="N78" s="3">
        <v>44075</v>
      </c>
      <c r="O78" s="4">
        <v>18.815000000000001</v>
      </c>
      <c r="P78" s="2" t="s">
        <v>492</v>
      </c>
      <c r="Q78" s="2" t="s">
        <v>85</v>
      </c>
      <c r="R78" s="2" t="s">
        <v>826</v>
      </c>
      <c r="S78" s="2" t="s">
        <v>450</v>
      </c>
      <c r="T78" s="2" t="s">
        <v>87</v>
      </c>
      <c r="U78" s="2" t="s">
        <v>37</v>
      </c>
      <c r="V78" s="2" t="s">
        <v>493</v>
      </c>
      <c r="W78" s="2" t="s">
        <v>822</v>
      </c>
      <c r="X78" s="2" t="s">
        <v>412</v>
      </c>
      <c r="Y78" s="2" t="s">
        <v>827</v>
      </c>
      <c r="Z78" s="2" t="s">
        <v>412</v>
      </c>
      <c r="AA78" s="2" t="s">
        <v>39</v>
      </c>
      <c r="AB78" s="2" t="s">
        <v>414</v>
      </c>
      <c r="AC78" s="14">
        <v>44054</v>
      </c>
      <c r="AD78" s="14">
        <f t="shared" si="23"/>
        <v>44075</v>
      </c>
      <c r="AE78" s="2">
        <v>0</v>
      </c>
    </row>
    <row r="79" spans="1:33" x14ac:dyDescent="0.2">
      <c r="A79" s="2" t="s">
        <v>427</v>
      </c>
      <c r="B79" s="3">
        <v>44042</v>
      </c>
      <c r="C79" s="2" t="s">
        <v>623</v>
      </c>
      <c r="D79" s="2" t="s">
        <v>137</v>
      </c>
      <c r="E79" s="2" t="s">
        <v>513</v>
      </c>
      <c r="F79" s="2" t="s">
        <v>514</v>
      </c>
      <c r="G79" s="2" t="s">
        <v>624</v>
      </c>
      <c r="H79" s="2" t="s">
        <v>625</v>
      </c>
      <c r="I79" s="2" t="s">
        <v>77</v>
      </c>
      <c r="J79" s="2" t="s">
        <v>32</v>
      </c>
      <c r="K79" s="2" t="s">
        <v>591</v>
      </c>
      <c r="L79" s="2" t="s">
        <v>356</v>
      </c>
      <c r="M79" s="3">
        <v>44051</v>
      </c>
      <c r="N79" s="3">
        <v>44068</v>
      </c>
      <c r="O79" s="4">
        <v>512.86</v>
      </c>
      <c r="P79" s="2" t="s">
        <v>48</v>
      </c>
      <c r="Q79" s="2" t="s">
        <v>516</v>
      </c>
      <c r="R79" s="2" t="s">
        <v>517</v>
      </c>
      <c r="S79" s="2" t="s">
        <v>477</v>
      </c>
      <c r="T79" s="2" t="s">
        <v>362</v>
      </c>
      <c r="U79" s="2" t="s">
        <v>37</v>
      </c>
      <c r="V79" s="2" t="s">
        <v>155</v>
      </c>
      <c r="W79" s="2" t="s">
        <v>626</v>
      </c>
      <c r="X79" s="2" t="s">
        <v>412</v>
      </c>
      <c r="Y79" s="2" t="s">
        <v>448</v>
      </c>
      <c r="Z79" s="2" t="s">
        <v>292</v>
      </c>
      <c r="AA79" s="2" t="s">
        <v>39</v>
      </c>
      <c r="AB79" s="2" t="s">
        <v>414</v>
      </c>
      <c r="AC79" s="14">
        <f t="shared" ref="AC79:AC83" si="24">M79</f>
        <v>44051</v>
      </c>
      <c r="AD79" s="14">
        <f t="shared" ref="AD79:AD83" si="25">N79</f>
        <v>44068</v>
      </c>
      <c r="AE79" s="2"/>
    </row>
    <row r="80" spans="1:33" x14ac:dyDescent="0.2">
      <c r="A80" s="2" t="s">
        <v>486</v>
      </c>
      <c r="B80" s="3">
        <v>44032</v>
      </c>
      <c r="C80" s="2" t="s">
        <v>623</v>
      </c>
      <c r="D80" s="2" t="s">
        <v>178</v>
      </c>
      <c r="E80" s="2" t="s">
        <v>186</v>
      </c>
      <c r="F80" s="2" t="s">
        <v>187</v>
      </c>
      <c r="G80" s="2" t="s">
        <v>627</v>
      </c>
      <c r="H80" s="2" t="s">
        <v>628</v>
      </c>
      <c r="I80" s="2" t="s">
        <v>389</v>
      </c>
      <c r="J80" s="2" t="s">
        <v>47</v>
      </c>
      <c r="K80" s="2" t="s">
        <v>591</v>
      </c>
      <c r="L80" s="2" t="s">
        <v>356</v>
      </c>
      <c r="M80" s="3">
        <v>44051</v>
      </c>
      <c r="N80" s="3">
        <v>44061</v>
      </c>
      <c r="O80" s="4">
        <v>173.89099999999999</v>
      </c>
      <c r="P80" s="2" t="s">
        <v>48</v>
      </c>
      <c r="Q80" s="2" t="s">
        <v>182</v>
      </c>
      <c r="R80" s="2" t="s">
        <v>391</v>
      </c>
      <c r="S80" s="2" t="s">
        <v>466</v>
      </c>
      <c r="T80" s="2" t="s">
        <v>36</v>
      </c>
      <c r="U80" s="2" t="s">
        <v>37</v>
      </c>
      <c r="V80" s="2" t="s">
        <v>155</v>
      </c>
      <c r="W80" s="2" t="s">
        <v>629</v>
      </c>
      <c r="X80" s="2" t="s">
        <v>412</v>
      </c>
      <c r="Y80" s="2" t="s">
        <v>521</v>
      </c>
      <c r="Z80" s="2" t="s">
        <v>53</v>
      </c>
      <c r="AA80" s="2" t="s">
        <v>190</v>
      </c>
      <c r="AB80" s="2" t="s">
        <v>414</v>
      </c>
      <c r="AC80" s="14">
        <f t="shared" si="24"/>
        <v>44051</v>
      </c>
      <c r="AD80" s="14">
        <f t="shared" si="25"/>
        <v>44061</v>
      </c>
      <c r="AE80" s="2"/>
    </row>
    <row r="81" spans="1:33" x14ac:dyDescent="0.2">
      <c r="A81" s="2" t="s">
        <v>427</v>
      </c>
      <c r="B81" s="3">
        <v>44073</v>
      </c>
      <c r="C81" s="2" t="s">
        <v>931</v>
      </c>
      <c r="D81" s="2" t="s">
        <v>28</v>
      </c>
      <c r="E81" s="2" t="s">
        <v>129</v>
      </c>
      <c r="F81" s="2" t="s">
        <v>507</v>
      </c>
      <c r="G81" s="2" t="s">
        <v>932</v>
      </c>
      <c r="H81" s="2" t="s">
        <v>933</v>
      </c>
      <c r="I81" s="2" t="s">
        <v>77</v>
      </c>
      <c r="J81" s="2" t="s">
        <v>32</v>
      </c>
      <c r="K81" s="2" t="s">
        <v>908</v>
      </c>
      <c r="L81" s="2" t="s">
        <v>572</v>
      </c>
      <c r="M81" s="3">
        <v>44051</v>
      </c>
      <c r="N81" s="3">
        <v>44062</v>
      </c>
      <c r="O81" s="4">
        <v>484.38</v>
      </c>
      <c r="P81" s="2" t="s">
        <v>48</v>
      </c>
      <c r="Q81" s="2" t="s">
        <v>405</v>
      </c>
      <c r="R81" s="2" t="s">
        <v>406</v>
      </c>
      <c r="S81" s="2" t="s">
        <v>462</v>
      </c>
      <c r="T81" s="2" t="s">
        <v>362</v>
      </c>
      <c r="U81" s="2" t="s">
        <v>934</v>
      </c>
      <c r="V81" s="2" t="s">
        <v>155</v>
      </c>
      <c r="W81" s="2" t="s">
        <v>935</v>
      </c>
      <c r="X81" s="2" t="s">
        <v>412</v>
      </c>
      <c r="Y81" s="2" t="s">
        <v>483</v>
      </c>
      <c r="Z81" s="2" t="s">
        <v>412</v>
      </c>
      <c r="AA81" s="2" t="s">
        <v>39</v>
      </c>
      <c r="AB81" s="2" t="s">
        <v>414</v>
      </c>
      <c r="AC81" s="14">
        <f t="shared" si="24"/>
        <v>44051</v>
      </c>
      <c r="AD81" s="14">
        <f t="shared" si="25"/>
        <v>44062</v>
      </c>
      <c r="AE81" s="2"/>
    </row>
    <row r="82" spans="1:33" x14ac:dyDescent="0.2">
      <c r="A82" s="2" t="s">
        <v>427</v>
      </c>
      <c r="B82" s="3">
        <v>44073</v>
      </c>
      <c r="C82" s="2" t="s">
        <v>931</v>
      </c>
      <c r="D82" s="2" t="s">
        <v>28</v>
      </c>
      <c r="E82" s="2" t="s">
        <v>129</v>
      </c>
      <c r="F82" s="2" t="s">
        <v>507</v>
      </c>
      <c r="G82" s="2" t="s">
        <v>936</v>
      </c>
      <c r="H82" s="2" t="s">
        <v>937</v>
      </c>
      <c r="I82" s="2" t="s">
        <v>77</v>
      </c>
      <c r="J82" s="2" t="s">
        <v>32</v>
      </c>
      <c r="K82" s="2" t="s">
        <v>908</v>
      </c>
      <c r="L82" s="2" t="s">
        <v>572</v>
      </c>
      <c r="M82" s="3">
        <v>44051</v>
      </c>
      <c r="N82" s="3">
        <v>44062</v>
      </c>
      <c r="O82" s="4">
        <v>511.29</v>
      </c>
      <c r="P82" s="2" t="s">
        <v>48</v>
      </c>
      <c r="Q82" s="2" t="s">
        <v>405</v>
      </c>
      <c r="R82" s="2" t="s">
        <v>406</v>
      </c>
      <c r="S82" s="2" t="s">
        <v>477</v>
      </c>
      <c r="T82" s="2" t="s">
        <v>362</v>
      </c>
      <c r="U82" s="2" t="s">
        <v>934</v>
      </c>
      <c r="V82" s="2" t="s">
        <v>155</v>
      </c>
      <c r="W82" s="2" t="s">
        <v>938</v>
      </c>
      <c r="X82" s="2" t="s">
        <v>412</v>
      </c>
      <c r="Y82" s="2" t="s">
        <v>448</v>
      </c>
      <c r="Z82" s="2" t="s">
        <v>412</v>
      </c>
      <c r="AA82" s="2" t="s">
        <v>39</v>
      </c>
      <c r="AB82" s="2" t="s">
        <v>414</v>
      </c>
      <c r="AC82" s="14">
        <f t="shared" si="24"/>
        <v>44051</v>
      </c>
      <c r="AD82" s="14">
        <f t="shared" si="25"/>
        <v>44062</v>
      </c>
      <c r="AE82" s="2"/>
    </row>
    <row r="83" spans="1:33" x14ac:dyDescent="0.2">
      <c r="A83" s="2" t="s">
        <v>427</v>
      </c>
      <c r="B83" s="3">
        <v>44017</v>
      </c>
      <c r="C83" s="2" t="s">
        <v>939</v>
      </c>
      <c r="D83" s="2" t="s">
        <v>44</v>
      </c>
      <c r="E83" s="2" t="s">
        <v>45</v>
      </c>
      <c r="F83" s="2" t="s">
        <v>46</v>
      </c>
      <c r="G83" s="2" t="s">
        <v>940</v>
      </c>
      <c r="H83" s="2" t="s">
        <v>941</v>
      </c>
      <c r="I83" s="2" t="s">
        <v>708</v>
      </c>
      <c r="J83" s="2" t="s">
        <v>47</v>
      </c>
      <c r="K83" s="2" t="s">
        <v>754</v>
      </c>
      <c r="L83" s="2" t="s">
        <v>755</v>
      </c>
      <c r="M83" s="3">
        <v>44051</v>
      </c>
      <c r="N83" s="3">
        <v>44079</v>
      </c>
      <c r="O83" s="4">
        <v>20.274999999999999</v>
      </c>
      <c r="P83" s="2" t="s">
        <v>48</v>
      </c>
      <c r="Q83" s="2" t="s">
        <v>49</v>
      </c>
      <c r="R83" s="2" t="s">
        <v>50</v>
      </c>
      <c r="S83" s="2" t="s">
        <v>450</v>
      </c>
      <c r="T83" s="2" t="s">
        <v>42</v>
      </c>
      <c r="U83" s="2" t="s">
        <v>37</v>
      </c>
      <c r="V83" s="2" t="s">
        <v>43</v>
      </c>
      <c r="W83" s="2" t="s">
        <v>757</v>
      </c>
      <c r="X83" s="2" t="s">
        <v>412</v>
      </c>
      <c r="Y83" s="2" t="s">
        <v>449</v>
      </c>
      <c r="Z83" s="2" t="s">
        <v>53</v>
      </c>
      <c r="AA83" s="2" t="s">
        <v>39</v>
      </c>
      <c r="AB83" s="2" t="s">
        <v>414</v>
      </c>
      <c r="AC83" s="14">
        <f t="shared" si="24"/>
        <v>44051</v>
      </c>
      <c r="AD83" s="14">
        <f t="shared" si="25"/>
        <v>44079</v>
      </c>
      <c r="AE83" s="2"/>
    </row>
    <row r="84" spans="1:33" x14ac:dyDescent="0.2">
      <c r="A84" s="2" t="s">
        <v>431</v>
      </c>
      <c r="B84" s="3">
        <v>44053</v>
      </c>
      <c r="C84" s="2" t="s">
        <v>982</v>
      </c>
      <c r="D84" s="2" t="s">
        <v>62</v>
      </c>
      <c r="E84" s="2" t="s">
        <v>217</v>
      </c>
      <c r="F84" s="2" t="s">
        <v>218</v>
      </c>
      <c r="G84" s="2" t="s">
        <v>983</v>
      </c>
      <c r="H84" s="2" t="s">
        <v>984</v>
      </c>
      <c r="I84" s="2" t="s">
        <v>31</v>
      </c>
      <c r="J84" s="2" t="s">
        <v>32</v>
      </c>
      <c r="K84" s="2" t="s">
        <v>388</v>
      </c>
      <c r="L84" s="2" t="s">
        <v>831</v>
      </c>
      <c r="M84" s="3">
        <v>44054</v>
      </c>
      <c r="N84" s="3">
        <v>44067</v>
      </c>
      <c r="O84" s="4">
        <v>487.68</v>
      </c>
      <c r="P84" s="2" t="s">
        <v>33</v>
      </c>
      <c r="Q84" s="2" t="s">
        <v>34</v>
      </c>
      <c r="R84" s="2" t="s">
        <v>35</v>
      </c>
      <c r="S84" s="2" t="s">
        <v>428</v>
      </c>
      <c r="T84" s="2" t="s">
        <v>36</v>
      </c>
      <c r="U84" s="2" t="s">
        <v>290</v>
      </c>
      <c r="V84" s="2" t="s">
        <v>43</v>
      </c>
      <c r="W84" s="2" t="s">
        <v>985</v>
      </c>
      <c r="X84" s="2" t="s">
        <v>412</v>
      </c>
      <c r="Y84" s="2" t="s">
        <v>429</v>
      </c>
      <c r="Z84" s="2" t="s">
        <v>412</v>
      </c>
      <c r="AA84" s="2" t="s">
        <v>39</v>
      </c>
      <c r="AB84" s="2" t="s">
        <v>414</v>
      </c>
      <c r="AC84" s="32">
        <v>44059</v>
      </c>
      <c r="AD84" s="14">
        <f>N84</f>
        <v>44067</v>
      </c>
      <c r="AE84">
        <v>5</v>
      </c>
      <c r="AG84" t="s">
        <v>1791</v>
      </c>
    </row>
    <row r="85" spans="1:33" x14ac:dyDescent="0.2">
      <c r="A85" s="2" t="s">
        <v>431</v>
      </c>
      <c r="B85" s="3">
        <v>44048</v>
      </c>
      <c r="C85" s="2" t="s">
        <v>905</v>
      </c>
      <c r="D85" s="2" t="s">
        <v>137</v>
      </c>
      <c r="E85" s="2" t="s">
        <v>156</v>
      </c>
      <c r="F85" s="2" t="s">
        <v>157</v>
      </c>
      <c r="G85" s="2" t="s">
        <v>906</v>
      </c>
      <c r="H85" s="2" t="s">
        <v>907</v>
      </c>
      <c r="I85" s="2" t="s">
        <v>158</v>
      </c>
      <c r="J85" s="2" t="s">
        <v>58</v>
      </c>
      <c r="K85" s="2" t="s">
        <v>908</v>
      </c>
      <c r="L85" s="2" t="s">
        <v>572</v>
      </c>
      <c r="M85" s="3">
        <v>44054</v>
      </c>
      <c r="N85" s="3">
        <v>44067</v>
      </c>
      <c r="O85" s="4">
        <v>103.02200000000001</v>
      </c>
      <c r="P85" s="2" t="s">
        <v>33</v>
      </c>
      <c r="Q85" s="2" t="s">
        <v>159</v>
      </c>
      <c r="R85" s="2" t="s">
        <v>160</v>
      </c>
      <c r="S85" s="2" t="s">
        <v>419</v>
      </c>
      <c r="T85" s="2" t="s">
        <v>72</v>
      </c>
      <c r="U85" s="2" t="s">
        <v>37</v>
      </c>
      <c r="V85" s="2" t="s">
        <v>43</v>
      </c>
      <c r="W85" s="2" t="s">
        <v>909</v>
      </c>
      <c r="X85" s="2" t="s">
        <v>412</v>
      </c>
      <c r="Y85" s="2" t="s">
        <v>454</v>
      </c>
      <c r="Z85" s="2" t="s">
        <v>412</v>
      </c>
      <c r="AA85" s="2" t="s">
        <v>39</v>
      </c>
      <c r="AB85" s="2" t="s">
        <v>414</v>
      </c>
      <c r="AC85" s="14">
        <f>M85</f>
        <v>44054</v>
      </c>
      <c r="AD85" s="14">
        <f>N85</f>
        <v>44067</v>
      </c>
      <c r="AE85">
        <v>0</v>
      </c>
    </row>
    <row r="86" spans="1:33" x14ac:dyDescent="0.2">
      <c r="A86" s="2" t="s">
        <v>410</v>
      </c>
      <c r="B86" s="3">
        <v>44053</v>
      </c>
      <c r="C86" s="2" t="s">
        <v>917</v>
      </c>
      <c r="D86" s="2" t="s">
        <v>91</v>
      </c>
      <c r="E86" s="2" t="s">
        <v>214</v>
      </c>
      <c r="F86" s="2" t="s">
        <v>215</v>
      </c>
      <c r="G86" s="2" t="s">
        <v>918</v>
      </c>
      <c r="H86" s="2" t="s">
        <v>919</v>
      </c>
      <c r="I86" s="2" t="s">
        <v>216</v>
      </c>
      <c r="J86" s="2" t="s">
        <v>95</v>
      </c>
      <c r="K86" s="2" t="s">
        <v>920</v>
      </c>
      <c r="L86" s="2" t="s">
        <v>831</v>
      </c>
      <c r="M86" s="3">
        <v>44060</v>
      </c>
      <c r="N86" s="3">
        <v>44073</v>
      </c>
      <c r="O86" s="4">
        <v>158.42599999999999</v>
      </c>
      <c r="P86" s="2" t="s">
        <v>492</v>
      </c>
      <c r="Q86" s="2" t="s">
        <v>100</v>
      </c>
      <c r="R86" s="2" t="s">
        <v>101</v>
      </c>
      <c r="S86" s="2" t="s">
        <v>466</v>
      </c>
      <c r="T86" s="2" t="s">
        <v>87</v>
      </c>
      <c r="U86" s="2" t="s">
        <v>37</v>
      </c>
      <c r="V86" s="2" t="s">
        <v>504</v>
      </c>
      <c r="W86" s="2" t="s">
        <v>921</v>
      </c>
      <c r="X86" s="2" t="s">
        <v>412</v>
      </c>
      <c r="Y86" s="2" t="s">
        <v>521</v>
      </c>
      <c r="Z86" s="2" t="s">
        <v>412</v>
      </c>
      <c r="AA86" s="2" t="s">
        <v>39</v>
      </c>
      <c r="AB86" s="2" t="s">
        <v>414</v>
      </c>
      <c r="AC86" s="14">
        <f>M86</f>
        <v>44060</v>
      </c>
      <c r="AD86" s="14">
        <f>N86</f>
        <v>44073</v>
      </c>
      <c r="AE86" s="2">
        <v>0</v>
      </c>
    </row>
    <row r="87" spans="1:33" x14ac:dyDescent="0.2">
      <c r="A87" s="2" t="s">
        <v>427</v>
      </c>
      <c r="B87" s="3">
        <v>44074</v>
      </c>
      <c r="C87" s="2" t="s">
        <v>893</v>
      </c>
      <c r="D87" s="2" t="s">
        <v>28</v>
      </c>
      <c r="E87" s="2" t="s">
        <v>253</v>
      </c>
      <c r="F87" s="2" t="s">
        <v>254</v>
      </c>
      <c r="G87" s="2" t="s">
        <v>894</v>
      </c>
      <c r="H87" s="2" t="s">
        <v>895</v>
      </c>
      <c r="I87" s="2" t="s">
        <v>255</v>
      </c>
      <c r="J87" s="2" t="s">
        <v>58</v>
      </c>
      <c r="K87" s="2" t="s">
        <v>489</v>
      </c>
      <c r="L87" s="2" t="s">
        <v>896</v>
      </c>
      <c r="M87" s="3">
        <v>44052</v>
      </c>
      <c r="N87" s="3">
        <v>44074</v>
      </c>
      <c r="O87" s="4">
        <v>92.53</v>
      </c>
      <c r="P87" s="2" t="s">
        <v>48</v>
      </c>
      <c r="Q87" s="2" t="s">
        <v>59</v>
      </c>
      <c r="R87" s="2" t="s">
        <v>60</v>
      </c>
      <c r="S87" s="2" t="s">
        <v>419</v>
      </c>
      <c r="T87" s="2" t="s">
        <v>61</v>
      </c>
      <c r="U87" s="2" t="s">
        <v>37</v>
      </c>
      <c r="V87" s="2" t="s">
        <v>52</v>
      </c>
      <c r="W87" s="2" t="s">
        <v>897</v>
      </c>
      <c r="X87" s="2" t="s">
        <v>412</v>
      </c>
      <c r="Y87" s="2" t="s">
        <v>433</v>
      </c>
      <c r="Z87" s="2" t="s">
        <v>898</v>
      </c>
      <c r="AA87" s="2" t="s">
        <v>175</v>
      </c>
      <c r="AB87" s="2" t="s">
        <v>414</v>
      </c>
      <c r="AC87" s="14">
        <f t="shared" ref="AC87:AC89" si="26">M87</f>
        <v>44052</v>
      </c>
      <c r="AD87" s="14">
        <f t="shared" ref="AD87:AD89" si="27">N87</f>
        <v>44074</v>
      </c>
      <c r="AE87" s="2"/>
    </row>
    <row r="88" spans="1:33" x14ac:dyDescent="0.2">
      <c r="A88" s="2" t="s">
        <v>427</v>
      </c>
      <c r="B88" s="3">
        <v>44074</v>
      </c>
      <c r="C88" s="2" t="s">
        <v>893</v>
      </c>
      <c r="D88" s="2" t="s">
        <v>28</v>
      </c>
      <c r="E88" s="2" t="s">
        <v>253</v>
      </c>
      <c r="F88" s="2" t="s">
        <v>254</v>
      </c>
      <c r="G88" s="2" t="s">
        <v>899</v>
      </c>
      <c r="H88" s="2" t="s">
        <v>900</v>
      </c>
      <c r="I88" s="2" t="s">
        <v>256</v>
      </c>
      <c r="J88" s="2" t="s">
        <v>58</v>
      </c>
      <c r="K88" s="2" t="s">
        <v>489</v>
      </c>
      <c r="L88" s="2" t="s">
        <v>896</v>
      </c>
      <c r="M88" s="3">
        <v>44052</v>
      </c>
      <c r="N88" s="3">
        <v>44074</v>
      </c>
      <c r="O88" s="4">
        <v>76.364000000000004</v>
      </c>
      <c r="P88" s="2" t="s">
        <v>48</v>
      </c>
      <c r="Q88" s="2" t="s">
        <v>59</v>
      </c>
      <c r="R88" s="2" t="s">
        <v>60</v>
      </c>
      <c r="S88" s="2" t="s">
        <v>446</v>
      </c>
      <c r="T88" s="2" t="s">
        <v>72</v>
      </c>
      <c r="U88" s="2" t="s">
        <v>37</v>
      </c>
      <c r="V88" s="2" t="s">
        <v>52</v>
      </c>
      <c r="W88" s="2" t="s">
        <v>901</v>
      </c>
      <c r="X88" s="2" t="s">
        <v>412</v>
      </c>
      <c r="Y88" s="2" t="s">
        <v>455</v>
      </c>
      <c r="Z88" s="2" t="s">
        <v>898</v>
      </c>
      <c r="AA88" s="2" t="s">
        <v>175</v>
      </c>
      <c r="AB88" s="2" t="s">
        <v>414</v>
      </c>
      <c r="AC88" s="14">
        <f t="shared" si="26"/>
        <v>44052</v>
      </c>
      <c r="AD88" s="14">
        <f t="shared" si="27"/>
        <v>44074</v>
      </c>
      <c r="AE88" s="2"/>
    </row>
    <row r="89" spans="1:33" x14ac:dyDescent="0.2">
      <c r="A89" s="2" t="s">
        <v>427</v>
      </c>
      <c r="B89" s="3">
        <v>44074</v>
      </c>
      <c r="C89" s="2" t="s">
        <v>893</v>
      </c>
      <c r="D89" s="2" t="s">
        <v>28</v>
      </c>
      <c r="E89" s="2" t="s">
        <v>253</v>
      </c>
      <c r="F89" s="2" t="s">
        <v>254</v>
      </c>
      <c r="G89" s="2" t="s">
        <v>902</v>
      </c>
      <c r="H89" s="2" t="s">
        <v>903</v>
      </c>
      <c r="I89" s="2" t="s">
        <v>396</v>
      </c>
      <c r="J89" s="2" t="s">
        <v>58</v>
      </c>
      <c r="K89" s="2" t="s">
        <v>489</v>
      </c>
      <c r="L89" s="2" t="s">
        <v>896</v>
      </c>
      <c r="M89" s="3">
        <v>44052</v>
      </c>
      <c r="N89" s="3">
        <v>44074</v>
      </c>
      <c r="O89" s="4">
        <v>44.704000000000001</v>
      </c>
      <c r="P89" s="2" t="s">
        <v>48</v>
      </c>
      <c r="Q89" s="2" t="s">
        <v>59</v>
      </c>
      <c r="R89" s="2" t="s">
        <v>60</v>
      </c>
      <c r="S89" s="2" t="s">
        <v>449</v>
      </c>
      <c r="T89" s="2" t="s">
        <v>61</v>
      </c>
      <c r="U89" s="2" t="s">
        <v>37</v>
      </c>
      <c r="V89" s="2" t="s">
        <v>52</v>
      </c>
      <c r="W89" s="2" t="s">
        <v>904</v>
      </c>
      <c r="X89" s="2" t="s">
        <v>412</v>
      </c>
      <c r="Y89" s="2" t="s">
        <v>459</v>
      </c>
      <c r="Z89" s="2" t="s">
        <v>898</v>
      </c>
      <c r="AA89" s="2" t="s">
        <v>175</v>
      </c>
      <c r="AB89" s="2" t="s">
        <v>414</v>
      </c>
      <c r="AC89" s="14">
        <f t="shared" si="26"/>
        <v>44052</v>
      </c>
      <c r="AD89" s="14">
        <f t="shared" si="27"/>
        <v>44074</v>
      </c>
      <c r="AE89" s="2"/>
    </row>
    <row r="90" spans="1:33" x14ac:dyDescent="0.2">
      <c r="A90" s="2" t="s">
        <v>431</v>
      </c>
      <c r="B90" s="3">
        <v>44048</v>
      </c>
      <c r="C90" s="2" t="s">
        <v>905</v>
      </c>
      <c r="D90" s="2" t="s">
        <v>137</v>
      </c>
      <c r="E90" s="2" t="s">
        <v>156</v>
      </c>
      <c r="F90" s="2" t="s">
        <v>157</v>
      </c>
      <c r="G90" s="2" t="s">
        <v>910</v>
      </c>
      <c r="H90" s="2" t="s">
        <v>911</v>
      </c>
      <c r="I90" s="2" t="s">
        <v>161</v>
      </c>
      <c r="J90" s="2" t="s">
        <v>58</v>
      </c>
      <c r="K90" s="2" t="s">
        <v>908</v>
      </c>
      <c r="L90" s="2" t="s">
        <v>572</v>
      </c>
      <c r="M90" s="3">
        <v>44054</v>
      </c>
      <c r="N90" s="3">
        <v>44067</v>
      </c>
      <c r="O90" s="4">
        <v>102.824</v>
      </c>
      <c r="P90" s="2" t="s">
        <v>33</v>
      </c>
      <c r="Q90" s="2" t="s">
        <v>159</v>
      </c>
      <c r="R90" s="2" t="s">
        <v>160</v>
      </c>
      <c r="S90" s="2" t="s">
        <v>419</v>
      </c>
      <c r="T90" s="2" t="s">
        <v>72</v>
      </c>
      <c r="U90" s="2" t="s">
        <v>37</v>
      </c>
      <c r="V90" s="2" t="s">
        <v>43</v>
      </c>
      <c r="W90" s="2" t="s">
        <v>912</v>
      </c>
      <c r="X90" s="2" t="s">
        <v>412</v>
      </c>
      <c r="Y90" s="2" t="s">
        <v>433</v>
      </c>
      <c r="Z90" s="2" t="s">
        <v>412</v>
      </c>
      <c r="AA90" s="2" t="s">
        <v>39</v>
      </c>
      <c r="AB90" s="2" t="s">
        <v>414</v>
      </c>
      <c r="AC90" s="14">
        <f>M90</f>
        <v>44054</v>
      </c>
      <c r="AD90" s="14">
        <f>N90</f>
        <v>44067</v>
      </c>
      <c r="AE90">
        <v>0</v>
      </c>
    </row>
    <row r="91" spans="1:33" x14ac:dyDescent="0.2">
      <c r="A91" s="2" t="s">
        <v>410</v>
      </c>
      <c r="B91" s="3">
        <v>44048</v>
      </c>
      <c r="C91" s="2" t="s">
        <v>913</v>
      </c>
      <c r="D91" s="2" t="s">
        <v>62</v>
      </c>
      <c r="E91" s="2" t="s">
        <v>378</v>
      </c>
      <c r="F91" s="2" t="s">
        <v>379</v>
      </c>
      <c r="G91" s="2" t="s">
        <v>914</v>
      </c>
      <c r="H91" s="2" t="s">
        <v>915</v>
      </c>
      <c r="I91" s="2" t="s">
        <v>380</v>
      </c>
      <c r="J91" s="2" t="s">
        <v>83</v>
      </c>
      <c r="K91" s="2" t="s">
        <v>495</v>
      </c>
      <c r="L91" s="2" t="s">
        <v>753</v>
      </c>
      <c r="M91" s="3">
        <v>44057</v>
      </c>
      <c r="N91" s="3">
        <v>44076</v>
      </c>
      <c r="O91" s="4">
        <v>96.004999999999995</v>
      </c>
      <c r="P91" s="2" t="s">
        <v>492</v>
      </c>
      <c r="Q91" s="2" t="s">
        <v>206</v>
      </c>
      <c r="R91" s="2" t="s">
        <v>381</v>
      </c>
      <c r="S91" s="2" t="s">
        <v>415</v>
      </c>
      <c r="T91" s="2" t="s">
        <v>87</v>
      </c>
      <c r="U91" s="2" t="s">
        <v>37</v>
      </c>
      <c r="V91" s="2" t="s">
        <v>504</v>
      </c>
      <c r="W91" s="2" t="s">
        <v>916</v>
      </c>
      <c r="X91" s="2" t="s">
        <v>412</v>
      </c>
      <c r="Y91" s="2" t="s">
        <v>468</v>
      </c>
      <c r="Z91" s="2" t="s">
        <v>412</v>
      </c>
      <c r="AA91" s="2" t="s">
        <v>39</v>
      </c>
      <c r="AB91" s="2" t="s">
        <v>414</v>
      </c>
      <c r="AC91" s="14">
        <v>44059</v>
      </c>
      <c r="AD91" s="14">
        <f>N91</f>
        <v>44076</v>
      </c>
      <c r="AE91">
        <v>2</v>
      </c>
      <c r="AG91" s="2" t="s">
        <v>1679</v>
      </c>
    </row>
    <row r="92" spans="1:33" x14ac:dyDescent="0.2">
      <c r="A92" s="2" t="s">
        <v>427</v>
      </c>
      <c r="B92" s="3">
        <v>44073</v>
      </c>
      <c r="C92" s="2" t="s">
        <v>956</v>
      </c>
      <c r="D92" s="2" t="s">
        <v>74</v>
      </c>
      <c r="E92" s="2" t="s">
        <v>75</v>
      </c>
      <c r="F92" s="2" t="s">
        <v>76</v>
      </c>
      <c r="G92" s="2" t="s">
        <v>957</v>
      </c>
      <c r="H92" s="2" t="s">
        <v>958</v>
      </c>
      <c r="I92" s="2" t="s">
        <v>77</v>
      </c>
      <c r="J92" s="2" t="s">
        <v>32</v>
      </c>
      <c r="K92" s="2" t="s">
        <v>959</v>
      </c>
      <c r="L92" s="2" t="s">
        <v>960</v>
      </c>
      <c r="M92" s="3">
        <v>44053</v>
      </c>
      <c r="N92" s="3">
        <v>44115</v>
      </c>
      <c r="O92" s="4">
        <v>299.654</v>
      </c>
      <c r="P92" s="2" t="s">
        <v>48</v>
      </c>
      <c r="Q92" s="2" t="s">
        <v>78</v>
      </c>
      <c r="R92" s="2" t="s">
        <v>79</v>
      </c>
      <c r="S92" s="2" t="s">
        <v>425</v>
      </c>
      <c r="T92" s="2" t="s">
        <v>36</v>
      </c>
      <c r="U92" s="2" t="s">
        <v>37</v>
      </c>
      <c r="V92" s="2" t="s">
        <v>73</v>
      </c>
      <c r="W92" s="2" t="s">
        <v>961</v>
      </c>
      <c r="X92" s="2" t="s">
        <v>412</v>
      </c>
      <c r="Y92" s="2" t="s">
        <v>426</v>
      </c>
      <c r="Z92" s="2" t="s">
        <v>962</v>
      </c>
      <c r="AA92" s="2" t="s">
        <v>39</v>
      </c>
      <c r="AB92" s="2" t="s">
        <v>414</v>
      </c>
      <c r="AC92" s="14">
        <f t="shared" ref="AC92:AC94" si="28">M92</f>
        <v>44053</v>
      </c>
      <c r="AD92" s="14">
        <f t="shared" ref="AD92:AD94" si="29">N92</f>
        <v>44115</v>
      </c>
      <c r="AE92" s="2"/>
    </row>
    <row r="93" spans="1:33" x14ac:dyDescent="0.2">
      <c r="A93" s="2" t="s">
        <v>427</v>
      </c>
      <c r="B93" s="3">
        <v>44073</v>
      </c>
      <c r="C93" s="2" t="s">
        <v>956</v>
      </c>
      <c r="D93" s="2" t="s">
        <v>74</v>
      </c>
      <c r="E93" s="2" t="s">
        <v>75</v>
      </c>
      <c r="F93" s="2" t="s">
        <v>76</v>
      </c>
      <c r="G93" s="2" t="s">
        <v>963</v>
      </c>
      <c r="H93" s="2" t="s">
        <v>964</v>
      </c>
      <c r="I93" s="2" t="s">
        <v>77</v>
      </c>
      <c r="J93" s="2" t="s">
        <v>32</v>
      </c>
      <c r="K93" s="2" t="s">
        <v>959</v>
      </c>
      <c r="L93" s="2" t="s">
        <v>960</v>
      </c>
      <c r="M93" s="3">
        <v>44053</v>
      </c>
      <c r="N93" s="3">
        <v>44115</v>
      </c>
      <c r="O93" s="4">
        <v>224.77199999999999</v>
      </c>
      <c r="P93" s="2" t="s">
        <v>48</v>
      </c>
      <c r="Q93" s="2" t="s">
        <v>78</v>
      </c>
      <c r="R93" s="2" t="s">
        <v>79</v>
      </c>
      <c r="S93" s="2" t="s">
        <v>422</v>
      </c>
      <c r="T93" s="2" t="s">
        <v>72</v>
      </c>
      <c r="U93" s="2" t="s">
        <v>37</v>
      </c>
      <c r="V93" s="2" t="s">
        <v>73</v>
      </c>
      <c r="W93" s="2" t="s">
        <v>965</v>
      </c>
      <c r="X93" s="2" t="s">
        <v>412</v>
      </c>
      <c r="Y93" s="2" t="s">
        <v>423</v>
      </c>
      <c r="Z93" s="2" t="s">
        <v>653</v>
      </c>
      <c r="AA93" s="2" t="s">
        <v>39</v>
      </c>
      <c r="AB93" s="2" t="s">
        <v>414</v>
      </c>
      <c r="AC93" s="14">
        <f t="shared" si="28"/>
        <v>44053</v>
      </c>
      <c r="AD93" s="14">
        <f t="shared" si="29"/>
        <v>44115</v>
      </c>
      <c r="AE93" s="2"/>
    </row>
    <row r="94" spans="1:33" x14ac:dyDescent="0.2">
      <c r="A94" s="2" t="s">
        <v>427</v>
      </c>
      <c r="B94" s="3">
        <v>44073</v>
      </c>
      <c r="C94" s="2" t="s">
        <v>956</v>
      </c>
      <c r="D94" s="2" t="s">
        <v>74</v>
      </c>
      <c r="E94" s="2" t="s">
        <v>75</v>
      </c>
      <c r="F94" s="2" t="s">
        <v>966</v>
      </c>
      <c r="G94" s="2" t="s">
        <v>967</v>
      </c>
      <c r="H94" s="2" t="s">
        <v>968</v>
      </c>
      <c r="I94" s="2" t="s">
        <v>77</v>
      </c>
      <c r="J94" s="2" t="s">
        <v>32</v>
      </c>
      <c r="K94" s="2" t="s">
        <v>959</v>
      </c>
      <c r="L94" s="2" t="s">
        <v>960</v>
      </c>
      <c r="M94" s="3">
        <v>44053</v>
      </c>
      <c r="N94" s="3">
        <v>44110</v>
      </c>
      <c r="O94" s="4">
        <v>499.76100000000002</v>
      </c>
      <c r="P94" s="2" t="s">
        <v>48</v>
      </c>
      <c r="Q94" s="2" t="s">
        <v>149</v>
      </c>
      <c r="R94" s="2" t="s">
        <v>150</v>
      </c>
      <c r="S94" s="2" t="s">
        <v>428</v>
      </c>
      <c r="T94" s="2" t="s">
        <v>72</v>
      </c>
      <c r="U94" s="2" t="s">
        <v>37</v>
      </c>
      <c r="V94" s="2" t="s">
        <v>73</v>
      </c>
      <c r="W94" s="2" t="s">
        <v>969</v>
      </c>
      <c r="X94" s="2" t="s">
        <v>412</v>
      </c>
      <c r="Y94" s="2" t="s">
        <v>429</v>
      </c>
      <c r="Z94" s="2" t="s">
        <v>412</v>
      </c>
      <c r="AA94" s="2" t="s">
        <v>39</v>
      </c>
      <c r="AB94" s="2" t="s">
        <v>414</v>
      </c>
      <c r="AC94" s="14">
        <f t="shared" si="28"/>
        <v>44053</v>
      </c>
      <c r="AD94" s="14">
        <f t="shared" si="29"/>
        <v>44110</v>
      </c>
      <c r="AE94" s="2"/>
    </row>
    <row r="95" spans="1:33" x14ac:dyDescent="0.2">
      <c r="A95" s="2" t="s">
        <v>427</v>
      </c>
      <c r="B95" s="3">
        <v>44055</v>
      </c>
      <c r="C95" s="2" t="s">
        <v>970</v>
      </c>
      <c r="D95" s="2" t="s">
        <v>62</v>
      </c>
      <c r="E95" s="2" t="s">
        <v>167</v>
      </c>
      <c r="F95" s="2" t="s">
        <v>168</v>
      </c>
      <c r="G95" s="2" t="s">
        <v>971</v>
      </c>
      <c r="H95" s="2" t="s">
        <v>972</v>
      </c>
      <c r="I95" s="2" t="s">
        <v>77</v>
      </c>
      <c r="J95" s="2" t="s">
        <v>32</v>
      </c>
      <c r="K95" s="2" t="s">
        <v>136</v>
      </c>
      <c r="L95" s="2" t="s">
        <v>973</v>
      </c>
      <c r="M95" s="3">
        <v>44053</v>
      </c>
      <c r="N95" s="3">
        <v>44082</v>
      </c>
      <c r="O95" s="4">
        <v>199.02699999999999</v>
      </c>
      <c r="P95" s="2" t="s">
        <v>48</v>
      </c>
      <c r="Q95" s="2" t="s">
        <v>166</v>
      </c>
      <c r="R95" s="2" t="s">
        <v>169</v>
      </c>
      <c r="S95" s="2" t="s">
        <v>420</v>
      </c>
      <c r="T95" s="2" t="s">
        <v>36</v>
      </c>
      <c r="U95" s="2" t="s">
        <v>37</v>
      </c>
      <c r="V95" s="2" t="s">
        <v>52</v>
      </c>
      <c r="W95" s="2" t="s">
        <v>974</v>
      </c>
      <c r="X95" s="2" t="s">
        <v>412</v>
      </c>
      <c r="Y95" s="2" t="s">
        <v>421</v>
      </c>
      <c r="Z95" s="2" t="s">
        <v>799</v>
      </c>
      <c r="AA95" s="2" t="s">
        <v>39</v>
      </c>
      <c r="AB95" s="2" t="s">
        <v>414</v>
      </c>
      <c r="AC95" s="14">
        <v>44058</v>
      </c>
      <c r="AD95" s="14">
        <v>44085</v>
      </c>
      <c r="AE95">
        <v>5</v>
      </c>
      <c r="AF95">
        <v>3</v>
      </c>
      <c r="AG95" t="s">
        <v>1837</v>
      </c>
    </row>
    <row r="96" spans="1:33" x14ac:dyDescent="0.2">
      <c r="A96" s="2" t="s">
        <v>427</v>
      </c>
      <c r="B96" s="3">
        <v>44073</v>
      </c>
      <c r="C96" s="2" t="s">
        <v>970</v>
      </c>
      <c r="D96" s="2" t="s">
        <v>91</v>
      </c>
      <c r="E96" s="2" t="s">
        <v>164</v>
      </c>
      <c r="F96" s="2" t="s">
        <v>165</v>
      </c>
      <c r="G96" s="2" t="s">
        <v>975</v>
      </c>
      <c r="H96" s="2" t="s">
        <v>976</v>
      </c>
      <c r="I96" s="2" t="s">
        <v>77</v>
      </c>
      <c r="J96" s="2" t="s">
        <v>32</v>
      </c>
      <c r="K96" s="2" t="s">
        <v>136</v>
      </c>
      <c r="L96" s="2" t="s">
        <v>973</v>
      </c>
      <c r="M96" s="3">
        <v>44053</v>
      </c>
      <c r="N96" s="3">
        <v>44082</v>
      </c>
      <c r="O96" s="4">
        <v>291.26400000000001</v>
      </c>
      <c r="P96" s="2" t="s">
        <v>48</v>
      </c>
      <c r="Q96" s="2" t="s">
        <v>166</v>
      </c>
      <c r="R96" s="2" t="s">
        <v>169</v>
      </c>
      <c r="S96" s="2" t="s">
        <v>459</v>
      </c>
      <c r="T96" s="2" t="s">
        <v>42</v>
      </c>
      <c r="U96" s="2" t="s">
        <v>37</v>
      </c>
      <c r="V96" s="2" t="s">
        <v>52</v>
      </c>
      <c r="W96" s="2" t="s">
        <v>977</v>
      </c>
      <c r="X96" s="2" t="s">
        <v>412</v>
      </c>
      <c r="Y96" s="2" t="s">
        <v>479</v>
      </c>
      <c r="Z96" s="2" t="s">
        <v>497</v>
      </c>
      <c r="AA96" s="2" t="s">
        <v>39</v>
      </c>
      <c r="AB96" s="2" t="s">
        <v>414</v>
      </c>
      <c r="AC96" s="14">
        <v>44058</v>
      </c>
      <c r="AD96" s="14">
        <v>44085</v>
      </c>
      <c r="AE96">
        <v>5</v>
      </c>
      <c r="AF96">
        <v>3</v>
      </c>
      <c r="AG96" s="2" t="s">
        <v>1837</v>
      </c>
    </row>
    <row r="97" spans="1:33" x14ac:dyDescent="0.2">
      <c r="A97" s="2" t="s">
        <v>427</v>
      </c>
      <c r="B97" s="3">
        <v>44055</v>
      </c>
      <c r="C97" s="2" t="s">
        <v>970</v>
      </c>
      <c r="D97" s="2" t="s">
        <v>62</v>
      </c>
      <c r="E97" s="2" t="s">
        <v>248</v>
      </c>
      <c r="F97" s="2" t="s">
        <v>249</v>
      </c>
      <c r="G97" s="2" t="s">
        <v>978</v>
      </c>
      <c r="H97" s="2" t="s">
        <v>979</v>
      </c>
      <c r="I97" s="2" t="s">
        <v>77</v>
      </c>
      <c r="J97" s="2" t="s">
        <v>32</v>
      </c>
      <c r="K97" s="2" t="s">
        <v>136</v>
      </c>
      <c r="L97" s="2" t="s">
        <v>973</v>
      </c>
      <c r="M97" s="3">
        <v>44053</v>
      </c>
      <c r="N97" s="3">
        <v>44082</v>
      </c>
      <c r="O97" s="4">
        <v>311.78100000000001</v>
      </c>
      <c r="P97" s="2" t="s">
        <v>48</v>
      </c>
      <c r="Q97" s="2" t="s">
        <v>166</v>
      </c>
      <c r="R97" s="2" t="s">
        <v>250</v>
      </c>
      <c r="S97" s="2" t="s">
        <v>417</v>
      </c>
      <c r="T97" s="2" t="s">
        <v>42</v>
      </c>
      <c r="U97" s="2" t="s">
        <v>37</v>
      </c>
      <c r="V97" s="2" t="s">
        <v>52</v>
      </c>
      <c r="W97" s="2" t="s">
        <v>980</v>
      </c>
      <c r="X97" s="2" t="s">
        <v>412</v>
      </c>
      <c r="Y97" s="2" t="s">
        <v>458</v>
      </c>
      <c r="Z97" s="2" t="s">
        <v>981</v>
      </c>
      <c r="AA97" s="2" t="s">
        <v>39</v>
      </c>
      <c r="AB97" s="2" t="s">
        <v>414</v>
      </c>
      <c r="AC97" s="14">
        <v>44058</v>
      </c>
      <c r="AD97" s="14">
        <v>44085</v>
      </c>
      <c r="AE97">
        <v>5</v>
      </c>
      <c r="AF97">
        <v>3</v>
      </c>
      <c r="AG97" s="2" t="s">
        <v>1837</v>
      </c>
    </row>
    <row r="98" spans="1:33" x14ac:dyDescent="0.2">
      <c r="A98" s="2" t="s">
        <v>427</v>
      </c>
      <c r="B98" s="3">
        <v>44048</v>
      </c>
      <c r="C98" s="2" t="s">
        <v>970</v>
      </c>
      <c r="D98" s="2" t="s">
        <v>28</v>
      </c>
      <c r="E98" s="2" t="s">
        <v>110</v>
      </c>
      <c r="F98" s="2" t="s">
        <v>111</v>
      </c>
      <c r="G98" s="2" t="s">
        <v>943</v>
      </c>
      <c r="H98" s="2" t="s">
        <v>944</v>
      </c>
      <c r="I98" s="2" t="s">
        <v>77</v>
      </c>
      <c r="J98" s="2" t="s">
        <v>32</v>
      </c>
      <c r="K98" s="2" t="s">
        <v>136</v>
      </c>
      <c r="L98" s="2" t="s">
        <v>973</v>
      </c>
      <c r="M98" s="3">
        <v>44053</v>
      </c>
      <c r="N98" s="3">
        <v>44084</v>
      </c>
      <c r="O98" s="4">
        <v>494.31299999999999</v>
      </c>
      <c r="P98" s="2" t="s">
        <v>48</v>
      </c>
      <c r="Q98" s="2" t="s">
        <v>34</v>
      </c>
      <c r="R98" s="2" t="s">
        <v>35</v>
      </c>
      <c r="S98" s="2" t="s">
        <v>432</v>
      </c>
      <c r="T98" s="2" t="s">
        <v>140</v>
      </c>
      <c r="U98" s="2" t="s">
        <v>37</v>
      </c>
      <c r="V98" s="2" t="s">
        <v>52</v>
      </c>
      <c r="W98" s="2" t="s">
        <v>945</v>
      </c>
      <c r="X98" s="2" t="s">
        <v>412</v>
      </c>
      <c r="Y98" s="2" t="s">
        <v>478</v>
      </c>
      <c r="Z98" s="2" t="s">
        <v>946</v>
      </c>
      <c r="AA98" s="2" t="s">
        <v>39</v>
      </c>
      <c r="AB98" s="2" t="s">
        <v>414</v>
      </c>
      <c r="AC98" s="14">
        <v>44058</v>
      </c>
      <c r="AD98" s="14">
        <v>44089</v>
      </c>
      <c r="AE98">
        <v>5</v>
      </c>
      <c r="AF98">
        <v>5</v>
      </c>
      <c r="AG98" s="2" t="s">
        <v>1837</v>
      </c>
    </row>
    <row r="99" spans="1:33" x14ac:dyDescent="0.2">
      <c r="A99" s="2" t="s">
        <v>431</v>
      </c>
      <c r="B99" s="3">
        <v>44058</v>
      </c>
      <c r="C99" s="2" t="s">
        <v>947</v>
      </c>
      <c r="D99" s="2" t="s">
        <v>91</v>
      </c>
      <c r="E99" s="2" t="s">
        <v>217</v>
      </c>
      <c r="F99" s="2" t="s">
        <v>218</v>
      </c>
      <c r="G99" s="2" t="s">
        <v>948</v>
      </c>
      <c r="H99" s="2" t="s">
        <v>949</v>
      </c>
      <c r="I99" s="2" t="s">
        <v>63</v>
      </c>
      <c r="J99" s="2" t="s">
        <v>64</v>
      </c>
      <c r="K99" s="2" t="s">
        <v>739</v>
      </c>
      <c r="L99" s="2" t="s">
        <v>740</v>
      </c>
      <c r="M99" s="3">
        <v>44056</v>
      </c>
      <c r="N99" s="3">
        <v>44071</v>
      </c>
      <c r="O99" s="4">
        <v>414.12</v>
      </c>
      <c r="P99" s="2" t="s">
        <v>33</v>
      </c>
      <c r="Q99" s="2" t="s">
        <v>34</v>
      </c>
      <c r="R99" s="2" t="s">
        <v>268</v>
      </c>
      <c r="S99" s="2" t="s">
        <v>452</v>
      </c>
      <c r="T99" s="2" t="s">
        <v>36</v>
      </c>
      <c r="U99" s="2" t="s">
        <v>290</v>
      </c>
      <c r="V99" s="2" t="s">
        <v>65</v>
      </c>
      <c r="W99" s="2" t="s">
        <v>950</v>
      </c>
      <c r="X99" s="2" t="s">
        <v>412</v>
      </c>
      <c r="Y99" s="2" t="s">
        <v>453</v>
      </c>
      <c r="Z99" s="2" t="s">
        <v>412</v>
      </c>
      <c r="AA99" s="2" t="s">
        <v>39</v>
      </c>
      <c r="AB99" s="2" t="s">
        <v>414</v>
      </c>
      <c r="AC99" s="14">
        <f>M99</f>
        <v>44056</v>
      </c>
      <c r="AD99" s="14">
        <f>N99</f>
        <v>44071</v>
      </c>
      <c r="AE99">
        <v>0</v>
      </c>
    </row>
    <row r="100" spans="1:33" x14ac:dyDescent="0.2">
      <c r="A100" s="2" t="s">
        <v>470</v>
      </c>
      <c r="B100" s="3">
        <v>44058</v>
      </c>
      <c r="C100" s="2" t="s">
        <v>1034</v>
      </c>
      <c r="D100" s="2" t="s">
        <v>54</v>
      </c>
      <c r="E100" s="2" t="s">
        <v>237</v>
      </c>
      <c r="F100" s="2" t="s">
        <v>238</v>
      </c>
      <c r="G100" s="2" t="s">
        <v>1035</v>
      </c>
      <c r="H100" s="2" t="s">
        <v>1036</v>
      </c>
      <c r="I100" s="2" t="s">
        <v>239</v>
      </c>
      <c r="J100" s="2" t="s">
        <v>223</v>
      </c>
      <c r="K100" s="2" t="s">
        <v>488</v>
      </c>
      <c r="L100" s="2" t="s">
        <v>1037</v>
      </c>
      <c r="M100" s="3">
        <v>44055</v>
      </c>
      <c r="N100" s="3">
        <v>44083</v>
      </c>
      <c r="O100" s="4">
        <v>107.009</v>
      </c>
      <c r="P100" s="2" t="s">
        <v>224</v>
      </c>
      <c r="Q100" s="2" t="s">
        <v>153</v>
      </c>
      <c r="R100" s="2" t="s">
        <v>154</v>
      </c>
      <c r="S100" s="2" t="s">
        <v>419</v>
      </c>
      <c r="T100" s="2" t="s">
        <v>87</v>
      </c>
      <c r="U100" s="2" t="s">
        <v>37</v>
      </c>
      <c r="V100" s="2" t="s">
        <v>88</v>
      </c>
      <c r="W100" s="2" t="s">
        <v>1038</v>
      </c>
      <c r="X100" s="2" t="s">
        <v>412</v>
      </c>
      <c r="Y100" s="2" t="s">
        <v>472</v>
      </c>
      <c r="Z100" s="2" t="s">
        <v>412</v>
      </c>
      <c r="AA100" s="2" t="s">
        <v>39</v>
      </c>
      <c r="AB100" s="2" t="s">
        <v>414</v>
      </c>
      <c r="AC100" s="14">
        <f t="shared" ref="AC100:AC103" si="30">M100</f>
        <v>44055</v>
      </c>
      <c r="AD100" s="14">
        <f t="shared" ref="AD100:AD103" si="31">N100</f>
        <v>44083</v>
      </c>
    </row>
    <row r="101" spans="1:33" x14ac:dyDescent="0.2">
      <c r="A101" s="2" t="s">
        <v>470</v>
      </c>
      <c r="B101" s="3">
        <v>44073</v>
      </c>
      <c r="C101" s="2" t="s">
        <v>1034</v>
      </c>
      <c r="D101" s="2" t="s">
        <v>28</v>
      </c>
      <c r="E101" s="2" t="s">
        <v>110</v>
      </c>
      <c r="F101" s="2" t="s">
        <v>111</v>
      </c>
      <c r="G101" s="2" t="s">
        <v>1039</v>
      </c>
      <c r="H101" s="2" t="s">
        <v>1040</v>
      </c>
      <c r="I101" s="2" t="s">
        <v>31</v>
      </c>
      <c r="J101" s="2" t="s">
        <v>32</v>
      </c>
      <c r="K101" s="2" t="s">
        <v>488</v>
      </c>
      <c r="L101" s="2" t="s">
        <v>1037</v>
      </c>
      <c r="M101" s="3">
        <v>44055</v>
      </c>
      <c r="N101" s="3">
        <v>44086</v>
      </c>
      <c r="O101" s="4">
        <v>489.69</v>
      </c>
      <c r="P101" s="2" t="s">
        <v>224</v>
      </c>
      <c r="Q101" s="2" t="s">
        <v>34</v>
      </c>
      <c r="R101" s="2" t="s">
        <v>35</v>
      </c>
      <c r="S101" s="2" t="s">
        <v>432</v>
      </c>
      <c r="T101" s="2" t="s">
        <v>87</v>
      </c>
      <c r="U101" s="2" t="s">
        <v>37</v>
      </c>
      <c r="V101" s="2" t="s">
        <v>88</v>
      </c>
      <c r="W101" s="2" t="s">
        <v>1041</v>
      </c>
      <c r="X101" s="2" t="s">
        <v>412</v>
      </c>
      <c r="Y101" s="2" t="s">
        <v>478</v>
      </c>
      <c r="Z101" s="2" t="s">
        <v>946</v>
      </c>
      <c r="AA101" s="2" t="s">
        <v>39</v>
      </c>
      <c r="AB101" s="2" t="s">
        <v>414</v>
      </c>
      <c r="AC101" s="14">
        <f t="shared" si="30"/>
        <v>44055</v>
      </c>
      <c r="AD101" s="14">
        <f t="shared" si="31"/>
        <v>44086</v>
      </c>
    </row>
    <row r="102" spans="1:33" x14ac:dyDescent="0.2">
      <c r="A102" s="2" t="s">
        <v>470</v>
      </c>
      <c r="B102" s="3">
        <v>44073</v>
      </c>
      <c r="C102" s="2" t="s">
        <v>1034</v>
      </c>
      <c r="D102" s="2" t="s">
        <v>28</v>
      </c>
      <c r="E102" s="2" t="s">
        <v>110</v>
      </c>
      <c r="F102" s="2" t="s">
        <v>111</v>
      </c>
      <c r="G102" s="2" t="s">
        <v>1042</v>
      </c>
      <c r="H102" s="2" t="s">
        <v>1043</v>
      </c>
      <c r="I102" s="2" t="s">
        <v>31</v>
      </c>
      <c r="J102" s="2" t="s">
        <v>32</v>
      </c>
      <c r="K102" s="2" t="s">
        <v>488</v>
      </c>
      <c r="L102" s="2" t="s">
        <v>1037</v>
      </c>
      <c r="M102" s="3">
        <v>44055</v>
      </c>
      <c r="N102" s="3">
        <v>44086</v>
      </c>
      <c r="O102" s="4">
        <v>489.25</v>
      </c>
      <c r="P102" s="2" t="s">
        <v>224</v>
      </c>
      <c r="Q102" s="2" t="s">
        <v>34</v>
      </c>
      <c r="R102" s="2" t="s">
        <v>35</v>
      </c>
      <c r="S102" s="2" t="s">
        <v>432</v>
      </c>
      <c r="T102" s="2" t="s">
        <v>87</v>
      </c>
      <c r="U102" s="2" t="s">
        <v>290</v>
      </c>
      <c r="V102" s="2" t="s">
        <v>88</v>
      </c>
      <c r="W102" s="2" t="s">
        <v>1044</v>
      </c>
      <c r="X102" s="2" t="s">
        <v>412</v>
      </c>
      <c r="Y102" s="2" t="s">
        <v>478</v>
      </c>
      <c r="Z102" s="2" t="s">
        <v>946</v>
      </c>
      <c r="AA102" s="2" t="s">
        <v>39</v>
      </c>
      <c r="AB102" s="2" t="s">
        <v>414</v>
      </c>
      <c r="AC102" s="14">
        <f t="shared" si="30"/>
        <v>44055</v>
      </c>
      <c r="AD102" s="14">
        <f t="shared" si="31"/>
        <v>44086</v>
      </c>
    </row>
    <row r="103" spans="1:33" x14ac:dyDescent="0.2">
      <c r="A103" s="2" t="s">
        <v>470</v>
      </c>
      <c r="B103" s="3">
        <v>44053</v>
      </c>
      <c r="C103" s="2" t="s">
        <v>1034</v>
      </c>
      <c r="D103" s="2" t="s">
        <v>91</v>
      </c>
      <c r="E103" s="2" t="s">
        <v>242</v>
      </c>
      <c r="F103" s="2" t="s">
        <v>243</v>
      </c>
      <c r="G103" s="2" t="s">
        <v>1045</v>
      </c>
      <c r="H103" s="2" t="s">
        <v>1046</v>
      </c>
      <c r="I103" s="2" t="s">
        <v>535</v>
      </c>
      <c r="J103" s="2" t="s">
        <v>47</v>
      </c>
      <c r="K103" s="2" t="s">
        <v>488</v>
      </c>
      <c r="L103" s="2" t="s">
        <v>1037</v>
      </c>
      <c r="M103" s="3">
        <v>44055</v>
      </c>
      <c r="N103" s="3">
        <v>44083</v>
      </c>
      <c r="O103" s="4">
        <v>56</v>
      </c>
      <c r="P103" s="2" t="s">
        <v>224</v>
      </c>
      <c r="Q103" s="2" t="s">
        <v>100</v>
      </c>
      <c r="R103" s="2" t="s">
        <v>101</v>
      </c>
      <c r="S103" s="2" t="s">
        <v>446</v>
      </c>
      <c r="T103" s="2" t="s">
        <v>87</v>
      </c>
      <c r="U103" s="2" t="s">
        <v>290</v>
      </c>
      <c r="V103" s="2" t="s">
        <v>88</v>
      </c>
      <c r="W103" s="2" t="s">
        <v>1047</v>
      </c>
      <c r="X103" s="2" t="s">
        <v>412</v>
      </c>
      <c r="Y103" s="2" t="s">
        <v>412</v>
      </c>
      <c r="Z103" s="2" t="s">
        <v>412</v>
      </c>
      <c r="AA103" s="2" t="s">
        <v>39</v>
      </c>
      <c r="AB103" s="2" t="s">
        <v>414</v>
      </c>
      <c r="AC103" s="14">
        <f t="shared" si="30"/>
        <v>44055</v>
      </c>
      <c r="AD103" s="14">
        <f t="shared" si="31"/>
        <v>44083</v>
      </c>
    </row>
    <row r="104" spans="1:33" x14ac:dyDescent="0.2">
      <c r="A104" s="2" t="s">
        <v>431</v>
      </c>
      <c r="B104" s="3">
        <v>44073</v>
      </c>
      <c r="C104" s="2" t="s">
        <v>1141</v>
      </c>
      <c r="D104" s="2" t="s">
        <v>74</v>
      </c>
      <c r="E104" s="2" t="s">
        <v>75</v>
      </c>
      <c r="F104" s="2" t="s">
        <v>1142</v>
      </c>
      <c r="G104" s="2" t="s">
        <v>1143</v>
      </c>
      <c r="H104" s="2" t="s">
        <v>1144</v>
      </c>
      <c r="I104" s="2" t="s">
        <v>1145</v>
      </c>
      <c r="J104" s="2" t="s">
        <v>58</v>
      </c>
      <c r="K104" s="2" t="s">
        <v>578</v>
      </c>
      <c r="L104" s="2" t="s">
        <v>1146</v>
      </c>
      <c r="M104" s="3">
        <v>44058</v>
      </c>
      <c r="N104" s="3">
        <v>44097</v>
      </c>
      <c r="O104" s="4">
        <v>71.61</v>
      </c>
      <c r="P104" s="2" t="s">
        <v>33</v>
      </c>
      <c r="Q104" s="2" t="s">
        <v>353</v>
      </c>
      <c r="R104" s="2" t="s">
        <v>1147</v>
      </c>
      <c r="S104" s="2" t="s">
        <v>446</v>
      </c>
      <c r="T104" s="2" t="s">
        <v>61</v>
      </c>
      <c r="U104" s="2" t="s">
        <v>290</v>
      </c>
      <c r="V104" s="2" t="s">
        <v>65</v>
      </c>
      <c r="W104" s="2" t="s">
        <v>1148</v>
      </c>
      <c r="X104" s="2" t="s">
        <v>412</v>
      </c>
      <c r="Y104" s="2" t="s">
        <v>435</v>
      </c>
      <c r="Z104" s="2" t="s">
        <v>962</v>
      </c>
      <c r="AA104" s="2" t="s">
        <v>39</v>
      </c>
      <c r="AB104" s="2" t="s">
        <v>414</v>
      </c>
      <c r="AC104" s="14">
        <f t="shared" ref="AC104:AC119" si="32">M104</f>
        <v>44058</v>
      </c>
      <c r="AD104" s="14">
        <f t="shared" ref="AD104:AD119" si="33">N104</f>
        <v>44097</v>
      </c>
      <c r="AE104">
        <v>0</v>
      </c>
    </row>
    <row r="105" spans="1:33" x14ac:dyDescent="0.2">
      <c r="A105" s="2" t="s">
        <v>431</v>
      </c>
      <c r="B105" s="3">
        <v>44073</v>
      </c>
      <c r="C105" s="2" t="s">
        <v>1805</v>
      </c>
      <c r="D105" s="2" t="s">
        <v>74</v>
      </c>
      <c r="E105" s="2" t="s">
        <v>75</v>
      </c>
      <c r="F105" s="2" t="s">
        <v>147</v>
      </c>
      <c r="G105" s="2" t="s">
        <v>1101</v>
      </c>
      <c r="H105" s="2" t="s">
        <v>1102</v>
      </c>
      <c r="I105" s="2" t="s">
        <v>148</v>
      </c>
      <c r="J105" s="2" t="s">
        <v>58</v>
      </c>
      <c r="K105" s="2" t="s">
        <v>1786</v>
      </c>
      <c r="L105" s="2" t="s">
        <v>954</v>
      </c>
      <c r="M105" s="3">
        <v>44058</v>
      </c>
      <c r="N105" s="3">
        <v>44110</v>
      </c>
      <c r="O105" s="4">
        <v>69.093000000000004</v>
      </c>
      <c r="P105" s="2" t="s">
        <v>33</v>
      </c>
      <c r="Q105" s="2" t="s">
        <v>149</v>
      </c>
      <c r="R105" s="2" t="s">
        <v>150</v>
      </c>
      <c r="S105" s="2" t="s">
        <v>446</v>
      </c>
      <c r="T105" s="2" t="s">
        <v>61</v>
      </c>
      <c r="U105" s="2" t="s">
        <v>290</v>
      </c>
      <c r="V105" s="2" t="s">
        <v>73</v>
      </c>
      <c r="W105" s="2" t="s">
        <v>1105</v>
      </c>
      <c r="X105" s="2" t="s">
        <v>412</v>
      </c>
      <c r="Y105" s="2" t="s">
        <v>502</v>
      </c>
      <c r="Z105" s="2" t="s">
        <v>412</v>
      </c>
      <c r="AA105" s="2" t="s">
        <v>39</v>
      </c>
      <c r="AB105" s="2" t="s">
        <v>414</v>
      </c>
      <c r="AC105" s="14">
        <f t="shared" si="32"/>
        <v>44058</v>
      </c>
      <c r="AD105" s="14">
        <f t="shared" si="33"/>
        <v>44110</v>
      </c>
      <c r="AE105">
        <v>0</v>
      </c>
    </row>
    <row r="106" spans="1:33" x14ac:dyDescent="0.2">
      <c r="A106" s="2" t="s">
        <v>431</v>
      </c>
      <c r="B106" s="3">
        <v>44073</v>
      </c>
      <c r="C106" s="2" t="s">
        <v>1805</v>
      </c>
      <c r="D106" s="2" t="s">
        <v>74</v>
      </c>
      <c r="E106" s="2" t="s">
        <v>75</v>
      </c>
      <c r="F106" s="2" t="s">
        <v>147</v>
      </c>
      <c r="G106" s="2" t="s">
        <v>1106</v>
      </c>
      <c r="H106" s="2" t="s">
        <v>1107</v>
      </c>
      <c r="I106" s="2" t="s">
        <v>151</v>
      </c>
      <c r="J106" s="2" t="s">
        <v>58</v>
      </c>
      <c r="K106" s="2" t="s">
        <v>1786</v>
      </c>
      <c r="L106" s="2" t="s">
        <v>954</v>
      </c>
      <c r="M106" s="3">
        <v>44058</v>
      </c>
      <c r="N106" s="3">
        <v>44110</v>
      </c>
      <c r="O106" s="4">
        <v>69.066000000000003</v>
      </c>
      <c r="P106" s="2" t="s">
        <v>33</v>
      </c>
      <c r="Q106" s="2" t="s">
        <v>149</v>
      </c>
      <c r="R106" s="2" t="s">
        <v>150</v>
      </c>
      <c r="S106" s="2" t="s">
        <v>446</v>
      </c>
      <c r="T106" s="2" t="s">
        <v>61</v>
      </c>
      <c r="U106" s="2" t="s">
        <v>290</v>
      </c>
      <c r="V106" s="2" t="s">
        <v>73</v>
      </c>
      <c r="W106" s="2" t="s">
        <v>1108</v>
      </c>
      <c r="X106" s="2" t="s">
        <v>412</v>
      </c>
      <c r="Y106" s="2" t="s">
        <v>502</v>
      </c>
      <c r="Z106" s="2" t="s">
        <v>412</v>
      </c>
      <c r="AA106" s="2" t="s">
        <v>39</v>
      </c>
      <c r="AB106" s="2" t="s">
        <v>414</v>
      </c>
      <c r="AC106" s="14">
        <f t="shared" si="32"/>
        <v>44058</v>
      </c>
      <c r="AD106" s="14">
        <f t="shared" si="33"/>
        <v>44110</v>
      </c>
      <c r="AE106">
        <v>0</v>
      </c>
    </row>
    <row r="107" spans="1:33" x14ac:dyDescent="0.2">
      <c r="A107" s="2" t="s">
        <v>431</v>
      </c>
      <c r="B107" s="3">
        <v>44073</v>
      </c>
      <c r="C107" s="2" t="s">
        <v>1149</v>
      </c>
      <c r="D107" s="2" t="s">
        <v>74</v>
      </c>
      <c r="E107" s="2" t="s">
        <v>207</v>
      </c>
      <c r="F107" s="2" t="s">
        <v>208</v>
      </c>
      <c r="G107" s="2" t="s">
        <v>1150</v>
      </c>
      <c r="H107" s="2" t="s">
        <v>1151</v>
      </c>
      <c r="I107" s="2" t="s">
        <v>357</v>
      </c>
      <c r="J107" s="2" t="s">
        <v>58</v>
      </c>
      <c r="K107" s="2" t="s">
        <v>496</v>
      </c>
      <c r="L107" s="2" t="s">
        <v>1152</v>
      </c>
      <c r="M107" s="3">
        <v>44059</v>
      </c>
      <c r="N107" s="3">
        <v>44111</v>
      </c>
      <c r="O107" s="4">
        <v>51.304000000000002</v>
      </c>
      <c r="P107" s="2" t="s">
        <v>33</v>
      </c>
      <c r="Q107" s="2" t="s">
        <v>210</v>
      </c>
      <c r="R107" s="2" t="s">
        <v>364</v>
      </c>
      <c r="S107" s="2" t="s">
        <v>449</v>
      </c>
      <c r="T107" s="2" t="s">
        <v>72</v>
      </c>
      <c r="U107" s="2" t="s">
        <v>290</v>
      </c>
      <c r="V107" s="2" t="s">
        <v>65</v>
      </c>
      <c r="W107" s="2" t="s">
        <v>1153</v>
      </c>
      <c r="X107" s="2" t="s">
        <v>412</v>
      </c>
      <c r="Y107" s="2" t="s">
        <v>443</v>
      </c>
      <c r="Z107" s="2" t="s">
        <v>1154</v>
      </c>
      <c r="AA107" s="2" t="s">
        <v>39</v>
      </c>
      <c r="AB107" s="2" t="s">
        <v>414</v>
      </c>
      <c r="AC107" s="14">
        <f t="shared" si="32"/>
        <v>44059</v>
      </c>
      <c r="AD107" s="14">
        <f t="shared" si="33"/>
        <v>44111</v>
      </c>
      <c r="AE107">
        <v>0</v>
      </c>
    </row>
    <row r="108" spans="1:33" x14ac:dyDescent="0.2">
      <c r="A108" s="2" t="s">
        <v>431</v>
      </c>
      <c r="B108" s="3">
        <v>44058</v>
      </c>
      <c r="C108" s="2" t="s">
        <v>1155</v>
      </c>
      <c r="D108" s="2" t="s">
        <v>74</v>
      </c>
      <c r="E108" s="2" t="s">
        <v>141</v>
      </c>
      <c r="F108" s="2" t="s">
        <v>142</v>
      </c>
      <c r="G108" s="2" t="s">
        <v>1156</v>
      </c>
      <c r="H108" s="2" t="s">
        <v>1157</v>
      </c>
      <c r="I108" s="2" t="s">
        <v>143</v>
      </c>
      <c r="J108" s="2" t="s">
        <v>58</v>
      </c>
      <c r="K108" s="2" t="s">
        <v>496</v>
      </c>
      <c r="L108" s="2" t="s">
        <v>1158</v>
      </c>
      <c r="M108" s="3">
        <v>44059</v>
      </c>
      <c r="N108" s="3">
        <v>44108</v>
      </c>
      <c r="O108" s="4">
        <v>111.33499999999999</v>
      </c>
      <c r="P108" s="2" t="s">
        <v>33</v>
      </c>
      <c r="Q108" s="2" t="s">
        <v>145</v>
      </c>
      <c r="R108" s="2" t="s">
        <v>146</v>
      </c>
      <c r="S108" s="2" t="s">
        <v>415</v>
      </c>
      <c r="T108" s="2" t="s">
        <v>61</v>
      </c>
      <c r="U108" s="2" t="s">
        <v>290</v>
      </c>
      <c r="V108" s="2" t="s">
        <v>43</v>
      </c>
      <c r="W108" s="2" t="s">
        <v>1159</v>
      </c>
      <c r="X108" s="2" t="s">
        <v>412</v>
      </c>
      <c r="Y108" s="2" t="s">
        <v>434</v>
      </c>
      <c r="Z108" s="2" t="s">
        <v>412</v>
      </c>
      <c r="AA108" s="2" t="s">
        <v>39</v>
      </c>
      <c r="AB108" s="2" t="s">
        <v>414</v>
      </c>
      <c r="AC108" s="14">
        <f t="shared" si="32"/>
        <v>44059</v>
      </c>
      <c r="AD108" s="14">
        <f t="shared" si="33"/>
        <v>44108</v>
      </c>
      <c r="AE108">
        <v>0</v>
      </c>
    </row>
    <row r="109" spans="1:33" x14ac:dyDescent="0.2">
      <c r="A109" s="2" t="s">
        <v>431</v>
      </c>
      <c r="B109" s="3">
        <v>44048</v>
      </c>
      <c r="C109" s="2" t="s">
        <v>1048</v>
      </c>
      <c r="D109" s="2" t="s">
        <v>62</v>
      </c>
      <c r="E109" s="2" t="s">
        <v>324</v>
      </c>
      <c r="F109" s="2" t="s">
        <v>325</v>
      </c>
      <c r="G109" s="2" t="s">
        <v>1049</v>
      </c>
      <c r="H109" s="2" t="s">
        <v>1050</v>
      </c>
      <c r="I109" s="2" t="s">
        <v>112</v>
      </c>
      <c r="J109" s="2" t="s">
        <v>32</v>
      </c>
      <c r="K109" s="2" t="s">
        <v>1051</v>
      </c>
      <c r="L109" s="2" t="s">
        <v>113</v>
      </c>
      <c r="M109" s="3">
        <v>44059</v>
      </c>
      <c r="N109" s="3">
        <v>44084</v>
      </c>
      <c r="O109" s="4">
        <v>500</v>
      </c>
      <c r="P109" s="2" t="s">
        <v>114</v>
      </c>
      <c r="Q109" s="2" t="s">
        <v>115</v>
      </c>
      <c r="R109" s="2" t="s">
        <v>116</v>
      </c>
      <c r="S109" s="2" t="s">
        <v>439</v>
      </c>
      <c r="T109" s="2" t="s">
        <v>117</v>
      </c>
      <c r="U109" s="2" t="s">
        <v>290</v>
      </c>
      <c r="V109" s="2" t="s">
        <v>118</v>
      </c>
      <c r="W109" s="2" t="s">
        <v>412</v>
      </c>
      <c r="X109" s="2" t="s">
        <v>412</v>
      </c>
      <c r="Y109" s="2" t="s">
        <v>440</v>
      </c>
      <c r="Z109" s="2" t="s">
        <v>412</v>
      </c>
      <c r="AA109" s="2" t="s">
        <v>39</v>
      </c>
      <c r="AB109" s="2" t="s">
        <v>441</v>
      </c>
      <c r="AC109" s="14">
        <f t="shared" si="32"/>
        <v>44059</v>
      </c>
      <c r="AD109" s="14">
        <f t="shared" si="33"/>
        <v>44084</v>
      </c>
      <c r="AE109">
        <v>0</v>
      </c>
    </row>
    <row r="110" spans="1:33" x14ac:dyDescent="0.2">
      <c r="A110" s="2" t="s">
        <v>431</v>
      </c>
      <c r="B110" s="3">
        <v>44048</v>
      </c>
      <c r="C110" s="2" t="s">
        <v>1048</v>
      </c>
      <c r="D110" s="2" t="s">
        <v>62</v>
      </c>
      <c r="E110" s="2" t="s">
        <v>324</v>
      </c>
      <c r="F110" s="2" t="s">
        <v>325</v>
      </c>
      <c r="G110" s="2" t="s">
        <v>1052</v>
      </c>
      <c r="H110" s="2" t="s">
        <v>1053</v>
      </c>
      <c r="I110" s="2" t="s">
        <v>112</v>
      </c>
      <c r="J110" s="2" t="s">
        <v>32</v>
      </c>
      <c r="K110" s="2" t="s">
        <v>1051</v>
      </c>
      <c r="L110" s="2" t="s">
        <v>113</v>
      </c>
      <c r="M110" s="3">
        <v>44059</v>
      </c>
      <c r="N110" s="3">
        <v>44084</v>
      </c>
      <c r="O110" s="4">
        <v>500</v>
      </c>
      <c r="P110" s="2" t="s">
        <v>114</v>
      </c>
      <c r="Q110" s="2" t="s">
        <v>115</v>
      </c>
      <c r="R110" s="2" t="s">
        <v>116</v>
      </c>
      <c r="S110" s="2" t="s">
        <v>439</v>
      </c>
      <c r="T110" s="2" t="s">
        <v>117</v>
      </c>
      <c r="U110" s="2" t="s">
        <v>290</v>
      </c>
      <c r="V110" s="2" t="s">
        <v>118</v>
      </c>
      <c r="W110" s="2" t="s">
        <v>412</v>
      </c>
      <c r="X110" s="2" t="s">
        <v>412</v>
      </c>
      <c r="Y110" s="2" t="s">
        <v>440</v>
      </c>
      <c r="Z110" s="2" t="s">
        <v>412</v>
      </c>
      <c r="AA110" s="2" t="s">
        <v>39</v>
      </c>
      <c r="AB110" s="2" t="s">
        <v>441</v>
      </c>
      <c r="AC110" s="14">
        <f t="shared" si="32"/>
        <v>44059</v>
      </c>
      <c r="AD110" s="14">
        <f t="shared" si="33"/>
        <v>44084</v>
      </c>
      <c r="AE110">
        <v>0</v>
      </c>
    </row>
    <row r="111" spans="1:33" x14ac:dyDescent="0.2">
      <c r="A111" s="2" t="s">
        <v>431</v>
      </c>
      <c r="B111" s="3">
        <v>44058</v>
      </c>
      <c r="C111" s="2" t="s">
        <v>1048</v>
      </c>
      <c r="D111" s="2" t="s">
        <v>102</v>
      </c>
      <c r="E111" s="2" t="s">
        <v>662</v>
      </c>
      <c r="F111" s="2" t="s">
        <v>663</v>
      </c>
      <c r="G111" s="2" t="s">
        <v>1054</v>
      </c>
      <c r="H111" s="2" t="s">
        <v>1055</v>
      </c>
      <c r="I111" s="2" t="s">
        <v>112</v>
      </c>
      <c r="J111" s="2" t="s">
        <v>32</v>
      </c>
      <c r="K111" s="2" t="s">
        <v>1051</v>
      </c>
      <c r="L111" s="2" t="s">
        <v>113</v>
      </c>
      <c r="M111" s="3">
        <v>44059</v>
      </c>
      <c r="N111" s="3">
        <v>44091</v>
      </c>
      <c r="O111" s="4">
        <v>400</v>
      </c>
      <c r="P111" s="2" t="s">
        <v>114</v>
      </c>
      <c r="Q111" s="2" t="s">
        <v>131</v>
      </c>
      <c r="R111" s="2" t="s">
        <v>132</v>
      </c>
      <c r="S111" s="2" t="s">
        <v>439</v>
      </c>
      <c r="T111" s="2" t="s">
        <v>117</v>
      </c>
      <c r="U111" s="2" t="s">
        <v>290</v>
      </c>
      <c r="V111" s="2" t="s">
        <v>118</v>
      </c>
      <c r="W111" s="2" t="s">
        <v>412</v>
      </c>
      <c r="X111" s="2" t="s">
        <v>412</v>
      </c>
      <c r="Y111" s="2" t="s">
        <v>445</v>
      </c>
      <c r="Z111" s="2" t="s">
        <v>412</v>
      </c>
      <c r="AA111" s="2" t="s">
        <v>39</v>
      </c>
      <c r="AB111" s="2" t="s">
        <v>441</v>
      </c>
      <c r="AC111" s="14">
        <f t="shared" si="32"/>
        <v>44059</v>
      </c>
      <c r="AD111" s="14">
        <f t="shared" si="33"/>
        <v>44091</v>
      </c>
      <c r="AE111">
        <v>0</v>
      </c>
    </row>
    <row r="112" spans="1:33" x14ac:dyDescent="0.2">
      <c r="A112" s="2" t="s">
        <v>431</v>
      </c>
      <c r="B112" s="3">
        <v>44058</v>
      </c>
      <c r="C112" s="2" t="s">
        <v>1048</v>
      </c>
      <c r="D112" s="2" t="s">
        <v>102</v>
      </c>
      <c r="E112" s="2" t="s">
        <v>123</v>
      </c>
      <c r="F112" s="2" t="s">
        <v>124</v>
      </c>
      <c r="G112" s="2" t="s">
        <v>1056</v>
      </c>
      <c r="H112" s="2" t="s">
        <v>1057</v>
      </c>
      <c r="I112" s="2" t="s">
        <v>125</v>
      </c>
      <c r="J112" s="2" t="s">
        <v>58</v>
      </c>
      <c r="K112" s="2" t="s">
        <v>1051</v>
      </c>
      <c r="L112" s="2" t="s">
        <v>113</v>
      </c>
      <c r="M112" s="3">
        <v>44059</v>
      </c>
      <c r="N112" s="3">
        <v>44089</v>
      </c>
      <c r="O112" s="4">
        <v>45</v>
      </c>
      <c r="P112" s="2" t="s">
        <v>114</v>
      </c>
      <c r="Q112" s="2" t="s">
        <v>85</v>
      </c>
      <c r="R112" s="2" t="s">
        <v>86</v>
      </c>
      <c r="S112" s="2" t="s">
        <v>439</v>
      </c>
      <c r="T112" s="2" t="s">
        <v>117</v>
      </c>
      <c r="U112" s="2" t="s">
        <v>290</v>
      </c>
      <c r="V112" s="2" t="s">
        <v>118</v>
      </c>
      <c r="W112" s="2" t="s">
        <v>412</v>
      </c>
      <c r="X112" s="2" t="s">
        <v>412</v>
      </c>
      <c r="Y112" s="2" t="s">
        <v>443</v>
      </c>
      <c r="Z112" s="2" t="s">
        <v>412</v>
      </c>
      <c r="AA112" s="2" t="s">
        <v>39</v>
      </c>
      <c r="AB112" s="2" t="s">
        <v>441</v>
      </c>
      <c r="AC112" s="14">
        <f t="shared" si="32"/>
        <v>44059</v>
      </c>
      <c r="AD112" s="14">
        <f t="shared" si="33"/>
        <v>44089</v>
      </c>
      <c r="AE112">
        <v>0</v>
      </c>
    </row>
    <row r="113" spans="1:33" x14ac:dyDescent="0.2">
      <c r="A113" s="2" t="s">
        <v>431</v>
      </c>
      <c r="B113" s="3">
        <v>44058</v>
      </c>
      <c r="C113" s="2" t="s">
        <v>1048</v>
      </c>
      <c r="D113" s="2" t="s">
        <v>102</v>
      </c>
      <c r="E113" s="2" t="s">
        <v>123</v>
      </c>
      <c r="F113" s="2" t="s">
        <v>124</v>
      </c>
      <c r="G113" s="2" t="s">
        <v>1058</v>
      </c>
      <c r="H113" s="2" t="s">
        <v>1059</v>
      </c>
      <c r="I113" s="2" t="s">
        <v>126</v>
      </c>
      <c r="J113" s="2" t="s">
        <v>58</v>
      </c>
      <c r="K113" s="2" t="s">
        <v>1051</v>
      </c>
      <c r="L113" s="2" t="s">
        <v>113</v>
      </c>
      <c r="M113" s="3">
        <v>44059</v>
      </c>
      <c r="N113" s="3">
        <v>44089</v>
      </c>
      <c r="O113" s="4">
        <v>15</v>
      </c>
      <c r="P113" s="2" t="s">
        <v>114</v>
      </c>
      <c r="Q113" s="2" t="s">
        <v>85</v>
      </c>
      <c r="R113" s="2" t="s">
        <v>86</v>
      </c>
      <c r="S113" s="2" t="s">
        <v>439</v>
      </c>
      <c r="T113" s="2" t="s">
        <v>117</v>
      </c>
      <c r="U113" s="2" t="s">
        <v>290</v>
      </c>
      <c r="V113" s="2" t="s">
        <v>118</v>
      </c>
      <c r="W113" s="2" t="s">
        <v>412</v>
      </c>
      <c r="X113" s="2" t="s">
        <v>412</v>
      </c>
      <c r="Y113" s="2" t="s">
        <v>411</v>
      </c>
      <c r="Z113" s="2" t="s">
        <v>412</v>
      </c>
      <c r="AA113" s="2" t="s">
        <v>39</v>
      </c>
      <c r="AB113" s="2" t="s">
        <v>441</v>
      </c>
      <c r="AC113" s="14">
        <f t="shared" si="32"/>
        <v>44059</v>
      </c>
      <c r="AD113" s="14">
        <f t="shared" si="33"/>
        <v>44089</v>
      </c>
      <c r="AE113">
        <v>0</v>
      </c>
    </row>
    <row r="114" spans="1:33" x14ac:dyDescent="0.2">
      <c r="A114" s="2" t="s">
        <v>431</v>
      </c>
      <c r="B114" s="3">
        <v>44058</v>
      </c>
      <c r="C114" s="2" t="s">
        <v>1048</v>
      </c>
      <c r="D114" s="2" t="s">
        <v>102</v>
      </c>
      <c r="E114" s="2" t="s">
        <v>127</v>
      </c>
      <c r="F114" s="2" t="s">
        <v>124</v>
      </c>
      <c r="G114" s="2" t="s">
        <v>1060</v>
      </c>
      <c r="H114" s="2" t="s">
        <v>1061</v>
      </c>
      <c r="I114" s="2" t="s">
        <v>125</v>
      </c>
      <c r="J114" s="2" t="s">
        <v>58</v>
      </c>
      <c r="K114" s="2" t="s">
        <v>1051</v>
      </c>
      <c r="L114" s="2" t="s">
        <v>113</v>
      </c>
      <c r="M114" s="3">
        <v>44059</v>
      </c>
      <c r="N114" s="3">
        <v>44089</v>
      </c>
      <c r="O114" s="4">
        <v>60</v>
      </c>
      <c r="P114" s="2" t="s">
        <v>114</v>
      </c>
      <c r="Q114" s="2" t="s">
        <v>85</v>
      </c>
      <c r="R114" s="2" t="s">
        <v>86</v>
      </c>
      <c r="S114" s="2" t="s">
        <v>439</v>
      </c>
      <c r="T114" s="2" t="s">
        <v>117</v>
      </c>
      <c r="U114" s="2" t="s">
        <v>290</v>
      </c>
      <c r="V114" s="2" t="s">
        <v>118</v>
      </c>
      <c r="W114" s="2" t="s">
        <v>412</v>
      </c>
      <c r="X114" s="2" t="s">
        <v>412</v>
      </c>
      <c r="Y114" s="2" t="s">
        <v>444</v>
      </c>
      <c r="Z114" s="2" t="s">
        <v>412</v>
      </c>
      <c r="AA114" s="2" t="s">
        <v>39</v>
      </c>
      <c r="AB114" s="2" t="s">
        <v>441</v>
      </c>
      <c r="AC114" s="14">
        <f t="shared" si="32"/>
        <v>44059</v>
      </c>
      <c r="AD114" s="14">
        <f t="shared" si="33"/>
        <v>44089</v>
      </c>
      <c r="AE114">
        <v>0</v>
      </c>
    </row>
    <row r="115" spans="1:33" x14ac:dyDescent="0.2">
      <c r="A115" s="2" t="s">
        <v>431</v>
      </c>
      <c r="B115" s="3">
        <v>44058</v>
      </c>
      <c r="C115" s="2" t="s">
        <v>1048</v>
      </c>
      <c r="D115" s="2" t="s">
        <v>102</v>
      </c>
      <c r="E115" s="2" t="s">
        <v>128</v>
      </c>
      <c r="F115" s="2" t="s">
        <v>124</v>
      </c>
      <c r="G115" s="2" t="s">
        <v>1062</v>
      </c>
      <c r="H115" s="2" t="s">
        <v>1063</v>
      </c>
      <c r="I115" s="2" t="s">
        <v>125</v>
      </c>
      <c r="J115" s="2" t="s">
        <v>58</v>
      </c>
      <c r="K115" s="2" t="s">
        <v>1051</v>
      </c>
      <c r="L115" s="2" t="s">
        <v>113</v>
      </c>
      <c r="M115" s="3">
        <v>44059</v>
      </c>
      <c r="N115" s="3">
        <v>44089</v>
      </c>
      <c r="O115" s="4">
        <v>20</v>
      </c>
      <c r="P115" s="2" t="s">
        <v>114</v>
      </c>
      <c r="Q115" s="2" t="s">
        <v>85</v>
      </c>
      <c r="R115" s="2" t="s">
        <v>86</v>
      </c>
      <c r="S115" s="2" t="s">
        <v>439</v>
      </c>
      <c r="T115" s="2" t="s">
        <v>117</v>
      </c>
      <c r="U115" s="2" t="s">
        <v>290</v>
      </c>
      <c r="V115" s="2" t="s">
        <v>118</v>
      </c>
      <c r="W115" s="2" t="s">
        <v>412</v>
      </c>
      <c r="X115" s="2" t="s">
        <v>412</v>
      </c>
      <c r="Y115" s="2" t="s">
        <v>416</v>
      </c>
      <c r="Z115" s="2" t="s">
        <v>412</v>
      </c>
      <c r="AA115" s="2" t="s">
        <v>39</v>
      </c>
      <c r="AB115" s="2" t="s">
        <v>441</v>
      </c>
      <c r="AC115" s="14">
        <f t="shared" si="32"/>
        <v>44059</v>
      </c>
      <c r="AD115" s="14">
        <f t="shared" si="33"/>
        <v>44089</v>
      </c>
      <c r="AE115">
        <v>0</v>
      </c>
    </row>
    <row r="116" spans="1:33" x14ac:dyDescent="0.2">
      <c r="A116" s="2" t="s">
        <v>431</v>
      </c>
      <c r="B116" s="3">
        <v>44058</v>
      </c>
      <c r="C116" s="2" t="s">
        <v>1048</v>
      </c>
      <c r="D116" s="2" t="s">
        <v>102</v>
      </c>
      <c r="E116" s="2" t="s">
        <v>322</v>
      </c>
      <c r="F116" s="2" t="s">
        <v>331</v>
      </c>
      <c r="G116" s="2" t="s">
        <v>1064</v>
      </c>
      <c r="H116" s="2" t="s">
        <v>1065</v>
      </c>
      <c r="I116" s="2" t="s">
        <v>112</v>
      </c>
      <c r="J116" s="2" t="s">
        <v>32</v>
      </c>
      <c r="K116" s="2" t="s">
        <v>1051</v>
      </c>
      <c r="L116" s="2" t="s">
        <v>113</v>
      </c>
      <c r="M116" s="3">
        <v>44059</v>
      </c>
      <c r="N116" s="3">
        <v>44091</v>
      </c>
      <c r="O116" s="4">
        <v>50</v>
      </c>
      <c r="P116" s="2" t="s">
        <v>114</v>
      </c>
      <c r="Q116" s="2" t="s">
        <v>131</v>
      </c>
      <c r="R116" s="2" t="s">
        <v>132</v>
      </c>
      <c r="S116" s="2" t="s">
        <v>439</v>
      </c>
      <c r="T116" s="2" t="s">
        <v>117</v>
      </c>
      <c r="U116" s="2" t="s">
        <v>290</v>
      </c>
      <c r="V116" s="2" t="s">
        <v>118</v>
      </c>
      <c r="W116" s="2" t="s">
        <v>412</v>
      </c>
      <c r="X116" s="2" t="s">
        <v>412</v>
      </c>
      <c r="Y116" s="2" t="s">
        <v>467</v>
      </c>
      <c r="Z116" s="2" t="s">
        <v>412</v>
      </c>
      <c r="AA116" s="2" t="s">
        <v>39</v>
      </c>
      <c r="AB116" s="2" t="s">
        <v>441</v>
      </c>
      <c r="AC116" s="14">
        <f t="shared" si="32"/>
        <v>44059</v>
      </c>
      <c r="AD116" s="14">
        <f t="shared" si="33"/>
        <v>44091</v>
      </c>
      <c r="AE116">
        <v>0</v>
      </c>
    </row>
    <row r="117" spans="1:33" x14ac:dyDescent="0.2">
      <c r="A117" s="2" t="s">
        <v>431</v>
      </c>
      <c r="B117" s="3">
        <v>44058</v>
      </c>
      <c r="C117" s="2" t="s">
        <v>1048</v>
      </c>
      <c r="D117" s="2" t="s">
        <v>102</v>
      </c>
      <c r="E117" s="2" t="s">
        <v>322</v>
      </c>
      <c r="F117" s="2" t="s">
        <v>687</v>
      </c>
      <c r="G117" s="2" t="s">
        <v>1066</v>
      </c>
      <c r="H117" s="2" t="s">
        <v>1067</v>
      </c>
      <c r="I117" s="2" t="s">
        <v>112</v>
      </c>
      <c r="J117" s="2" t="s">
        <v>32</v>
      </c>
      <c r="K117" s="2" t="s">
        <v>1051</v>
      </c>
      <c r="L117" s="2" t="s">
        <v>113</v>
      </c>
      <c r="M117" s="3">
        <v>44059</v>
      </c>
      <c r="N117" s="3">
        <v>44091</v>
      </c>
      <c r="O117" s="4">
        <v>200</v>
      </c>
      <c r="P117" s="2" t="s">
        <v>114</v>
      </c>
      <c r="Q117" s="2" t="s">
        <v>131</v>
      </c>
      <c r="R117" s="2" t="s">
        <v>132</v>
      </c>
      <c r="S117" s="2" t="s">
        <v>439</v>
      </c>
      <c r="T117" s="2" t="s">
        <v>117</v>
      </c>
      <c r="U117" s="2" t="s">
        <v>290</v>
      </c>
      <c r="V117" s="2" t="s">
        <v>118</v>
      </c>
      <c r="W117" s="2" t="s">
        <v>412</v>
      </c>
      <c r="X117" s="2" t="s">
        <v>412</v>
      </c>
      <c r="Y117" s="2" t="s">
        <v>690</v>
      </c>
      <c r="Z117" s="2" t="s">
        <v>412</v>
      </c>
      <c r="AA117" s="2" t="s">
        <v>39</v>
      </c>
      <c r="AB117" s="2" t="s">
        <v>441</v>
      </c>
      <c r="AC117" s="14">
        <f t="shared" si="32"/>
        <v>44059</v>
      </c>
      <c r="AD117" s="14">
        <f t="shared" si="33"/>
        <v>44091</v>
      </c>
      <c r="AE117">
        <v>0</v>
      </c>
    </row>
    <row r="118" spans="1:33" x14ac:dyDescent="0.2">
      <c r="A118" s="2" t="s">
        <v>410</v>
      </c>
      <c r="B118" s="3">
        <v>44068</v>
      </c>
      <c r="C118" s="2" t="s">
        <v>922</v>
      </c>
      <c r="D118" s="2" t="s">
        <v>28</v>
      </c>
      <c r="E118" s="2" t="s">
        <v>80</v>
      </c>
      <c r="F118" s="2" t="s">
        <v>81</v>
      </c>
      <c r="G118" s="2" t="s">
        <v>923</v>
      </c>
      <c r="H118" s="2" t="s">
        <v>924</v>
      </c>
      <c r="I118" s="2" t="s">
        <v>82</v>
      </c>
      <c r="J118" s="2" t="s">
        <v>83</v>
      </c>
      <c r="K118" s="2" t="s">
        <v>920</v>
      </c>
      <c r="L118" s="2" t="s">
        <v>831</v>
      </c>
      <c r="M118" s="3">
        <v>44060</v>
      </c>
      <c r="N118" s="3">
        <v>44082</v>
      </c>
      <c r="O118" s="4">
        <v>343.10300000000001</v>
      </c>
      <c r="P118" s="2" t="s">
        <v>492</v>
      </c>
      <c r="Q118" s="2" t="s">
        <v>85</v>
      </c>
      <c r="R118" s="2" t="s">
        <v>86</v>
      </c>
      <c r="S118" s="2" t="s">
        <v>459</v>
      </c>
      <c r="T118" s="2" t="s">
        <v>87</v>
      </c>
      <c r="U118" s="2" t="s">
        <v>37</v>
      </c>
      <c r="V118" s="2" t="s">
        <v>493</v>
      </c>
      <c r="W118" s="2" t="s">
        <v>925</v>
      </c>
      <c r="X118" s="2" t="s">
        <v>412</v>
      </c>
      <c r="Y118" s="2" t="s">
        <v>926</v>
      </c>
      <c r="Z118" s="2" t="s">
        <v>412</v>
      </c>
      <c r="AA118" s="2" t="s">
        <v>39</v>
      </c>
      <c r="AB118" s="2" t="s">
        <v>414</v>
      </c>
      <c r="AC118" s="14">
        <f t="shared" si="32"/>
        <v>44060</v>
      </c>
      <c r="AD118" s="14">
        <f t="shared" si="33"/>
        <v>44082</v>
      </c>
      <c r="AE118" s="2">
        <v>0</v>
      </c>
    </row>
    <row r="119" spans="1:33" x14ac:dyDescent="0.2">
      <c r="A119" s="2" t="s">
        <v>410</v>
      </c>
      <c r="B119" s="3">
        <v>44053</v>
      </c>
      <c r="C119" s="2" t="s">
        <v>922</v>
      </c>
      <c r="D119" s="2" t="s">
        <v>102</v>
      </c>
      <c r="E119" s="2" t="s">
        <v>191</v>
      </c>
      <c r="F119" s="2" t="s">
        <v>192</v>
      </c>
      <c r="G119" s="2" t="s">
        <v>927</v>
      </c>
      <c r="H119" s="2" t="s">
        <v>928</v>
      </c>
      <c r="I119" s="2" t="s">
        <v>193</v>
      </c>
      <c r="J119" s="2" t="s">
        <v>83</v>
      </c>
      <c r="K119" s="2" t="s">
        <v>920</v>
      </c>
      <c r="L119" s="2" t="s">
        <v>831</v>
      </c>
      <c r="M119" s="3">
        <v>44060</v>
      </c>
      <c r="N119" s="3">
        <v>44082</v>
      </c>
      <c r="O119" s="4">
        <v>99.534000000000006</v>
      </c>
      <c r="P119" s="2" t="s">
        <v>492</v>
      </c>
      <c r="Q119" s="2" t="s">
        <v>85</v>
      </c>
      <c r="R119" s="2" t="s">
        <v>194</v>
      </c>
      <c r="S119" s="2" t="s">
        <v>419</v>
      </c>
      <c r="T119" s="2" t="s">
        <v>87</v>
      </c>
      <c r="U119" s="2" t="s">
        <v>37</v>
      </c>
      <c r="V119" s="2" t="s">
        <v>493</v>
      </c>
      <c r="W119" s="2" t="s">
        <v>929</v>
      </c>
      <c r="X119" s="2" t="s">
        <v>412</v>
      </c>
      <c r="Y119" s="2" t="s">
        <v>930</v>
      </c>
      <c r="Z119" s="2" t="s">
        <v>412</v>
      </c>
      <c r="AA119" s="2" t="s">
        <v>39</v>
      </c>
      <c r="AB119" s="2" t="s">
        <v>414</v>
      </c>
      <c r="AC119" s="14">
        <f t="shared" si="32"/>
        <v>44060</v>
      </c>
      <c r="AD119" s="14">
        <f t="shared" si="33"/>
        <v>44082</v>
      </c>
      <c r="AE119" s="2">
        <v>0</v>
      </c>
    </row>
    <row r="120" spans="1:33" x14ac:dyDescent="0.2">
      <c r="A120" s="2" t="s">
        <v>427</v>
      </c>
      <c r="B120" s="3">
        <v>44053</v>
      </c>
      <c r="C120" s="2" t="s">
        <v>951</v>
      </c>
      <c r="D120" s="2" t="s">
        <v>62</v>
      </c>
      <c r="E120" s="2" t="s">
        <v>217</v>
      </c>
      <c r="F120" s="2" t="s">
        <v>218</v>
      </c>
      <c r="G120" s="2" t="s">
        <v>952</v>
      </c>
      <c r="H120" s="2" t="s">
        <v>953</v>
      </c>
      <c r="I120" s="2" t="s">
        <v>77</v>
      </c>
      <c r="J120" s="2" t="s">
        <v>32</v>
      </c>
      <c r="K120" s="2" t="s">
        <v>390</v>
      </c>
      <c r="L120" s="2" t="s">
        <v>954</v>
      </c>
      <c r="M120" s="3">
        <v>44055</v>
      </c>
      <c r="N120" s="3">
        <v>44082</v>
      </c>
      <c r="O120" s="4">
        <v>499.27699999999999</v>
      </c>
      <c r="P120" s="2" t="s">
        <v>48</v>
      </c>
      <c r="Q120" s="2" t="s">
        <v>34</v>
      </c>
      <c r="R120" s="2" t="s">
        <v>35</v>
      </c>
      <c r="S120" s="2" t="s">
        <v>428</v>
      </c>
      <c r="T120" s="2" t="s">
        <v>36</v>
      </c>
      <c r="U120" s="2" t="s">
        <v>37</v>
      </c>
      <c r="V120" s="2" t="s">
        <v>65</v>
      </c>
      <c r="W120" s="2" t="s">
        <v>955</v>
      </c>
      <c r="X120" s="2" t="s">
        <v>412</v>
      </c>
      <c r="Y120" s="2" t="s">
        <v>429</v>
      </c>
      <c r="Z120" s="2" t="s">
        <v>412</v>
      </c>
      <c r="AA120" s="2" t="s">
        <v>39</v>
      </c>
      <c r="AB120" s="2" t="s">
        <v>414</v>
      </c>
      <c r="AC120" s="14">
        <v>44058</v>
      </c>
      <c r="AD120" s="14">
        <v>44085</v>
      </c>
      <c r="AE120">
        <v>3</v>
      </c>
      <c r="AF120">
        <v>3</v>
      </c>
      <c r="AG120" t="s">
        <v>1778</v>
      </c>
    </row>
    <row r="121" spans="1:33" x14ac:dyDescent="0.2">
      <c r="A121" s="2" t="s">
        <v>427</v>
      </c>
      <c r="B121" s="3">
        <v>44053</v>
      </c>
      <c r="C121" s="2" t="s">
        <v>1078</v>
      </c>
      <c r="D121" s="2" t="s">
        <v>62</v>
      </c>
      <c r="E121" s="2" t="s">
        <v>212</v>
      </c>
      <c r="F121" s="2" t="s">
        <v>213</v>
      </c>
      <c r="G121" s="2" t="s">
        <v>1079</v>
      </c>
      <c r="H121" s="2" t="s">
        <v>1080</v>
      </c>
      <c r="I121" s="2" t="s">
        <v>77</v>
      </c>
      <c r="J121" s="2" t="s">
        <v>32</v>
      </c>
      <c r="K121" s="2" t="s">
        <v>500</v>
      </c>
      <c r="L121" s="2" t="s">
        <v>1081</v>
      </c>
      <c r="M121" s="3">
        <v>44055</v>
      </c>
      <c r="N121" s="3">
        <v>44080</v>
      </c>
      <c r="O121" s="4">
        <v>512.86800000000005</v>
      </c>
      <c r="P121" s="2" t="s">
        <v>48</v>
      </c>
      <c r="Q121" s="2" t="s">
        <v>115</v>
      </c>
      <c r="R121" s="2" t="s">
        <v>116</v>
      </c>
      <c r="S121" s="2" t="s">
        <v>447</v>
      </c>
      <c r="T121" s="2" t="s">
        <v>140</v>
      </c>
      <c r="U121" s="2" t="s">
        <v>37</v>
      </c>
      <c r="V121" s="2" t="s">
        <v>43</v>
      </c>
      <c r="W121" s="2" t="s">
        <v>1082</v>
      </c>
      <c r="X121" s="2" t="s">
        <v>412</v>
      </c>
      <c r="Y121" s="2" t="s">
        <v>448</v>
      </c>
      <c r="Z121" s="2" t="s">
        <v>1083</v>
      </c>
      <c r="AA121" s="2" t="s">
        <v>39</v>
      </c>
      <c r="AB121" s="2" t="s">
        <v>414</v>
      </c>
      <c r="AC121" s="14">
        <v>44058</v>
      </c>
      <c r="AD121" s="14">
        <v>44083</v>
      </c>
      <c r="AE121" s="2">
        <v>3</v>
      </c>
      <c r="AF121" s="2">
        <v>3</v>
      </c>
      <c r="AG121" s="2" t="s">
        <v>1778</v>
      </c>
    </row>
    <row r="122" spans="1:33" x14ac:dyDescent="0.2">
      <c r="A122" s="2" t="s">
        <v>410</v>
      </c>
      <c r="B122" s="3">
        <v>44073</v>
      </c>
      <c r="C122" s="2" t="s">
        <v>1084</v>
      </c>
      <c r="D122" s="2" t="s">
        <v>102</v>
      </c>
      <c r="E122" s="2" t="s">
        <v>195</v>
      </c>
      <c r="F122" s="2" t="s">
        <v>196</v>
      </c>
      <c r="G122" s="2" t="s">
        <v>1085</v>
      </c>
      <c r="H122" s="2" t="s">
        <v>1086</v>
      </c>
      <c r="I122" s="2" t="s">
        <v>94</v>
      </c>
      <c r="J122" s="2" t="s">
        <v>95</v>
      </c>
      <c r="K122" s="2" t="s">
        <v>1087</v>
      </c>
      <c r="L122" s="2" t="s">
        <v>760</v>
      </c>
      <c r="M122" s="3">
        <v>44060</v>
      </c>
      <c r="N122" s="3">
        <v>44081</v>
      </c>
      <c r="O122" s="4">
        <v>95.369</v>
      </c>
      <c r="P122" s="2" t="s">
        <v>492</v>
      </c>
      <c r="Q122" s="2" t="s">
        <v>166</v>
      </c>
      <c r="R122" s="2" t="s">
        <v>1088</v>
      </c>
      <c r="S122" s="2" t="s">
        <v>419</v>
      </c>
      <c r="T122" s="2" t="s">
        <v>87</v>
      </c>
      <c r="U122" s="2" t="s">
        <v>37</v>
      </c>
      <c r="V122" s="2" t="s">
        <v>493</v>
      </c>
      <c r="W122" s="2" t="s">
        <v>1089</v>
      </c>
      <c r="X122" s="2" t="s">
        <v>412</v>
      </c>
      <c r="Y122" s="2" t="s">
        <v>461</v>
      </c>
      <c r="Z122" s="2" t="s">
        <v>1090</v>
      </c>
      <c r="AA122" s="2" t="s">
        <v>39</v>
      </c>
      <c r="AB122" s="2" t="s">
        <v>414</v>
      </c>
      <c r="AC122" s="14">
        <v>44061</v>
      </c>
      <c r="AD122" s="14">
        <f>N122</f>
        <v>44081</v>
      </c>
      <c r="AE122">
        <v>1</v>
      </c>
      <c r="AG122" s="2" t="s">
        <v>1780</v>
      </c>
    </row>
    <row r="123" spans="1:33" x14ac:dyDescent="0.2">
      <c r="A123" s="2" t="s">
        <v>431</v>
      </c>
      <c r="B123" s="3">
        <v>44073</v>
      </c>
      <c r="C123" s="2" t="s">
        <v>1048</v>
      </c>
      <c r="D123" s="2" t="s">
        <v>28</v>
      </c>
      <c r="E123" s="2" t="s">
        <v>29</v>
      </c>
      <c r="F123" s="2" t="s">
        <v>41</v>
      </c>
      <c r="G123" s="2" t="s">
        <v>1068</v>
      </c>
      <c r="H123" s="2" t="s">
        <v>1069</v>
      </c>
      <c r="I123" s="2" t="s">
        <v>112</v>
      </c>
      <c r="J123" s="2" t="s">
        <v>32</v>
      </c>
      <c r="K123" s="2" t="s">
        <v>1051</v>
      </c>
      <c r="L123" s="2" t="s">
        <v>113</v>
      </c>
      <c r="M123" s="3">
        <v>44059</v>
      </c>
      <c r="N123" s="3">
        <v>44084</v>
      </c>
      <c r="O123" s="4">
        <v>500</v>
      </c>
      <c r="P123" s="2" t="s">
        <v>114</v>
      </c>
      <c r="Q123" s="2" t="s">
        <v>115</v>
      </c>
      <c r="R123" s="2" t="s">
        <v>116</v>
      </c>
      <c r="S123" s="2" t="s">
        <v>439</v>
      </c>
      <c r="T123" s="2" t="s">
        <v>117</v>
      </c>
      <c r="U123" s="2" t="s">
        <v>290</v>
      </c>
      <c r="V123" s="2" t="s">
        <v>118</v>
      </c>
      <c r="W123" s="2" t="s">
        <v>412</v>
      </c>
      <c r="X123" s="2" t="s">
        <v>412</v>
      </c>
      <c r="Y123" s="2" t="s">
        <v>440</v>
      </c>
      <c r="Z123" s="2" t="s">
        <v>412</v>
      </c>
      <c r="AA123" s="2" t="s">
        <v>39</v>
      </c>
      <c r="AB123" s="2" t="s">
        <v>441</v>
      </c>
      <c r="AC123" s="14">
        <f>M123</f>
        <v>44059</v>
      </c>
      <c r="AD123" s="14">
        <f>N123</f>
        <v>44084</v>
      </c>
      <c r="AE123">
        <v>0</v>
      </c>
    </row>
    <row r="124" spans="1:33" x14ac:dyDescent="0.2">
      <c r="A124" s="2" t="s">
        <v>410</v>
      </c>
      <c r="B124" s="3">
        <v>44048</v>
      </c>
      <c r="C124" s="2" t="s">
        <v>986</v>
      </c>
      <c r="D124" s="2" t="s">
        <v>44</v>
      </c>
      <c r="E124" s="2" t="s">
        <v>269</v>
      </c>
      <c r="F124" s="2" t="s">
        <v>270</v>
      </c>
      <c r="G124" s="2" t="s">
        <v>987</v>
      </c>
      <c r="H124" s="2" t="s">
        <v>988</v>
      </c>
      <c r="I124" s="2" t="s">
        <v>94</v>
      </c>
      <c r="J124" s="2" t="s">
        <v>95</v>
      </c>
      <c r="K124" s="2" t="s">
        <v>177</v>
      </c>
      <c r="L124" s="2" t="s">
        <v>989</v>
      </c>
      <c r="M124" s="3">
        <v>44058</v>
      </c>
      <c r="N124" s="3">
        <v>44064</v>
      </c>
      <c r="O124" s="4">
        <v>166.995</v>
      </c>
      <c r="P124" s="2" t="s">
        <v>84</v>
      </c>
      <c r="Q124" s="2" t="s">
        <v>271</v>
      </c>
      <c r="R124" s="2" t="s">
        <v>272</v>
      </c>
      <c r="S124" s="2" t="s">
        <v>466</v>
      </c>
      <c r="T124" s="2" t="s">
        <v>87</v>
      </c>
      <c r="U124" s="2" t="s">
        <v>37</v>
      </c>
      <c r="V124" s="2" t="s">
        <v>88</v>
      </c>
      <c r="W124" s="2" t="s">
        <v>990</v>
      </c>
      <c r="X124" s="2" t="s">
        <v>412</v>
      </c>
      <c r="Y124" s="2" t="s">
        <v>991</v>
      </c>
      <c r="Z124" s="2" t="s">
        <v>992</v>
      </c>
      <c r="AA124" s="2" t="s">
        <v>39</v>
      </c>
      <c r="AB124" s="2" t="s">
        <v>414</v>
      </c>
      <c r="AC124" s="14">
        <f t="shared" ref="AC124:AC137" si="34">M124</f>
        <v>44058</v>
      </c>
      <c r="AD124" s="14">
        <f t="shared" ref="AD124:AD137" si="35">N124</f>
        <v>44064</v>
      </c>
      <c r="AE124" s="2">
        <v>0</v>
      </c>
      <c r="AF124" s="2">
        <v>0</v>
      </c>
    </row>
    <row r="125" spans="1:33" x14ac:dyDescent="0.2">
      <c r="A125" s="2" t="s">
        <v>410</v>
      </c>
      <c r="B125" s="3">
        <v>44073</v>
      </c>
      <c r="C125" s="2" t="s">
        <v>986</v>
      </c>
      <c r="D125" s="2" t="s">
        <v>152</v>
      </c>
      <c r="E125" s="2" t="s">
        <v>276</v>
      </c>
      <c r="F125" s="2" t="s">
        <v>277</v>
      </c>
      <c r="G125" s="2" t="s">
        <v>1114</v>
      </c>
      <c r="H125" s="2" t="s">
        <v>1115</v>
      </c>
      <c r="I125" s="2" t="s">
        <v>202</v>
      </c>
      <c r="J125" s="2" t="s">
        <v>95</v>
      </c>
      <c r="K125" s="2" t="s">
        <v>177</v>
      </c>
      <c r="L125" s="2" t="s">
        <v>989</v>
      </c>
      <c r="M125" s="3">
        <v>44058</v>
      </c>
      <c r="N125" s="3">
        <v>44092</v>
      </c>
      <c r="O125" s="4">
        <v>406.62299999999999</v>
      </c>
      <c r="P125" s="2" t="s">
        <v>84</v>
      </c>
      <c r="Q125" s="2" t="s">
        <v>278</v>
      </c>
      <c r="R125" s="2" t="s">
        <v>279</v>
      </c>
      <c r="S125" s="2" t="s">
        <v>452</v>
      </c>
      <c r="T125" s="2" t="s">
        <v>87</v>
      </c>
      <c r="U125" s="2" t="s">
        <v>290</v>
      </c>
      <c r="V125" s="2" t="s">
        <v>88</v>
      </c>
      <c r="W125" s="2" t="s">
        <v>412</v>
      </c>
      <c r="X125" s="2" t="s">
        <v>412</v>
      </c>
      <c r="Y125" s="2" t="s">
        <v>1118</v>
      </c>
      <c r="Z125" s="2" t="s">
        <v>962</v>
      </c>
      <c r="AA125" s="2" t="s">
        <v>39</v>
      </c>
      <c r="AB125" s="2" t="s">
        <v>414</v>
      </c>
      <c r="AC125" s="14">
        <f t="shared" si="34"/>
        <v>44058</v>
      </c>
      <c r="AD125" s="14">
        <f t="shared" si="35"/>
        <v>44092</v>
      </c>
      <c r="AE125" s="2">
        <v>0</v>
      </c>
      <c r="AF125" s="2">
        <v>0</v>
      </c>
    </row>
    <row r="126" spans="1:33" x14ac:dyDescent="0.2">
      <c r="A126" s="2" t="s">
        <v>410</v>
      </c>
      <c r="B126" s="3">
        <v>44073</v>
      </c>
      <c r="C126" s="2" t="s">
        <v>986</v>
      </c>
      <c r="D126" s="2" t="s">
        <v>54</v>
      </c>
      <c r="E126" s="2" t="s">
        <v>879</v>
      </c>
      <c r="F126" s="2" t="s">
        <v>880</v>
      </c>
      <c r="G126" s="2" t="s">
        <v>1092</v>
      </c>
      <c r="H126" s="2" t="s">
        <v>1093</v>
      </c>
      <c r="I126" s="2" t="s">
        <v>883</v>
      </c>
      <c r="J126" s="2" t="s">
        <v>83</v>
      </c>
      <c r="K126" s="2" t="s">
        <v>177</v>
      </c>
      <c r="L126" s="2" t="s">
        <v>989</v>
      </c>
      <c r="M126" s="3">
        <v>44058</v>
      </c>
      <c r="N126" s="3">
        <v>44078</v>
      </c>
      <c r="O126" s="4">
        <v>184.32</v>
      </c>
      <c r="P126" s="2" t="s">
        <v>84</v>
      </c>
      <c r="Q126" s="2" t="s">
        <v>105</v>
      </c>
      <c r="R126" s="2" t="s">
        <v>106</v>
      </c>
      <c r="S126" s="2" t="s">
        <v>420</v>
      </c>
      <c r="T126" s="2" t="s">
        <v>87</v>
      </c>
      <c r="U126" s="2" t="s">
        <v>290</v>
      </c>
      <c r="V126" s="2" t="s">
        <v>88</v>
      </c>
      <c r="W126" s="2" t="s">
        <v>412</v>
      </c>
      <c r="X126" s="2" t="s">
        <v>412</v>
      </c>
      <c r="Y126" s="2" t="s">
        <v>421</v>
      </c>
      <c r="Z126" s="2" t="s">
        <v>1096</v>
      </c>
      <c r="AA126" s="2" t="s">
        <v>39</v>
      </c>
      <c r="AB126" s="2" t="s">
        <v>414</v>
      </c>
      <c r="AC126" s="14">
        <f t="shared" si="34"/>
        <v>44058</v>
      </c>
      <c r="AD126" s="14">
        <f t="shared" si="35"/>
        <v>44078</v>
      </c>
      <c r="AE126" s="2">
        <v>0</v>
      </c>
      <c r="AF126" s="2">
        <v>0</v>
      </c>
    </row>
    <row r="127" spans="1:33" x14ac:dyDescent="0.2">
      <c r="A127" s="2" t="s">
        <v>410</v>
      </c>
      <c r="B127" s="3">
        <v>44073</v>
      </c>
      <c r="C127" s="2" t="s">
        <v>986</v>
      </c>
      <c r="D127" s="2" t="s">
        <v>91</v>
      </c>
      <c r="E127" s="2" t="s">
        <v>107</v>
      </c>
      <c r="F127" s="2" t="s">
        <v>537</v>
      </c>
      <c r="G127" s="2" t="s">
        <v>1097</v>
      </c>
      <c r="H127" s="2" t="s">
        <v>1098</v>
      </c>
      <c r="I127" s="2" t="s">
        <v>31</v>
      </c>
      <c r="J127" s="2" t="s">
        <v>32</v>
      </c>
      <c r="K127" s="2" t="s">
        <v>177</v>
      </c>
      <c r="L127" s="2" t="s">
        <v>989</v>
      </c>
      <c r="M127" s="3">
        <v>44058</v>
      </c>
      <c r="N127" s="3">
        <v>44078</v>
      </c>
      <c r="O127" s="4">
        <v>247.94</v>
      </c>
      <c r="P127" s="2" t="s">
        <v>84</v>
      </c>
      <c r="Q127" s="2" t="s">
        <v>105</v>
      </c>
      <c r="R127" s="2" t="s">
        <v>106</v>
      </c>
      <c r="S127" s="2" t="s">
        <v>456</v>
      </c>
      <c r="T127" s="2" t="s">
        <v>87</v>
      </c>
      <c r="U127" s="2" t="s">
        <v>290</v>
      </c>
      <c r="V127" s="2" t="s">
        <v>88</v>
      </c>
      <c r="W127" s="2" t="s">
        <v>412</v>
      </c>
      <c r="X127" s="2" t="s">
        <v>412</v>
      </c>
      <c r="Y127" s="2" t="s">
        <v>538</v>
      </c>
      <c r="Z127" s="2" t="s">
        <v>713</v>
      </c>
      <c r="AA127" s="2" t="s">
        <v>109</v>
      </c>
      <c r="AB127" s="2" t="s">
        <v>414</v>
      </c>
      <c r="AC127" s="14">
        <f t="shared" si="34"/>
        <v>44058</v>
      </c>
      <c r="AD127" s="14">
        <f t="shared" si="35"/>
        <v>44078</v>
      </c>
      <c r="AE127" s="2">
        <v>0</v>
      </c>
      <c r="AF127" s="2">
        <v>0</v>
      </c>
    </row>
    <row r="128" spans="1:33" x14ac:dyDescent="0.2">
      <c r="A128" s="2" t="s">
        <v>410</v>
      </c>
      <c r="B128" s="3">
        <v>44073</v>
      </c>
      <c r="C128" s="2" t="s">
        <v>986</v>
      </c>
      <c r="D128" s="2" t="s">
        <v>91</v>
      </c>
      <c r="E128" s="2" t="s">
        <v>107</v>
      </c>
      <c r="F128" s="2" t="s">
        <v>537</v>
      </c>
      <c r="G128" s="2" t="s">
        <v>993</v>
      </c>
      <c r="H128" s="2" t="s">
        <v>994</v>
      </c>
      <c r="I128" s="2" t="s">
        <v>31</v>
      </c>
      <c r="J128" s="2" t="s">
        <v>32</v>
      </c>
      <c r="K128" s="2" t="s">
        <v>177</v>
      </c>
      <c r="L128" s="2" t="s">
        <v>989</v>
      </c>
      <c r="M128" s="3">
        <v>44058</v>
      </c>
      <c r="N128" s="3">
        <v>44078</v>
      </c>
      <c r="O128" s="4">
        <v>247.96199999999999</v>
      </c>
      <c r="P128" s="2" t="s">
        <v>84</v>
      </c>
      <c r="Q128" s="2" t="s">
        <v>105</v>
      </c>
      <c r="R128" s="2" t="s">
        <v>106</v>
      </c>
      <c r="S128" s="2" t="s">
        <v>456</v>
      </c>
      <c r="T128" s="2" t="s">
        <v>87</v>
      </c>
      <c r="U128" s="2" t="s">
        <v>37</v>
      </c>
      <c r="V128" s="2" t="s">
        <v>88</v>
      </c>
      <c r="W128" s="2" t="s">
        <v>995</v>
      </c>
      <c r="X128" s="2" t="s">
        <v>412</v>
      </c>
      <c r="Y128" s="2" t="s">
        <v>538</v>
      </c>
      <c r="Z128" s="2" t="s">
        <v>996</v>
      </c>
      <c r="AA128" s="2" t="s">
        <v>109</v>
      </c>
      <c r="AB128" s="2" t="s">
        <v>414</v>
      </c>
      <c r="AC128" s="14">
        <f t="shared" si="34"/>
        <v>44058</v>
      </c>
      <c r="AD128" s="14">
        <f t="shared" si="35"/>
        <v>44078</v>
      </c>
      <c r="AE128" s="2">
        <v>0</v>
      </c>
      <c r="AF128" s="2">
        <v>0</v>
      </c>
    </row>
    <row r="129" spans="1:32" x14ac:dyDescent="0.2">
      <c r="A129" s="2" t="s">
        <v>410</v>
      </c>
      <c r="B129" s="3">
        <v>44073</v>
      </c>
      <c r="C129" s="2" t="s">
        <v>986</v>
      </c>
      <c r="D129" s="2" t="s">
        <v>28</v>
      </c>
      <c r="E129" s="2" t="s">
        <v>98</v>
      </c>
      <c r="F129" s="2" t="s">
        <v>205</v>
      </c>
      <c r="G129" s="2" t="s">
        <v>997</v>
      </c>
      <c r="H129" s="2" t="s">
        <v>998</v>
      </c>
      <c r="I129" s="2" t="s">
        <v>99</v>
      </c>
      <c r="J129" s="2" t="s">
        <v>32</v>
      </c>
      <c r="K129" s="2" t="s">
        <v>177</v>
      </c>
      <c r="L129" s="2" t="s">
        <v>989</v>
      </c>
      <c r="M129" s="3">
        <v>44058</v>
      </c>
      <c r="N129" s="3">
        <v>44088</v>
      </c>
      <c r="O129" s="4">
        <v>502.78800000000001</v>
      </c>
      <c r="P129" s="2" t="s">
        <v>84</v>
      </c>
      <c r="Q129" s="2" t="s">
        <v>34</v>
      </c>
      <c r="R129" s="2" t="s">
        <v>35</v>
      </c>
      <c r="S129" s="2" t="s">
        <v>443</v>
      </c>
      <c r="T129" s="2" t="s">
        <v>87</v>
      </c>
      <c r="U129" s="2" t="s">
        <v>37</v>
      </c>
      <c r="V129" s="2" t="s">
        <v>88</v>
      </c>
      <c r="W129" s="2" t="s">
        <v>999</v>
      </c>
      <c r="X129" s="2" t="s">
        <v>412</v>
      </c>
      <c r="Y129" s="2" t="s">
        <v>463</v>
      </c>
      <c r="Z129" s="2" t="s">
        <v>412</v>
      </c>
      <c r="AA129" s="2" t="s">
        <v>39</v>
      </c>
      <c r="AB129" s="2" t="s">
        <v>414</v>
      </c>
      <c r="AC129" s="14">
        <f t="shared" si="34"/>
        <v>44058</v>
      </c>
      <c r="AD129" s="14">
        <f t="shared" si="35"/>
        <v>44088</v>
      </c>
      <c r="AE129" s="2">
        <v>0</v>
      </c>
      <c r="AF129" s="2">
        <v>0</v>
      </c>
    </row>
    <row r="130" spans="1:32" x14ac:dyDescent="0.2">
      <c r="A130" s="2" t="s">
        <v>410</v>
      </c>
      <c r="B130" s="3">
        <v>44073</v>
      </c>
      <c r="C130" s="2" t="s">
        <v>986</v>
      </c>
      <c r="D130" s="2" t="s">
        <v>54</v>
      </c>
      <c r="E130" s="2" t="s">
        <v>103</v>
      </c>
      <c r="F130" s="2" t="s">
        <v>104</v>
      </c>
      <c r="G130" s="2" t="s">
        <v>1000</v>
      </c>
      <c r="H130" s="2" t="s">
        <v>1001</v>
      </c>
      <c r="I130" s="2" t="s">
        <v>31</v>
      </c>
      <c r="J130" s="2" t="s">
        <v>32</v>
      </c>
      <c r="K130" s="2" t="s">
        <v>177</v>
      </c>
      <c r="L130" s="2" t="s">
        <v>989</v>
      </c>
      <c r="M130" s="3">
        <v>44058</v>
      </c>
      <c r="N130" s="3">
        <v>44078</v>
      </c>
      <c r="O130" s="4">
        <v>187.583</v>
      </c>
      <c r="P130" s="2" t="s">
        <v>84</v>
      </c>
      <c r="Q130" s="2" t="s">
        <v>105</v>
      </c>
      <c r="R130" s="2" t="s">
        <v>106</v>
      </c>
      <c r="S130" s="2" t="s">
        <v>420</v>
      </c>
      <c r="T130" s="2" t="s">
        <v>87</v>
      </c>
      <c r="U130" s="2" t="s">
        <v>37</v>
      </c>
      <c r="V130" s="2" t="s">
        <v>88</v>
      </c>
      <c r="W130" s="2" t="s">
        <v>1002</v>
      </c>
      <c r="X130" s="2" t="s">
        <v>412</v>
      </c>
      <c r="Y130" s="2" t="s">
        <v>421</v>
      </c>
      <c r="Z130" s="2" t="s">
        <v>996</v>
      </c>
      <c r="AA130" s="2" t="s">
        <v>39</v>
      </c>
      <c r="AB130" s="2" t="s">
        <v>414</v>
      </c>
      <c r="AC130" s="14">
        <f t="shared" si="34"/>
        <v>44058</v>
      </c>
      <c r="AD130" s="14">
        <f t="shared" si="35"/>
        <v>44078</v>
      </c>
      <c r="AE130" s="2">
        <v>0</v>
      </c>
      <c r="AF130" s="2">
        <v>0</v>
      </c>
    </row>
    <row r="131" spans="1:32" x14ac:dyDescent="0.2">
      <c r="A131" s="2" t="s">
        <v>410</v>
      </c>
      <c r="B131" s="3">
        <v>44073</v>
      </c>
      <c r="C131" s="2" t="s">
        <v>986</v>
      </c>
      <c r="D131" s="2" t="s">
        <v>54</v>
      </c>
      <c r="E131" s="2" t="s">
        <v>103</v>
      </c>
      <c r="F131" s="2" t="s">
        <v>104</v>
      </c>
      <c r="G131" s="2" t="s">
        <v>1003</v>
      </c>
      <c r="H131" s="2" t="s">
        <v>1004</v>
      </c>
      <c r="I131" s="2" t="s">
        <v>31</v>
      </c>
      <c r="J131" s="2" t="s">
        <v>32</v>
      </c>
      <c r="K131" s="2" t="s">
        <v>177</v>
      </c>
      <c r="L131" s="2" t="s">
        <v>989</v>
      </c>
      <c r="M131" s="3">
        <v>44058</v>
      </c>
      <c r="N131" s="3">
        <v>44078</v>
      </c>
      <c r="O131" s="4">
        <v>211.245</v>
      </c>
      <c r="P131" s="2" t="s">
        <v>84</v>
      </c>
      <c r="Q131" s="2" t="s">
        <v>105</v>
      </c>
      <c r="R131" s="2" t="s">
        <v>106</v>
      </c>
      <c r="S131" s="2" t="s">
        <v>422</v>
      </c>
      <c r="T131" s="2" t="s">
        <v>87</v>
      </c>
      <c r="U131" s="2" t="s">
        <v>37</v>
      </c>
      <c r="V131" s="2" t="s">
        <v>88</v>
      </c>
      <c r="W131" s="2" t="s">
        <v>1005</v>
      </c>
      <c r="X131" s="2" t="s">
        <v>412</v>
      </c>
      <c r="Y131" s="2" t="s">
        <v>423</v>
      </c>
      <c r="Z131" s="2" t="s">
        <v>996</v>
      </c>
      <c r="AA131" s="2" t="s">
        <v>39</v>
      </c>
      <c r="AB131" s="2" t="s">
        <v>414</v>
      </c>
      <c r="AC131" s="14">
        <f t="shared" si="34"/>
        <v>44058</v>
      </c>
      <c r="AD131" s="14">
        <f t="shared" si="35"/>
        <v>44078</v>
      </c>
      <c r="AE131" s="2">
        <v>0</v>
      </c>
      <c r="AF131" s="2">
        <v>0</v>
      </c>
    </row>
    <row r="132" spans="1:32" x14ac:dyDescent="0.2">
      <c r="A132" s="2" t="s">
        <v>410</v>
      </c>
      <c r="B132" s="3">
        <v>44048</v>
      </c>
      <c r="C132" s="2" t="s">
        <v>986</v>
      </c>
      <c r="D132" s="2" t="s">
        <v>152</v>
      </c>
      <c r="E132" s="2" t="s">
        <v>138</v>
      </c>
      <c r="F132" s="2" t="s">
        <v>265</v>
      </c>
      <c r="G132" s="2" t="s">
        <v>1006</v>
      </c>
      <c r="H132" s="2" t="s">
        <v>1007</v>
      </c>
      <c r="I132" s="2" t="s">
        <v>377</v>
      </c>
      <c r="J132" s="2" t="s">
        <v>47</v>
      </c>
      <c r="K132" s="2" t="s">
        <v>177</v>
      </c>
      <c r="L132" s="2" t="s">
        <v>989</v>
      </c>
      <c r="M132" s="3">
        <v>44058</v>
      </c>
      <c r="N132" s="3">
        <v>44088</v>
      </c>
      <c r="O132" s="4">
        <v>153</v>
      </c>
      <c r="P132" s="2" t="s">
        <v>84</v>
      </c>
      <c r="Q132" s="2" t="s">
        <v>34</v>
      </c>
      <c r="R132" s="2" t="s">
        <v>266</v>
      </c>
      <c r="S132" s="2" t="s">
        <v>420</v>
      </c>
      <c r="T132" s="2" t="s">
        <v>87</v>
      </c>
      <c r="U132" s="2" t="s">
        <v>290</v>
      </c>
      <c r="V132" s="2" t="s">
        <v>88</v>
      </c>
      <c r="W132" s="2" t="s">
        <v>1008</v>
      </c>
      <c r="X132" s="2" t="s">
        <v>412</v>
      </c>
      <c r="Y132" s="2" t="s">
        <v>451</v>
      </c>
      <c r="Z132" s="2" t="s">
        <v>856</v>
      </c>
      <c r="AA132" s="2" t="s">
        <v>39</v>
      </c>
      <c r="AB132" s="2" t="s">
        <v>414</v>
      </c>
      <c r="AC132" s="14">
        <f t="shared" si="34"/>
        <v>44058</v>
      </c>
      <c r="AD132" s="14">
        <f t="shared" si="35"/>
        <v>44088</v>
      </c>
      <c r="AE132" s="2">
        <v>0</v>
      </c>
      <c r="AF132" s="2">
        <v>0</v>
      </c>
    </row>
    <row r="133" spans="1:32" x14ac:dyDescent="0.2">
      <c r="A133" s="2" t="s">
        <v>410</v>
      </c>
      <c r="B133" s="3">
        <v>44048</v>
      </c>
      <c r="C133" s="2" t="s">
        <v>986</v>
      </c>
      <c r="D133" s="2" t="s">
        <v>152</v>
      </c>
      <c r="E133" s="2" t="s">
        <v>138</v>
      </c>
      <c r="F133" s="2" t="s">
        <v>265</v>
      </c>
      <c r="G133" s="2" t="s">
        <v>1009</v>
      </c>
      <c r="H133" s="2" t="s">
        <v>1010</v>
      </c>
      <c r="I133" s="2" t="s">
        <v>1011</v>
      </c>
      <c r="J133" s="2" t="s">
        <v>47</v>
      </c>
      <c r="K133" s="2" t="s">
        <v>177</v>
      </c>
      <c r="L133" s="2" t="s">
        <v>989</v>
      </c>
      <c r="M133" s="3">
        <v>44058</v>
      </c>
      <c r="N133" s="3">
        <v>44088</v>
      </c>
      <c r="O133" s="4">
        <v>221.31200000000001</v>
      </c>
      <c r="P133" s="2" t="s">
        <v>84</v>
      </c>
      <c r="Q133" s="2" t="s">
        <v>34</v>
      </c>
      <c r="R133" s="2" t="s">
        <v>266</v>
      </c>
      <c r="S133" s="2" t="s">
        <v>420</v>
      </c>
      <c r="T133" s="2" t="s">
        <v>87</v>
      </c>
      <c r="U133" s="2" t="s">
        <v>290</v>
      </c>
      <c r="V133" s="2" t="s">
        <v>88</v>
      </c>
      <c r="W133" s="2" t="s">
        <v>1012</v>
      </c>
      <c r="X133" s="2" t="s">
        <v>412</v>
      </c>
      <c r="Y133" s="2" t="s">
        <v>451</v>
      </c>
      <c r="Z133" s="2" t="s">
        <v>856</v>
      </c>
      <c r="AA133" s="2" t="s">
        <v>39</v>
      </c>
      <c r="AB133" s="2" t="s">
        <v>414</v>
      </c>
      <c r="AC133" s="14">
        <f t="shared" si="34"/>
        <v>44058</v>
      </c>
      <c r="AD133" s="14">
        <f t="shared" si="35"/>
        <v>44088</v>
      </c>
      <c r="AE133" s="2">
        <v>0</v>
      </c>
      <c r="AF133" s="2">
        <v>0</v>
      </c>
    </row>
    <row r="134" spans="1:32" x14ac:dyDescent="0.2">
      <c r="A134" s="2" t="s">
        <v>410</v>
      </c>
      <c r="B134" s="3">
        <v>44048</v>
      </c>
      <c r="C134" s="2" t="s">
        <v>986</v>
      </c>
      <c r="D134" s="2" t="s">
        <v>152</v>
      </c>
      <c r="E134" s="2" t="s">
        <v>138</v>
      </c>
      <c r="F134" s="2" t="s">
        <v>265</v>
      </c>
      <c r="G134" s="2" t="s">
        <v>1013</v>
      </c>
      <c r="H134" s="2" t="s">
        <v>1014</v>
      </c>
      <c r="I134" s="2" t="s">
        <v>407</v>
      </c>
      <c r="J134" s="2" t="s">
        <v>47</v>
      </c>
      <c r="K134" s="2" t="s">
        <v>177</v>
      </c>
      <c r="L134" s="2" t="s">
        <v>989</v>
      </c>
      <c r="M134" s="3">
        <v>44058</v>
      </c>
      <c r="N134" s="3">
        <v>44088</v>
      </c>
      <c r="O134" s="4">
        <v>263.95</v>
      </c>
      <c r="P134" s="2" t="s">
        <v>84</v>
      </c>
      <c r="Q134" s="2" t="s">
        <v>34</v>
      </c>
      <c r="R134" s="2" t="s">
        <v>266</v>
      </c>
      <c r="S134" s="2" t="s">
        <v>411</v>
      </c>
      <c r="T134" s="2" t="s">
        <v>87</v>
      </c>
      <c r="U134" s="2" t="s">
        <v>37</v>
      </c>
      <c r="V134" s="2" t="s">
        <v>88</v>
      </c>
      <c r="W134" s="2" t="s">
        <v>1015</v>
      </c>
      <c r="X134" s="2" t="s">
        <v>412</v>
      </c>
      <c r="Y134" s="2" t="s">
        <v>432</v>
      </c>
      <c r="Z134" s="2" t="s">
        <v>856</v>
      </c>
      <c r="AA134" s="2" t="s">
        <v>39</v>
      </c>
      <c r="AB134" s="2" t="s">
        <v>414</v>
      </c>
      <c r="AC134" s="14">
        <f t="shared" si="34"/>
        <v>44058</v>
      </c>
      <c r="AD134" s="14">
        <f t="shared" si="35"/>
        <v>44088</v>
      </c>
      <c r="AE134" s="2">
        <v>0</v>
      </c>
      <c r="AF134" s="2">
        <v>0</v>
      </c>
    </row>
    <row r="135" spans="1:32" x14ac:dyDescent="0.2">
      <c r="A135" s="2" t="s">
        <v>410</v>
      </c>
      <c r="B135" s="3">
        <v>44048</v>
      </c>
      <c r="C135" s="2" t="s">
        <v>986</v>
      </c>
      <c r="D135" s="2" t="s">
        <v>152</v>
      </c>
      <c r="E135" s="2" t="s">
        <v>138</v>
      </c>
      <c r="F135" s="2" t="s">
        <v>265</v>
      </c>
      <c r="G135" s="2" t="s">
        <v>1016</v>
      </c>
      <c r="H135" s="2" t="s">
        <v>1017</v>
      </c>
      <c r="I135" s="2" t="s">
        <v>408</v>
      </c>
      <c r="J135" s="2" t="s">
        <v>47</v>
      </c>
      <c r="K135" s="2" t="s">
        <v>177</v>
      </c>
      <c r="L135" s="2" t="s">
        <v>989</v>
      </c>
      <c r="M135" s="3">
        <v>44058</v>
      </c>
      <c r="N135" s="3">
        <v>44088</v>
      </c>
      <c r="O135" s="4">
        <v>113.11</v>
      </c>
      <c r="P135" s="2" t="s">
        <v>84</v>
      </c>
      <c r="Q135" s="2" t="s">
        <v>34</v>
      </c>
      <c r="R135" s="2" t="s">
        <v>266</v>
      </c>
      <c r="S135" s="2" t="s">
        <v>415</v>
      </c>
      <c r="T135" s="2" t="s">
        <v>87</v>
      </c>
      <c r="U135" s="2" t="s">
        <v>37</v>
      </c>
      <c r="V135" s="2" t="s">
        <v>88</v>
      </c>
      <c r="W135" s="2" t="s">
        <v>1018</v>
      </c>
      <c r="X135" s="2" t="s">
        <v>412</v>
      </c>
      <c r="Y135" s="2" t="s">
        <v>416</v>
      </c>
      <c r="Z135" s="2" t="s">
        <v>856</v>
      </c>
      <c r="AA135" s="2" t="s">
        <v>39</v>
      </c>
      <c r="AB135" s="2" t="s">
        <v>414</v>
      </c>
      <c r="AC135" s="14">
        <f t="shared" si="34"/>
        <v>44058</v>
      </c>
      <c r="AD135" s="14">
        <f t="shared" si="35"/>
        <v>44088</v>
      </c>
      <c r="AE135" s="2">
        <v>0</v>
      </c>
      <c r="AF135" s="2">
        <v>0</v>
      </c>
    </row>
    <row r="136" spans="1:32" x14ac:dyDescent="0.2">
      <c r="A136" s="2" t="s">
        <v>410</v>
      </c>
      <c r="B136" s="3">
        <v>44048</v>
      </c>
      <c r="C136" s="2" t="s">
        <v>986</v>
      </c>
      <c r="D136" s="2" t="s">
        <v>152</v>
      </c>
      <c r="E136" s="2" t="s">
        <v>138</v>
      </c>
      <c r="F136" s="2" t="s">
        <v>265</v>
      </c>
      <c r="G136" s="2" t="s">
        <v>1019</v>
      </c>
      <c r="H136" s="2" t="s">
        <v>1020</v>
      </c>
      <c r="I136" s="2" t="s">
        <v>385</v>
      </c>
      <c r="J136" s="2" t="s">
        <v>47</v>
      </c>
      <c r="K136" s="2" t="s">
        <v>177</v>
      </c>
      <c r="L136" s="2" t="s">
        <v>989</v>
      </c>
      <c r="M136" s="3">
        <v>44058</v>
      </c>
      <c r="N136" s="3">
        <v>44088</v>
      </c>
      <c r="O136" s="4">
        <v>201.23599999999999</v>
      </c>
      <c r="P136" s="2" t="s">
        <v>84</v>
      </c>
      <c r="Q136" s="2" t="s">
        <v>34</v>
      </c>
      <c r="R136" s="2" t="s">
        <v>266</v>
      </c>
      <c r="S136" s="2" t="s">
        <v>416</v>
      </c>
      <c r="T136" s="2" t="s">
        <v>87</v>
      </c>
      <c r="U136" s="2" t="s">
        <v>37</v>
      </c>
      <c r="V136" s="2" t="s">
        <v>88</v>
      </c>
      <c r="W136" s="2" t="s">
        <v>1021</v>
      </c>
      <c r="X136" s="2" t="s">
        <v>412</v>
      </c>
      <c r="Y136" s="2" t="s">
        <v>477</v>
      </c>
      <c r="Z136" s="2" t="s">
        <v>856</v>
      </c>
      <c r="AA136" s="2" t="s">
        <v>39</v>
      </c>
      <c r="AB136" s="2" t="s">
        <v>414</v>
      </c>
      <c r="AC136" s="14">
        <f t="shared" si="34"/>
        <v>44058</v>
      </c>
      <c r="AD136" s="14">
        <f t="shared" si="35"/>
        <v>44088</v>
      </c>
      <c r="AE136" s="2">
        <v>0</v>
      </c>
      <c r="AF136" s="2">
        <v>0</v>
      </c>
    </row>
    <row r="137" spans="1:32" x14ac:dyDescent="0.2">
      <c r="A137" s="2" t="s">
        <v>410</v>
      </c>
      <c r="B137" s="3">
        <v>44048</v>
      </c>
      <c r="C137" s="2" t="s">
        <v>986</v>
      </c>
      <c r="D137" s="2" t="s">
        <v>152</v>
      </c>
      <c r="E137" s="2" t="s">
        <v>138</v>
      </c>
      <c r="F137" s="2" t="s">
        <v>265</v>
      </c>
      <c r="G137" s="2" t="s">
        <v>1022</v>
      </c>
      <c r="H137" s="2" t="s">
        <v>1023</v>
      </c>
      <c r="I137" s="2" t="s">
        <v>386</v>
      </c>
      <c r="J137" s="2" t="s">
        <v>47</v>
      </c>
      <c r="K137" s="2" t="s">
        <v>177</v>
      </c>
      <c r="L137" s="2" t="s">
        <v>989</v>
      </c>
      <c r="M137" s="3">
        <v>44058</v>
      </c>
      <c r="N137" s="3">
        <v>44088</v>
      </c>
      <c r="O137" s="4">
        <v>228.3</v>
      </c>
      <c r="P137" s="2" t="s">
        <v>84</v>
      </c>
      <c r="Q137" s="2" t="s">
        <v>34</v>
      </c>
      <c r="R137" s="2" t="s">
        <v>266</v>
      </c>
      <c r="S137" s="2" t="s">
        <v>416</v>
      </c>
      <c r="T137" s="2" t="s">
        <v>87</v>
      </c>
      <c r="U137" s="2" t="s">
        <v>37</v>
      </c>
      <c r="V137" s="2" t="s">
        <v>88</v>
      </c>
      <c r="W137" s="2" t="s">
        <v>1024</v>
      </c>
      <c r="X137" s="2" t="s">
        <v>412</v>
      </c>
      <c r="Y137" s="2" t="s">
        <v>428</v>
      </c>
      <c r="Z137" s="2" t="s">
        <v>856</v>
      </c>
      <c r="AA137" s="2" t="s">
        <v>39</v>
      </c>
      <c r="AB137" s="2" t="s">
        <v>414</v>
      </c>
      <c r="AC137" s="14">
        <f t="shared" si="34"/>
        <v>44058</v>
      </c>
      <c r="AD137" s="14">
        <f t="shared" si="35"/>
        <v>44088</v>
      </c>
      <c r="AE137" s="2">
        <v>0</v>
      </c>
      <c r="AF137" s="2">
        <v>0</v>
      </c>
    </row>
    <row r="138" spans="1:32" x14ac:dyDescent="0.2">
      <c r="A138" s="2" t="s">
        <v>427</v>
      </c>
      <c r="B138" s="3">
        <v>44055</v>
      </c>
      <c r="C138" s="2" t="s">
        <v>1025</v>
      </c>
      <c r="D138" s="2" t="s">
        <v>54</v>
      </c>
      <c r="E138" s="2" t="s">
        <v>541</v>
      </c>
      <c r="F138" s="2" t="s">
        <v>542</v>
      </c>
      <c r="G138" s="2" t="s">
        <v>1026</v>
      </c>
      <c r="H138" s="2" t="s">
        <v>1027</v>
      </c>
      <c r="I138" s="2" t="s">
        <v>77</v>
      </c>
      <c r="J138" s="2" t="s">
        <v>32</v>
      </c>
      <c r="K138" s="2" t="s">
        <v>404</v>
      </c>
      <c r="L138" s="2" t="s">
        <v>622</v>
      </c>
      <c r="M138" s="3">
        <v>44058</v>
      </c>
      <c r="N138" s="3">
        <v>44081</v>
      </c>
      <c r="O138" s="4">
        <v>499.13400000000001</v>
      </c>
      <c r="P138" s="2" t="s">
        <v>48</v>
      </c>
      <c r="Q138" s="2" t="s">
        <v>498</v>
      </c>
      <c r="R138" s="2" t="s">
        <v>499</v>
      </c>
      <c r="S138" s="2" t="s">
        <v>428</v>
      </c>
      <c r="T138" s="2" t="s">
        <v>36</v>
      </c>
      <c r="U138" s="2" t="s">
        <v>37</v>
      </c>
      <c r="V138" s="2" t="s">
        <v>155</v>
      </c>
      <c r="W138" s="2" t="s">
        <v>1029</v>
      </c>
      <c r="X138" s="2" t="s">
        <v>412</v>
      </c>
      <c r="Y138" s="2" t="s">
        <v>429</v>
      </c>
      <c r="Z138" s="2" t="s">
        <v>611</v>
      </c>
      <c r="AA138" s="2" t="s">
        <v>39</v>
      </c>
      <c r="AB138" s="2" t="s">
        <v>414</v>
      </c>
      <c r="AC138" s="14">
        <f>M138</f>
        <v>44058</v>
      </c>
      <c r="AD138" s="14">
        <f>N138</f>
        <v>44081</v>
      </c>
    </row>
    <row r="139" spans="1:32" x14ac:dyDescent="0.2">
      <c r="A139" s="2" t="s">
        <v>427</v>
      </c>
      <c r="B139" s="3">
        <v>44048</v>
      </c>
      <c r="C139" s="2" t="s">
        <v>1025</v>
      </c>
      <c r="D139" s="2" t="s">
        <v>28</v>
      </c>
      <c r="E139" s="2" t="s">
        <v>110</v>
      </c>
      <c r="F139" s="2" t="s">
        <v>1030</v>
      </c>
      <c r="G139" s="2" t="s">
        <v>1031</v>
      </c>
      <c r="H139" s="2" t="s">
        <v>1032</v>
      </c>
      <c r="I139" s="2" t="s">
        <v>77</v>
      </c>
      <c r="J139" s="2" t="s">
        <v>32</v>
      </c>
      <c r="K139" s="2" t="s">
        <v>404</v>
      </c>
      <c r="L139" s="2" t="s">
        <v>622</v>
      </c>
      <c r="M139" s="3">
        <v>44058</v>
      </c>
      <c r="N139" s="3">
        <v>44082</v>
      </c>
      <c r="O139" s="4">
        <v>499.9</v>
      </c>
      <c r="P139" s="2" t="s">
        <v>48</v>
      </c>
      <c r="Q139" s="2" t="s">
        <v>134</v>
      </c>
      <c r="R139" s="2" t="s">
        <v>135</v>
      </c>
      <c r="S139" s="2" t="s">
        <v>428</v>
      </c>
      <c r="T139" s="2" t="s">
        <v>72</v>
      </c>
      <c r="U139" s="2" t="s">
        <v>37</v>
      </c>
      <c r="V139" s="2" t="s">
        <v>155</v>
      </c>
      <c r="W139" s="2" t="s">
        <v>1033</v>
      </c>
      <c r="X139" s="2" t="s">
        <v>412</v>
      </c>
      <c r="Y139" s="2" t="s">
        <v>429</v>
      </c>
      <c r="Z139" s="2" t="s">
        <v>946</v>
      </c>
      <c r="AA139" s="2" t="s">
        <v>39</v>
      </c>
      <c r="AB139" s="2" t="s">
        <v>414</v>
      </c>
      <c r="AC139" s="14">
        <f t="shared" ref="AC139:AC140" si="36">M139</f>
        <v>44058</v>
      </c>
      <c r="AD139" s="14">
        <f t="shared" ref="AD139:AD140" si="37">N139</f>
        <v>44082</v>
      </c>
      <c r="AE139" s="2"/>
      <c r="AF139" s="2"/>
    </row>
    <row r="140" spans="1:32" x14ac:dyDescent="0.2">
      <c r="A140" s="2" t="s">
        <v>427</v>
      </c>
      <c r="B140" s="3">
        <v>44058</v>
      </c>
      <c r="C140" s="2" t="s">
        <v>1136</v>
      </c>
      <c r="D140" s="2" t="s">
        <v>91</v>
      </c>
      <c r="E140" s="2" t="s">
        <v>258</v>
      </c>
      <c r="F140" s="2" t="s">
        <v>259</v>
      </c>
      <c r="G140" s="2" t="s">
        <v>1137</v>
      </c>
      <c r="H140" s="2" t="s">
        <v>1138</v>
      </c>
      <c r="I140" s="2" t="s">
        <v>77</v>
      </c>
      <c r="J140" s="2" t="s">
        <v>32</v>
      </c>
      <c r="K140" s="2" t="s">
        <v>144</v>
      </c>
      <c r="L140" s="2" t="s">
        <v>1094</v>
      </c>
      <c r="M140" s="3">
        <v>44058</v>
      </c>
      <c r="N140" s="3">
        <v>44080</v>
      </c>
      <c r="O140" s="4">
        <v>198.72</v>
      </c>
      <c r="P140" s="2" t="s">
        <v>48</v>
      </c>
      <c r="Q140" s="2" t="s">
        <v>134</v>
      </c>
      <c r="R140" s="2" t="s">
        <v>135</v>
      </c>
      <c r="S140" s="2" t="s">
        <v>420</v>
      </c>
      <c r="T140" s="2" t="s">
        <v>36</v>
      </c>
      <c r="U140" s="2" t="s">
        <v>1139</v>
      </c>
      <c r="V140" s="2" t="s">
        <v>52</v>
      </c>
      <c r="W140" s="2" t="s">
        <v>1140</v>
      </c>
      <c r="X140" s="2" t="s">
        <v>412</v>
      </c>
      <c r="Y140" s="2" t="s">
        <v>421</v>
      </c>
      <c r="Z140" s="2" t="s">
        <v>412</v>
      </c>
      <c r="AA140" s="2" t="s">
        <v>39</v>
      </c>
      <c r="AB140" s="2" t="s">
        <v>414</v>
      </c>
      <c r="AC140" s="14">
        <f t="shared" si="36"/>
        <v>44058</v>
      </c>
      <c r="AD140" s="14">
        <f t="shared" si="37"/>
        <v>44080</v>
      </c>
      <c r="AE140" s="2"/>
      <c r="AF140" s="2"/>
    </row>
    <row r="141" spans="1:32" x14ac:dyDescent="0.2">
      <c r="A141" s="2" t="s">
        <v>431</v>
      </c>
      <c r="B141" s="3">
        <v>44073</v>
      </c>
      <c r="C141" s="2" t="s">
        <v>1048</v>
      </c>
      <c r="D141" s="2" t="s">
        <v>28</v>
      </c>
      <c r="E141" s="2" t="s">
        <v>29</v>
      </c>
      <c r="F141" s="2" t="s">
        <v>41</v>
      </c>
      <c r="G141" s="2" t="s">
        <v>1070</v>
      </c>
      <c r="H141" s="2" t="s">
        <v>1071</v>
      </c>
      <c r="I141" s="2" t="s">
        <v>112</v>
      </c>
      <c r="J141" s="2" t="s">
        <v>32</v>
      </c>
      <c r="K141" s="2" t="s">
        <v>1051</v>
      </c>
      <c r="L141" s="2" t="s">
        <v>113</v>
      </c>
      <c r="M141" s="3">
        <v>44059</v>
      </c>
      <c r="N141" s="3">
        <v>44084</v>
      </c>
      <c r="O141" s="4">
        <v>500</v>
      </c>
      <c r="P141" s="2" t="s">
        <v>114</v>
      </c>
      <c r="Q141" s="2" t="s">
        <v>115</v>
      </c>
      <c r="R141" s="2" t="s">
        <v>116</v>
      </c>
      <c r="S141" s="2" t="s">
        <v>439</v>
      </c>
      <c r="T141" s="2" t="s">
        <v>117</v>
      </c>
      <c r="U141" s="2" t="s">
        <v>290</v>
      </c>
      <c r="V141" s="2" t="s">
        <v>118</v>
      </c>
      <c r="W141" s="2" t="s">
        <v>412</v>
      </c>
      <c r="X141" s="2" t="s">
        <v>412</v>
      </c>
      <c r="Y141" s="2" t="s">
        <v>440</v>
      </c>
      <c r="Z141" s="2" t="s">
        <v>412</v>
      </c>
      <c r="AA141" s="2" t="s">
        <v>39</v>
      </c>
      <c r="AB141" s="2" t="s">
        <v>441</v>
      </c>
      <c r="AC141" s="14">
        <f t="shared" ref="AC141:AD145" si="38">M141</f>
        <v>44059</v>
      </c>
      <c r="AD141" s="14">
        <f t="shared" si="38"/>
        <v>44084</v>
      </c>
      <c r="AE141">
        <v>0</v>
      </c>
    </row>
    <row r="142" spans="1:32" x14ac:dyDescent="0.2">
      <c r="A142" s="2" t="s">
        <v>431</v>
      </c>
      <c r="B142" s="3">
        <v>44048</v>
      </c>
      <c r="C142" s="2" t="s">
        <v>1048</v>
      </c>
      <c r="D142" s="2" t="s">
        <v>62</v>
      </c>
      <c r="E142" s="2" t="s">
        <v>119</v>
      </c>
      <c r="F142" s="2" t="s">
        <v>120</v>
      </c>
      <c r="G142" s="2" t="s">
        <v>1072</v>
      </c>
      <c r="H142" s="2" t="s">
        <v>1073</v>
      </c>
      <c r="I142" s="2" t="s">
        <v>121</v>
      </c>
      <c r="J142" s="2" t="s">
        <v>58</v>
      </c>
      <c r="K142" s="2" t="s">
        <v>1051</v>
      </c>
      <c r="L142" s="2" t="s">
        <v>113</v>
      </c>
      <c r="M142" s="3">
        <v>44059</v>
      </c>
      <c r="N142" s="3">
        <v>44084</v>
      </c>
      <c r="O142" s="4">
        <v>200</v>
      </c>
      <c r="P142" s="2" t="s">
        <v>114</v>
      </c>
      <c r="Q142" s="2" t="s">
        <v>115</v>
      </c>
      <c r="R142" s="2" t="s">
        <v>122</v>
      </c>
      <c r="S142" s="2" t="s">
        <v>439</v>
      </c>
      <c r="T142" s="2" t="s">
        <v>117</v>
      </c>
      <c r="U142" s="2" t="s">
        <v>290</v>
      </c>
      <c r="V142" s="2" t="s">
        <v>118</v>
      </c>
      <c r="W142" s="2" t="s">
        <v>412</v>
      </c>
      <c r="X142" s="2" t="s">
        <v>412</v>
      </c>
      <c r="Y142" s="2" t="s">
        <v>442</v>
      </c>
      <c r="Z142" s="2" t="s">
        <v>412</v>
      </c>
      <c r="AA142" s="2" t="s">
        <v>39</v>
      </c>
      <c r="AB142" s="2" t="s">
        <v>441</v>
      </c>
      <c r="AC142" s="14">
        <f t="shared" si="38"/>
        <v>44059</v>
      </c>
      <c r="AD142" s="14">
        <f t="shared" si="38"/>
        <v>44084</v>
      </c>
      <c r="AE142">
        <v>0</v>
      </c>
    </row>
    <row r="143" spans="1:32" x14ac:dyDescent="0.2">
      <c r="A143" s="2" t="s">
        <v>431</v>
      </c>
      <c r="B143" s="3">
        <v>44073</v>
      </c>
      <c r="C143" s="2" t="s">
        <v>1048</v>
      </c>
      <c r="D143" s="2" t="s">
        <v>28</v>
      </c>
      <c r="E143" s="2" t="s">
        <v>129</v>
      </c>
      <c r="F143" s="2" t="s">
        <v>346</v>
      </c>
      <c r="G143" s="2" t="s">
        <v>1074</v>
      </c>
      <c r="H143" s="2" t="s">
        <v>1075</v>
      </c>
      <c r="I143" s="2" t="s">
        <v>112</v>
      </c>
      <c r="J143" s="2" t="s">
        <v>32</v>
      </c>
      <c r="K143" s="2" t="s">
        <v>1051</v>
      </c>
      <c r="L143" s="2" t="s">
        <v>113</v>
      </c>
      <c r="M143" s="3">
        <v>44059</v>
      </c>
      <c r="N143" s="3">
        <v>44089</v>
      </c>
      <c r="O143" s="4">
        <v>500</v>
      </c>
      <c r="P143" s="2" t="s">
        <v>114</v>
      </c>
      <c r="Q143" s="2" t="s">
        <v>85</v>
      </c>
      <c r="R143" s="2" t="s">
        <v>86</v>
      </c>
      <c r="S143" s="2" t="s">
        <v>439</v>
      </c>
      <c r="T143" s="2" t="s">
        <v>117</v>
      </c>
      <c r="U143" s="2" t="s">
        <v>290</v>
      </c>
      <c r="V143" s="2" t="s">
        <v>118</v>
      </c>
      <c r="W143" s="2" t="s">
        <v>412</v>
      </c>
      <c r="X143" s="2" t="s">
        <v>412</v>
      </c>
      <c r="Y143" s="2" t="s">
        <v>440</v>
      </c>
      <c r="Z143" s="2" t="s">
        <v>412</v>
      </c>
      <c r="AA143" s="2" t="s">
        <v>39</v>
      </c>
      <c r="AB143" s="2" t="s">
        <v>441</v>
      </c>
      <c r="AC143" s="14">
        <f t="shared" si="38"/>
        <v>44059</v>
      </c>
      <c r="AD143" s="14">
        <f t="shared" si="38"/>
        <v>44089</v>
      </c>
      <c r="AE143">
        <v>0</v>
      </c>
    </row>
    <row r="144" spans="1:32" x14ac:dyDescent="0.2">
      <c r="A144" s="2" t="s">
        <v>431</v>
      </c>
      <c r="B144" s="3">
        <v>44073</v>
      </c>
      <c r="C144" s="2" t="s">
        <v>1048</v>
      </c>
      <c r="D144" s="2" t="s">
        <v>28</v>
      </c>
      <c r="E144" s="2" t="s">
        <v>129</v>
      </c>
      <c r="F144" s="2" t="s">
        <v>130</v>
      </c>
      <c r="G144" s="2" t="s">
        <v>1076</v>
      </c>
      <c r="H144" s="2" t="s">
        <v>1077</v>
      </c>
      <c r="I144" s="2" t="s">
        <v>112</v>
      </c>
      <c r="J144" s="2" t="s">
        <v>32</v>
      </c>
      <c r="K144" s="2" t="s">
        <v>1051</v>
      </c>
      <c r="L144" s="2" t="s">
        <v>113</v>
      </c>
      <c r="M144" s="3">
        <v>44059</v>
      </c>
      <c r="N144" s="3">
        <v>44091</v>
      </c>
      <c r="O144" s="4">
        <v>500</v>
      </c>
      <c r="P144" s="2" t="s">
        <v>114</v>
      </c>
      <c r="Q144" s="2" t="s">
        <v>131</v>
      </c>
      <c r="R144" s="2" t="s">
        <v>132</v>
      </c>
      <c r="S144" s="2" t="s">
        <v>439</v>
      </c>
      <c r="T144" s="2" t="s">
        <v>117</v>
      </c>
      <c r="U144" s="2" t="s">
        <v>290</v>
      </c>
      <c r="V144" s="2" t="s">
        <v>118</v>
      </c>
      <c r="W144" s="2" t="s">
        <v>412</v>
      </c>
      <c r="X144" s="2" t="s">
        <v>412</v>
      </c>
      <c r="Y144" s="2" t="s">
        <v>440</v>
      </c>
      <c r="Z144" s="2" t="s">
        <v>412</v>
      </c>
      <c r="AA144" s="2" t="s">
        <v>39</v>
      </c>
      <c r="AB144" s="2" t="s">
        <v>441</v>
      </c>
      <c r="AC144" s="14">
        <f t="shared" si="38"/>
        <v>44059</v>
      </c>
      <c r="AD144" s="14">
        <f t="shared" si="38"/>
        <v>44091</v>
      </c>
      <c r="AE144">
        <v>0</v>
      </c>
    </row>
    <row r="145" spans="1:32" x14ac:dyDescent="0.2">
      <c r="A145" s="2" t="s">
        <v>431</v>
      </c>
      <c r="B145" s="3">
        <v>44073</v>
      </c>
      <c r="C145" s="2" t="s">
        <v>1109</v>
      </c>
      <c r="D145" s="2" t="s">
        <v>28</v>
      </c>
      <c r="E145" s="2" t="s">
        <v>29</v>
      </c>
      <c r="F145" s="2" t="s">
        <v>397</v>
      </c>
      <c r="G145" s="2" t="s">
        <v>1110</v>
      </c>
      <c r="H145" s="2" t="s">
        <v>1111</v>
      </c>
      <c r="I145" s="2" t="s">
        <v>31</v>
      </c>
      <c r="J145" s="2" t="s">
        <v>32</v>
      </c>
      <c r="K145" s="2" t="s">
        <v>404</v>
      </c>
      <c r="L145" s="2" t="s">
        <v>622</v>
      </c>
      <c r="M145" s="3">
        <v>44060</v>
      </c>
      <c r="N145" s="3">
        <v>44073</v>
      </c>
      <c r="O145" s="4">
        <v>501.904</v>
      </c>
      <c r="P145" s="2" t="s">
        <v>33</v>
      </c>
      <c r="Q145" s="2" t="s">
        <v>153</v>
      </c>
      <c r="R145" s="2" t="s">
        <v>154</v>
      </c>
      <c r="S145" s="2" t="s">
        <v>477</v>
      </c>
      <c r="T145" s="2" t="s">
        <v>362</v>
      </c>
      <c r="U145" s="2" t="s">
        <v>290</v>
      </c>
      <c r="V145" s="2" t="s">
        <v>155</v>
      </c>
      <c r="W145" s="2" t="s">
        <v>1112</v>
      </c>
      <c r="X145" s="2" t="s">
        <v>412</v>
      </c>
      <c r="Y145" s="2" t="s">
        <v>448</v>
      </c>
      <c r="Z145" s="2" t="s">
        <v>412</v>
      </c>
      <c r="AA145" s="2" t="s">
        <v>39</v>
      </c>
      <c r="AB145" s="2" t="s">
        <v>414</v>
      </c>
      <c r="AC145" s="14">
        <f t="shared" si="38"/>
        <v>44060</v>
      </c>
      <c r="AD145" s="14">
        <f t="shared" si="38"/>
        <v>44073</v>
      </c>
      <c r="AE145">
        <v>0</v>
      </c>
    </row>
    <row r="146" spans="1:32" x14ac:dyDescent="0.2">
      <c r="A146" s="2" t="s">
        <v>427</v>
      </c>
      <c r="B146" s="3">
        <v>44058</v>
      </c>
      <c r="C146" s="2" t="s">
        <v>1164</v>
      </c>
      <c r="D146" s="2" t="s">
        <v>62</v>
      </c>
      <c r="E146" s="2" t="s">
        <v>217</v>
      </c>
      <c r="F146" s="2" t="s">
        <v>218</v>
      </c>
      <c r="G146" s="2" t="s">
        <v>1165</v>
      </c>
      <c r="H146" s="2" t="s">
        <v>1166</v>
      </c>
      <c r="I146" s="2" t="s">
        <v>77</v>
      </c>
      <c r="J146" s="2" t="s">
        <v>32</v>
      </c>
      <c r="K146" s="2" t="s">
        <v>494</v>
      </c>
      <c r="L146" s="2" t="s">
        <v>1152</v>
      </c>
      <c r="M146" s="3">
        <v>44059</v>
      </c>
      <c r="N146" s="3">
        <v>44085</v>
      </c>
      <c r="O146" s="4">
        <v>496.8</v>
      </c>
      <c r="P146" s="2" t="s">
        <v>48</v>
      </c>
      <c r="Q146" s="2" t="s">
        <v>34</v>
      </c>
      <c r="R146" s="2" t="s">
        <v>35</v>
      </c>
      <c r="S146" s="2" t="s">
        <v>428</v>
      </c>
      <c r="T146" s="2" t="s">
        <v>36</v>
      </c>
      <c r="U146" s="2" t="s">
        <v>763</v>
      </c>
      <c r="V146" s="2" t="s">
        <v>65</v>
      </c>
      <c r="W146" s="2" t="s">
        <v>1167</v>
      </c>
      <c r="X146" s="2" t="s">
        <v>412</v>
      </c>
      <c r="Y146" s="2" t="s">
        <v>429</v>
      </c>
      <c r="Z146" s="2" t="s">
        <v>412</v>
      </c>
      <c r="AA146" s="2" t="s">
        <v>39</v>
      </c>
      <c r="AB146" s="2" t="s">
        <v>414</v>
      </c>
      <c r="AC146" s="14">
        <f t="shared" ref="AC146:AC150" si="39">M146</f>
        <v>44059</v>
      </c>
      <c r="AD146" s="14">
        <f t="shared" ref="AD146:AD150" si="40">N146</f>
        <v>44085</v>
      </c>
      <c r="AE146" s="2"/>
      <c r="AF146" s="2"/>
    </row>
    <row r="147" spans="1:32" x14ac:dyDescent="0.2">
      <c r="A147" s="2" t="s">
        <v>427</v>
      </c>
      <c r="B147" s="3">
        <v>44073</v>
      </c>
      <c r="C147" s="2" t="s">
        <v>1164</v>
      </c>
      <c r="D147" s="2" t="s">
        <v>28</v>
      </c>
      <c r="E147" s="2" t="s">
        <v>98</v>
      </c>
      <c r="F147" s="2" t="s">
        <v>205</v>
      </c>
      <c r="G147" s="2" t="s">
        <v>1168</v>
      </c>
      <c r="H147" s="2" t="s">
        <v>1169</v>
      </c>
      <c r="I147" s="2" t="s">
        <v>77</v>
      </c>
      <c r="J147" s="2" t="s">
        <v>32</v>
      </c>
      <c r="K147" s="2" t="s">
        <v>494</v>
      </c>
      <c r="L147" s="2" t="s">
        <v>1152</v>
      </c>
      <c r="M147" s="3">
        <v>44059</v>
      </c>
      <c r="N147" s="3">
        <v>44085</v>
      </c>
      <c r="O147" s="4">
        <v>198.97300000000001</v>
      </c>
      <c r="P147" s="2" t="s">
        <v>48</v>
      </c>
      <c r="Q147" s="2" t="s">
        <v>34</v>
      </c>
      <c r="R147" s="2" t="s">
        <v>35</v>
      </c>
      <c r="S147" s="2" t="s">
        <v>420</v>
      </c>
      <c r="T147" s="2" t="s">
        <v>36</v>
      </c>
      <c r="U147" s="2" t="s">
        <v>37</v>
      </c>
      <c r="V147" s="2" t="s">
        <v>65</v>
      </c>
      <c r="W147" s="2" t="s">
        <v>1170</v>
      </c>
      <c r="X147" s="2" t="s">
        <v>412</v>
      </c>
      <c r="Y147" s="2" t="s">
        <v>421</v>
      </c>
      <c r="Z147" s="2" t="s">
        <v>412</v>
      </c>
      <c r="AA147" s="2" t="s">
        <v>39</v>
      </c>
      <c r="AB147" s="2" t="s">
        <v>414</v>
      </c>
      <c r="AC147" s="14">
        <f t="shared" si="39"/>
        <v>44059</v>
      </c>
      <c r="AD147" s="14">
        <f t="shared" si="40"/>
        <v>44085</v>
      </c>
      <c r="AE147" s="2"/>
      <c r="AF147" s="2"/>
    </row>
    <row r="148" spans="1:32" x14ac:dyDescent="0.2">
      <c r="A148" s="2" t="s">
        <v>427</v>
      </c>
      <c r="B148" s="3">
        <v>44063</v>
      </c>
      <c r="C148" s="2" t="s">
        <v>1179</v>
      </c>
      <c r="D148" s="2" t="s">
        <v>62</v>
      </c>
      <c r="E148" s="2" t="s">
        <v>217</v>
      </c>
      <c r="F148" s="2" t="s">
        <v>218</v>
      </c>
      <c r="G148" s="2" t="s">
        <v>1180</v>
      </c>
      <c r="H148" s="2" t="s">
        <v>1181</v>
      </c>
      <c r="I148" s="2" t="s">
        <v>77</v>
      </c>
      <c r="J148" s="2" t="s">
        <v>32</v>
      </c>
      <c r="K148" s="2" t="s">
        <v>522</v>
      </c>
      <c r="L148" s="2" t="s">
        <v>1182</v>
      </c>
      <c r="M148" s="3">
        <v>44060</v>
      </c>
      <c r="N148" s="3">
        <v>44089</v>
      </c>
      <c r="O148" s="4">
        <v>496.8</v>
      </c>
      <c r="P148" s="2" t="s">
        <v>48</v>
      </c>
      <c r="Q148" s="2" t="s">
        <v>34</v>
      </c>
      <c r="R148" s="2" t="s">
        <v>35</v>
      </c>
      <c r="S148" s="2" t="s">
        <v>428</v>
      </c>
      <c r="T148" s="2" t="s">
        <v>36</v>
      </c>
      <c r="U148" s="2" t="s">
        <v>1139</v>
      </c>
      <c r="V148" s="2" t="s">
        <v>52</v>
      </c>
      <c r="W148" s="2" t="s">
        <v>1183</v>
      </c>
      <c r="X148" s="2" t="s">
        <v>412</v>
      </c>
      <c r="Y148" s="2" t="s">
        <v>429</v>
      </c>
      <c r="Z148" s="2" t="s">
        <v>412</v>
      </c>
      <c r="AA148" s="2" t="s">
        <v>39</v>
      </c>
      <c r="AB148" s="2" t="s">
        <v>414</v>
      </c>
      <c r="AC148" s="14">
        <f t="shared" si="39"/>
        <v>44060</v>
      </c>
      <c r="AD148" s="14">
        <f t="shared" si="40"/>
        <v>44089</v>
      </c>
      <c r="AE148" s="2"/>
      <c r="AF148" s="2"/>
    </row>
    <row r="149" spans="1:32" x14ac:dyDescent="0.2">
      <c r="A149" s="2" t="s">
        <v>427</v>
      </c>
      <c r="B149" s="3">
        <v>44058</v>
      </c>
      <c r="C149" s="2" t="s">
        <v>1179</v>
      </c>
      <c r="D149" s="2" t="s">
        <v>62</v>
      </c>
      <c r="E149" s="2" t="s">
        <v>217</v>
      </c>
      <c r="F149" s="2" t="s">
        <v>218</v>
      </c>
      <c r="G149" s="2" t="s">
        <v>1184</v>
      </c>
      <c r="H149" s="2" t="s">
        <v>1185</v>
      </c>
      <c r="I149" s="2" t="s">
        <v>77</v>
      </c>
      <c r="J149" s="2" t="s">
        <v>32</v>
      </c>
      <c r="K149" s="2" t="s">
        <v>522</v>
      </c>
      <c r="L149" s="2" t="s">
        <v>1182</v>
      </c>
      <c r="M149" s="3">
        <v>44060</v>
      </c>
      <c r="N149" s="3">
        <v>44089</v>
      </c>
      <c r="O149" s="4">
        <v>496.8</v>
      </c>
      <c r="P149" s="2" t="s">
        <v>48</v>
      </c>
      <c r="Q149" s="2" t="s">
        <v>34</v>
      </c>
      <c r="R149" s="2" t="s">
        <v>35</v>
      </c>
      <c r="S149" s="2" t="s">
        <v>428</v>
      </c>
      <c r="T149" s="2" t="s">
        <v>36</v>
      </c>
      <c r="U149" s="2" t="s">
        <v>1139</v>
      </c>
      <c r="V149" s="2" t="s">
        <v>52</v>
      </c>
      <c r="W149" s="2" t="s">
        <v>1186</v>
      </c>
      <c r="X149" s="2" t="s">
        <v>412</v>
      </c>
      <c r="Y149" s="2" t="s">
        <v>429</v>
      </c>
      <c r="Z149" s="2" t="s">
        <v>412</v>
      </c>
      <c r="AA149" s="2" t="s">
        <v>39</v>
      </c>
      <c r="AB149" s="2" t="s">
        <v>414</v>
      </c>
      <c r="AC149" s="14">
        <f t="shared" si="39"/>
        <v>44060</v>
      </c>
      <c r="AD149" s="14">
        <f t="shared" si="40"/>
        <v>44089</v>
      </c>
      <c r="AE149" s="2"/>
      <c r="AF149" s="2"/>
    </row>
    <row r="150" spans="1:32" x14ac:dyDescent="0.2">
      <c r="A150" s="2" t="s">
        <v>470</v>
      </c>
      <c r="B150" s="3">
        <v>44073</v>
      </c>
      <c r="C150" s="2" t="s">
        <v>1187</v>
      </c>
      <c r="D150" s="2" t="s">
        <v>28</v>
      </c>
      <c r="E150" s="2" t="s">
        <v>129</v>
      </c>
      <c r="F150" s="2" t="s">
        <v>371</v>
      </c>
      <c r="G150" s="2" t="s">
        <v>1188</v>
      </c>
      <c r="H150" s="2" t="s">
        <v>1189</v>
      </c>
      <c r="I150" s="2" t="s">
        <v>372</v>
      </c>
      <c r="J150" s="2" t="s">
        <v>223</v>
      </c>
      <c r="K150" s="2" t="s">
        <v>1190</v>
      </c>
      <c r="L150" s="2" t="s">
        <v>622</v>
      </c>
      <c r="M150" s="3">
        <v>44060</v>
      </c>
      <c r="N150" s="3">
        <v>44113</v>
      </c>
      <c r="O150" s="4">
        <v>412</v>
      </c>
      <c r="P150" s="2" t="s">
        <v>287</v>
      </c>
      <c r="Q150" s="2" t="s">
        <v>373</v>
      </c>
      <c r="R150" s="2" t="s">
        <v>374</v>
      </c>
      <c r="S150" s="2" t="s">
        <v>428</v>
      </c>
      <c r="T150" s="2" t="s">
        <v>87</v>
      </c>
      <c r="U150" s="2" t="s">
        <v>290</v>
      </c>
      <c r="V150" s="2" t="s">
        <v>65</v>
      </c>
      <c r="W150" s="2" t="s">
        <v>1191</v>
      </c>
      <c r="X150" s="2" t="s">
        <v>412</v>
      </c>
      <c r="Y150" s="2" t="s">
        <v>473</v>
      </c>
      <c r="Z150" s="2" t="s">
        <v>412</v>
      </c>
      <c r="AA150" s="2" t="s">
        <v>39</v>
      </c>
      <c r="AB150" s="2" t="s">
        <v>414</v>
      </c>
      <c r="AC150" s="14">
        <f t="shared" si="39"/>
        <v>44060</v>
      </c>
      <c r="AD150" s="14">
        <f t="shared" si="40"/>
        <v>44113</v>
      </c>
    </row>
    <row r="151" spans="1:32" x14ac:dyDescent="0.2">
      <c r="A151" s="2" t="s">
        <v>410</v>
      </c>
      <c r="B151" s="3">
        <v>44058</v>
      </c>
      <c r="C151" s="2" t="s">
        <v>1218</v>
      </c>
      <c r="D151" s="2" t="s">
        <v>91</v>
      </c>
      <c r="E151" s="2" t="s">
        <v>217</v>
      </c>
      <c r="F151" s="2" t="s">
        <v>218</v>
      </c>
      <c r="G151" s="2" t="s">
        <v>1219</v>
      </c>
      <c r="H151" s="2" t="s">
        <v>1220</v>
      </c>
      <c r="I151" s="2" t="s">
        <v>267</v>
      </c>
      <c r="J151" s="2" t="s">
        <v>47</v>
      </c>
      <c r="K151" s="2" t="s">
        <v>487</v>
      </c>
      <c r="L151" s="2" t="s">
        <v>764</v>
      </c>
      <c r="M151" s="3">
        <v>44061</v>
      </c>
      <c r="N151" s="3">
        <v>44092</v>
      </c>
      <c r="O151" s="4">
        <v>293.76</v>
      </c>
      <c r="P151" s="2" t="s">
        <v>84</v>
      </c>
      <c r="Q151" s="2" t="s">
        <v>34</v>
      </c>
      <c r="R151" s="2" t="s">
        <v>268</v>
      </c>
      <c r="S151" s="2" t="s">
        <v>417</v>
      </c>
      <c r="T151" s="2" t="s">
        <v>87</v>
      </c>
      <c r="U151" s="2" t="s">
        <v>290</v>
      </c>
      <c r="V151" s="2" t="s">
        <v>88</v>
      </c>
      <c r="W151" s="2" t="s">
        <v>1221</v>
      </c>
      <c r="X151" s="2" t="s">
        <v>412</v>
      </c>
      <c r="Y151" s="2" t="s">
        <v>418</v>
      </c>
      <c r="Z151" s="2" t="s">
        <v>412</v>
      </c>
      <c r="AA151" s="2" t="s">
        <v>39</v>
      </c>
      <c r="AB151" s="2" t="s">
        <v>414</v>
      </c>
      <c r="AC151" s="14">
        <f t="shared" ref="AC151:AC164" si="41">M151</f>
        <v>44061</v>
      </c>
      <c r="AD151" s="14">
        <f t="shared" ref="AD151:AD164" si="42">N151</f>
        <v>44092</v>
      </c>
      <c r="AE151" s="2">
        <v>0</v>
      </c>
      <c r="AF151" s="2">
        <v>0</v>
      </c>
    </row>
    <row r="152" spans="1:32" x14ac:dyDescent="0.2">
      <c r="A152" s="2" t="s">
        <v>410</v>
      </c>
      <c r="B152" s="3">
        <v>44055</v>
      </c>
      <c r="C152" s="2" t="s">
        <v>1218</v>
      </c>
      <c r="D152" s="2" t="s">
        <v>62</v>
      </c>
      <c r="E152" s="2" t="s">
        <v>375</v>
      </c>
      <c r="F152" s="2" t="s">
        <v>376</v>
      </c>
      <c r="G152" s="2" t="s">
        <v>1222</v>
      </c>
      <c r="H152" s="2" t="s">
        <v>1223</v>
      </c>
      <c r="I152" s="2" t="s">
        <v>94</v>
      </c>
      <c r="J152" s="2" t="s">
        <v>95</v>
      </c>
      <c r="K152" s="2" t="s">
        <v>487</v>
      </c>
      <c r="L152" s="2" t="s">
        <v>764</v>
      </c>
      <c r="M152" s="3">
        <v>44061</v>
      </c>
      <c r="N152" s="3">
        <v>44090</v>
      </c>
      <c r="O152" s="4">
        <v>168.72</v>
      </c>
      <c r="P152" s="2" t="s">
        <v>84</v>
      </c>
      <c r="Q152" s="2" t="s">
        <v>100</v>
      </c>
      <c r="R152" s="2" t="s">
        <v>101</v>
      </c>
      <c r="S152" s="2" t="s">
        <v>420</v>
      </c>
      <c r="T152" s="2" t="s">
        <v>87</v>
      </c>
      <c r="U152" s="2" t="s">
        <v>290</v>
      </c>
      <c r="V152" s="2" t="s">
        <v>88</v>
      </c>
      <c r="W152" s="2" t="s">
        <v>1224</v>
      </c>
      <c r="X152" s="2" t="s">
        <v>412</v>
      </c>
      <c r="Y152" s="2" t="s">
        <v>469</v>
      </c>
      <c r="Z152" s="2" t="s">
        <v>1225</v>
      </c>
      <c r="AA152" s="2" t="s">
        <v>39</v>
      </c>
      <c r="AB152" s="2" t="s">
        <v>414</v>
      </c>
      <c r="AC152" s="14">
        <f t="shared" si="41"/>
        <v>44061</v>
      </c>
      <c r="AD152" s="14">
        <f t="shared" si="42"/>
        <v>44090</v>
      </c>
      <c r="AE152" s="2">
        <v>0</v>
      </c>
      <c r="AF152" s="2">
        <v>0</v>
      </c>
    </row>
    <row r="153" spans="1:32" x14ac:dyDescent="0.2">
      <c r="A153" s="2" t="s">
        <v>410</v>
      </c>
      <c r="B153" s="3">
        <v>44048</v>
      </c>
      <c r="C153" s="2" t="s">
        <v>1218</v>
      </c>
      <c r="D153" s="2" t="s">
        <v>152</v>
      </c>
      <c r="E153" s="2" t="s">
        <v>200</v>
      </c>
      <c r="F153" s="2" t="s">
        <v>201</v>
      </c>
      <c r="G153" s="2" t="s">
        <v>1161</v>
      </c>
      <c r="H153" s="2" t="s">
        <v>1162</v>
      </c>
      <c r="I153" s="2" t="s">
        <v>202</v>
      </c>
      <c r="J153" s="2" t="s">
        <v>95</v>
      </c>
      <c r="K153" s="2" t="s">
        <v>487</v>
      </c>
      <c r="L153" s="2" t="s">
        <v>764</v>
      </c>
      <c r="M153" s="3">
        <v>44061</v>
      </c>
      <c r="N153" s="3">
        <v>44090</v>
      </c>
      <c r="O153" s="4">
        <v>263.10899999999998</v>
      </c>
      <c r="P153" s="2" t="s">
        <v>84</v>
      </c>
      <c r="Q153" s="2" t="s">
        <v>203</v>
      </c>
      <c r="R153" s="2" t="s">
        <v>204</v>
      </c>
      <c r="S153" s="2" t="s">
        <v>456</v>
      </c>
      <c r="T153" s="2" t="s">
        <v>87</v>
      </c>
      <c r="U153" s="2" t="s">
        <v>290</v>
      </c>
      <c r="V153" s="2" t="s">
        <v>88</v>
      </c>
      <c r="W153" s="2" t="s">
        <v>1806</v>
      </c>
      <c r="X153" s="2" t="s">
        <v>412</v>
      </c>
      <c r="Y153" s="2" t="s">
        <v>510</v>
      </c>
      <c r="Z153" s="2" t="s">
        <v>412</v>
      </c>
      <c r="AA153" s="2" t="s">
        <v>39</v>
      </c>
      <c r="AB153" s="2" t="s">
        <v>414</v>
      </c>
      <c r="AC153" s="14">
        <f t="shared" si="41"/>
        <v>44061</v>
      </c>
      <c r="AD153" s="14">
        <f t="shared" si="42"/>
        <v>44090</v>
      </c>
      <c r="AE153" s="2">
        <v>0</v>
      </c>
      <c r="AF153" s="2">
        <v>0</v>
      </c>
    </row>
    <row r="154" spans="1:32" x14ac:dyDescent="0.2">
      <c r="A154" s="2" t="s">
        <v>410</v>
      </c>
      <c r="B154" s="3">
        <v>44073</v>
      </c>
      <c r="C154" s="2" t="s">
        <v>1218</v>
      </c>
      <c r="D154" s="2" t="s">
        <v>28</v>
      </c>
      <c r="E154" s="2" t="s">
        <v>98</v>
      </c>
      <c r="F154" s="2" t="s">
        <v>205</v>
      </c>
      <c r="G154" s="2" t="s">
        <v>1172</v>
      </c>
      <c r="H154" s="2" t="s">
        <v>1173</v>
      </c>
      <c r="I154" s="2" t="s">
        <v>99</v>
      </c>
      <c r="J154" s="2" t="s">
        <v>32</v>
      </c>
      <c r="K154" s="2" t="s">
        <v>487</v>
      </c>
      <c r="L154" s="2" t="s">
        <v>764</v>
      </c>
      <c r="M154" s="3">
        <v>44061</v>
      </c>
      <c r="N154" s="3">
        <v>44092</v>
      </c>
      <c r="O154" s="4">
        <v>296.71199999999999</v>
      </c>
      <c r="P154" s="2" t="s">
        <v>84</v>
      </c>
      <c r="Q154" s="2" t="s">
        <v>34</v>
      </c>
      <c r="R154" s="2" t="s">
        <v>35</v>
      </c>
      <c r="S154" s="2" t="s">
        <v>411</v>
      </c>
      <c r="T154" s="2" t="s">
        <v>87</v>
      </c>
      <c r="U154" s="2" t="s">
        <v>290</v>
      </c>
      <c r="V154" s="2" t="s">
        <v>88</v>
      </c>
      <c r="W154" s="2" t="s">
        <v>1807</v>
      </c>
      <c r="X154" s="2" t="s">
        <v>412</v>
      </c>
      <c r="Y154" s="2" t="s">
        <v>413</v>
      </c>
      <c r="Z154" s="2" t="s">
        <v>412</v>
      </c>
      <c r="AA154" s="2" t="s">
        <v>39</v>
      </c>
      <c r="AB154" s="2" t="s">
        <v>414</v>
      </c>
      <c r="AC154" s="14">
        <f t="shared" si="41"/>
        <v>44061</v>
      </c>
      <c r="AD154" s="14">
        <f t="shared" si="42"/>
        <v>44092</v>
      </c>
      <c r="AE154" s="2">
        <v>0</v>
      </c>
      <c r="AF154" s="2">
        <v>0</v>
      </c>
    </row>
    <row r="155" spans="1:32" x14ac:dyDescent="0.2">
      <c r="A155" s="2" t="s">
        <v>410</v>
      </c>
      <c r="B155" s="3">
        <v>44058</v>
      </c>
      <c r="C155" s="2" t="s">
        <v>1218</v>
      </c>
      <c r="D155" s="2" t="s">
        <v>28</v>
      </c>
      <c r="E155" s="2" t="s">
        <v>80</v>
      </c>
      <c r="F155" s="2" t="s">
        <v>81</v>
      </c>
      <c r="G155" s="2" t="s">
        <v>1226</v>
      </c>
      <c r="H155" s="2" t="s">
        <v>1227</v>
      </c>
      <c r="I155" s="2" t="s">
        <v>82</v>
      </c>
      <c r="J155" s="2" t="s">
        <v>83</v>
      </c>
      <c r="K155" s="2" t="s">
        <v>487</v>
      </c>
      <c r="L155" s="2" t="s">
        <v>764</v>
      </c>
      <c r="M155" s="3">
        <v>44061</v>
      </c>
      <c r="N155" s="3">
        <v>44105</v>
      </c>
      <c r="O155" s="4">
        <v>293.56799999999998</v>
      </c>
      <c r="P155" s="2" t="s">
        <v>84</v>
      </c>
      <c r="Q155" s="2" t="s">
        <v>85</v>
      </c>
      <c r="R155" s="2" t="s">
        <v>86</v>
      </c>
      <c r="S155" s="2" t="s">
        <v>425</v>
      </c>
      <c r="T155" s="2" t="s">
        <v>87</v>
      </c>
      <c r="U155" s="2" t="s">
        <v>290</v>
      </c>
      <c r="V155" s="2" t="s">
        <v>88</v>
      </c>
      <c r="W155" s="2" t="s">
        <v>1228</v>
      </c>
      <c r="X155" s="2" t="s">
        <v>412</v>
      </c>
      <c r="Y155" s="2" t="s">
        <v>463</v>
      </c>
      <c r="Z155" s="2" t="s">
        <v>412</v>
      </c>
      <c r="AA155" s="2" t="s">
        <v>39</v>
      </c>
      <c r="AB155" s="2" t="s">
        <v>414</v>
      </c>
      <c r="AC155" s="14">
        <f t="shared" si="41"/>
        <v>44061</v>
      </c>
      <c r="AD155" s="14">
        <f t="shared" si="42"/>
        <v>44105</v>
      </c>
      <c r="AE155" s="2">
        <v>0</v>
      </c>
      <c r="AF155" s="2">
        <v>0</v>
      </c>
    </row>
    <row r="156" spans="1:32" x14ac:dyDescent="0.2">
      <c r="A156" s="2" t="s">
        <v>410</v>
      </c>
      <c r="B156" s="3">
        <v>44073</v>
      </c>
      <c r="C156" s="2" t="s">
        <v>1218</v>
      </c>
      <c r="D156" s="2" t="s">
        <v>28</v>
      </c>
      <c r="E156" s="2" t="s">
        <v>98</v>
      </c>
      <c r="F156" s="2" t="s">
        <v>205</v>
      </c>
      <c r="G156" s="2" t="s">
        <v>1229</v>
      </c>
      <c r="H156" s="2" t="s">
        <v>1230</v>
      </c>
      <c r="I156" s="2" t="s">
        <v>89</v>
      </c>
      <c r="J156" s="2" t="s">
        <v>90</v>
      </c>
      <c r="K156" s="2" t="s">
        <v>487</v>
      </c>
      <c r="L156" s="2" t="s">
        <v>764</v>
      </c>
      <c r="M156" s="3">
        <v>44061</v>
      </c>
      <c r="N156" s="3">
        <v>44099</v>
      </c>
      <c r="O156" s="4">
        <v>498.4</v>
      </c>
      <c r="P156" s="2" t="s">
        <v>84</v>
      </c>
      <c r="Q156" s="2" t="s">
        <v>1231</v>
      </c>
      <c r="R156" s="2" t="s">
        <v>1232</v>
      </c>
      <c r="S156" s="2" t="s">
        <v>428</v>
      </c>
      <c r="T156" s="2" t="s">
        <v>87</v>
      </c>
      <c r="U156" s="2" t="s">
        <v>290</v>
      </c>
      <c r="V156" s="2" t="s">
        <v>88</v>
      </c>
      <c r="W156" s="2" t="s">
        <v>1233</v>
      </c>
      <c r="X156" s="2" t="s">
        <v>412</v>
      </c>
      <c r="Y156" s="2" t="s">
        <v>460</v>
      </c>
      <c r="Z156" s="2" t="s">
        <v>412</v>
      </c>
      <c r="AA156" s="2" t="s">
        <v>39</v>
      </c>
      <c r="AB156" s="2" t="s">
        <v>414</v>
      </c>
      <c r="AC156" s="14">
        <f t="shared" si="41"/>
        <v>44061</v>
      </c>
      <c r="AD156" s="14">
        <f t="shared" si="42"/>
        <v>44099</v>
      </c>
      <c r="AE156" s="2">
        <v>0</v>
      </c>
      <c r="AF156" s="2">
        <v>0</v>
      </c>
    </row>
    <row r="157" spans="1:32" x14ac:dyDescent="0.2">
      <c r="A157" s="2" t="s">
        <v>410</v>
      </c>
      <c r="B157" s="3">
        <v>44073</v>
      </c>
      <c r="C157" s="2" t="s">
        <v>1218</v>
      </c>
      <c r="D157" s="2" t="s">
        <v>91</v>
      </c>
      <c r="E157" s="2" t="s">
        <v>107</v>
      </c>
      <c r="F157" s="2" t="s">
        <v>505</v>
      </c>
      <c r="G157" s="2" t="s">
        <v>1234</v>
      </c>
      <c r="H157" s="2" t="s">
        <v>1235</v>
      </c>
      <c r="I157" s="2" t="s">
        <v>31</v>
      </c>
      <c r="J157" s="2" t="s">
        <v>32</v>
      </c>
      <c r="K157" s="2" t="s">
        <v>487</v>
      </c>
      <c r="L157" s="2" t="s">
        <v>764</v>
      </c>
      <c r="M157" s="3">
        <v>44061</v>
      </c>
      <c r="N157" s="3">
        <v>44078</v>
      </c>
      <c r="O157" s="4">
        <v>90.16</v>
      </c>
      <c r="P157" s="2" t="s">
        <v>84</v>
      </c>
      <c r="Q157" s="2" t="s">
        <v>105</v>
      </c>
      <c r="R157" s="2" t="s">
        <v>106</v>
      </c>
      <c r="S157" s="2" t="s">
        <v>419</v>
      </c>
      <c r="T157" s="2" t="s">
        <v>87</v>
      </c>
      <c r="U157" s="2" t="s">
        <v>290</v>
      </c>
      <c r="V157" s="2" t="s">
        <v>88</v>
      </c>
      <c r="W157" s="2" t="s">
        <v>1236</v>
      </c>
      <c r="X157" s="2" t="s">
        <v>412</v>
      </c>
      <c r="Y157" s="2" t="s">
        <v>506</v>
      </c>
      <c r="Z157" s="2" t="s">
        <v>412</v>
      </c>
      <c r="AA157" s="2" t="s">
        <v>109</v>
      </c>
      <c r="AB157" s="2" t="s">
        <v>414</v>
      </c>
      <c r="AC157" s="14">
        <f t="shared" si="41"/>
        <v>44061</v>
      </c>
      <c r="AD157" s="14">
        <f t="shared" si="42"/>
        <v>44078</v>
      </c>
      <c r="AE157" s="2">
        <v>0</v>
      </c>
      <c r="AF157" s="2">
        <v>0</v>
      </c>
    </row>
    <row r="158" spans="1:32" x14ac:dyDescent="0.2">
      <c r="A158" s="2" t="s">
        <v>410</v>
      </c>
      <c r="B158" s="3">
        <v>44063</v>
      </c>
      <c r="C158" s="2" t="s">
        <v>1218</v>
      </c>
      <c r="D158" s="2" t="s">
        <v>91</v>
      </c>
      <c r="E158" s="2" t="s">
        <v>138</v>
      </c>
      <c r="F158" s="2" t="s">
        <v>265</v>
      </c>
      <c r="G158" s="2" t="s">
        <v>1245</v>
      </c>
      <c r="H158" s="2" t="s">
        <v>1246</v>
      </c>
      <c r="I158" s="2" t="s">
        <v>383</v>
      </c>
      <c r="J158" s="2" t="s">
        <v>83</v>
      </c>
      <c r="K158" s="2" t="s">
        <v>487</v>
      </c>
      <c r="L158" s="2" t="s">
        <v>764</v>
      </c>
      <c r="M158" s="3">
        <v>44061</v>
      </c>
      <c r="N158" s="3">
        <v>44092</v>
      </c>
      <c r="O158" s="4">
        <v>441.14</v>
      </c>
      <c r="P158" s="2" t="s">
        <v>84</v>
      </c>
      <c r="Q158" s="2" t="s">
        <v>34</v>
      </c>
      <c r="R158" s="2" t="s">
        <v>384</v>
      </c>
      <c r="S158" s="2" t="s">
        <v>532</v>
      </c>
      <c r="T158" s="2" t="s">
        <v>87</v>
      </c>
      <c r="U158" s="2" t="s">
        <v>290</v>
      </c>
      <c r="V158" s="2" t="s">
        <v>88</v>
      </c>
      <c r="W158" s="2" t="s">
        <v>1247</v>
      </c>
      <c r="X158" s="2" t="s">
        <v>412</v>
      </c>
      <c r="Y158" s="2" t="s">
        <v>597</v>
      </c>
      <c r="Z158" s="2" t="s">
        <v>412</v>
      </c>
      <c r="AA158" s="2" t="s">
        <v>39</v>
      </c>
      <c r="AB158" s="2" t="s">
        <v>414</v>
      </c>
      <c r="AC158" s="14">
        <f t="shared" si="41"/>
        <v>44061</v>
      </c>
      <c r="AD158" s="14">
        <f t="shared" si="42"/>
        <v>44092</v>
      </c>
      <c r="AE158" s="2">
        <v>0</v>
      </c>
      <c r="AF158" s="2">
        <v>0</v>
      </c>
    </row>
    <row r="159" spans="1:32" x14ac:dyDescent="0.2">
      <c r="A159" s="2" t="s">
        <v>410</v>
      </c>
      <c r="B159" s="3">
        <v>44048</v>
      </c>
      <c r="C159" s="2" t="s">
        <v>1218</v>
      </c>
      <c r="D159" s="2" t="s">
        <v>152</v>
      </c>
      <c r="E159" s="2" t="s">
        <v>138</v>
      </c>
      <c r="F159" s="2" t="s">
        <v>265</v>
      </c>
      <c r="G159" s="2" t="s">
        <v>1248</v>
      </c>
      <c r="H159" s="2" t="s">
        <v>1249</v>
      </c>
      <c r="I159" s="2" t="s">
        <v>598</v>
      </c>
      <c r="J159" s="2" t="s">
        <v>47</v>
      </c>
      <c r="K159" s="2" t="s">
        <v>487</v>
      </c>
      <c r="L159" s="2" t="s">
        <v>764</v>
      </c>
      <c r="M159" s="3">
        <v>44061</v>
      </c>
      <c r="N159" s="3">
        <v>44092</v>
      </c>
      <c r="O159" s="4">
        <v>291.48</v>
      </c>
      <c r="P159" s="2" t="s">
        <v>84</v>
      </c>
      <c r="Q159" s="2" t="s">
        <v>34</v>
      </c>
      <c r="R159" s="2" t="s">
        <v>266</v>
      </c>
      <c r="S159" s="2" t="s">
        <v>459</v>
      </c>
      <c r="T159" s="2" t="s">
        <v>87</v>
      </c>
      <c r="U159" s="2" t="s">
        <v>290</v>
      </c>
      <c r="V159" s="2" t="s">
        <v>88</v>
      </c>
      <c r="W159" s="2" t="s">
        <v>1250</v>
      </c>
      <c r="X159" s="2" t="s">
        <v>412</v>
      </c>
      <c r="Y159" s="2" t="s">
        <v>482</v>
      </c>
      <c r="Z159" s="2" t="s">
        <v>856</v>
      </c>
      <c r="AA159" s="2" t="s">
        <v>39</v>
      </c>
      <c r="AB159" s="2" t="s">
        <v>414</v>
      </c>
      <c r="AC159" s="14">
        <f t="shared" si="41"/>
        <v>44061</v>
      </c>
      <c r="AD159" s="14">
        <f t="shared" si="42"/>
        <v>44092</v>
      </c>
      <c r="AE159" s="2">
        <v>0</v>
      </c>
      <c r="AF159" s="2">
        <v>0</v>
      </c>
    </row>
    <row r="160" spans="1:32" x14ac:dyDescent="0.2">
      <c r="A160" s="2" t="s">
        <v>410</v>
      </c>
      <c r="B160" s="3">
        <v>44048</v>
      </c>
      <c r="C160" s="2" t="s">
        <v>1218</v>
      </c>
      <c r="D160" s="2" t="s">
        <v>152</v>
      </c>
      <c r="E160" s="2" t="s">
        <v>138</v>
      </c>
      <c r="F160" s="2" t="s">
        <v>265</v>
      </c>
      <c r="G160" s="2" t="s">
        <v>1251</v>
      </c>
      <c r="H160" s="2" t="s">
        <v>1252</v>
      </c>
      <c r="I160" s="2" t="s">
        <v>1253</v>
      </c>
      <c r="J160" s="2" t="s">
        <v>47</v>
      </c>
      <c r="K160" s="2" t="s">
        <v>487</v>
      </c>
      <c r="L160" s="2" t="s">
        <v>764</v>
      </c>
      <c r="M160" s="3">
        <v>44061</v>
      </c>
      <c r="N160" s="3">
        <v>44092</v>
      </c>
      <c r="O160" s="4">
        <v>387.29599999999999</v>
      </c>
      <c r="P160" s="2" t="s">
        <v>84</v>
      </c>
      <c r="Q160" s="2" t="s">
        <v>34</v>
      </c>
      <c r="R160" s="2" t="s">
        <v>266</v>
      </c>
      <c r="S160" s="2" t="s">
        <v>459</v>
      </c>
      <c r="T160" s="2" t="s">
        <v>87</v>
      </c>
      <c r="U160" s="2" t="s">
        <v>290</v>
      </c>
      <c r="V160" s="2" t="s">
        <v>88</v>
      </c>
      <c r="W160" s="2" t="s">
        <v>1254</v>
      </c>
      <c r="X160" s="2" t="s">
        <v>412</v>
      </c>
      <c r="Y160" s="2" t="s">
        <v>482</v>
      </c>
      <c r="Z160" s="2" t="s">
        <v>856</v>
      </c>
      <c r="AA160" s="2" t="s">
        <v>39</v>
      </c>
      <c r="AB160" s="2" t="s">
        <v>414</v>
      </c>
      <c r="AC160" s="14">
        <f t="shared" si="41"/>
        <v>44061</v>
      </c>
      <c r="AD160" s="14">
        <f t="shared" si="42"/>
        <v>44092</v>
      </c>
      <c r="AE160" s="2">
        <v>0</v>
      </c>
      <c r="AF160" s="2">
        <v>0</v>
      </c>
    </row>
    <row r="161" spans="1:33" x14ac:dyDescent="0.2">
      <c r="A161" s="2" t="s">
        <v>410</v>
      </c>
      <c r="B161" s="3">
        <v>44048</v>
      </c>
      <c r="C161" s="2" t="s">
        <v>1218</v>
      </c>
      <c r="D161" s="2" t="s">
        <v>152</v>
      </c>
      <c r="E161" s="2" t="s">
        <v>138</v>
      </c>
      <c r="F161" s="2" t="s">
        <v>265</v>
      </c>
      <c r="G161" s="2" t="s">
        <v>1255</v>
      </c>
      <c r="H161" s="2" t="s">
        <v>1256</v>
      </c>
      <c r="I161" s="2" t="s">
        <v>1257</v>
      </c>
      <c r="J161" s="2" t="s">
        <v>47</v>
      </c>
      <c r="K161" s="2" t="s">
        <v>487</v>
      </c>
      <c r="L161" s="2" t="s">
        <v>764</v>
      </c>
      <c r="M161" s="3">
        <v>44061</v>
      </c>
      <c r="N161" s="3">
        <v>44092</v>
      </c>
      <c r="O161" s="4">
        <v>260</v>
      </c>
      <c r="P161" s="2" t="s">
        <v>84</v>
      </c>
      <c r="Q161" s="2" t="s">
        <v>34</v>
      </c>
      <c r="R161" s="2" t="s">
        <v>266</v>
      </c>
      <c r="S161" s="2" t="s">
        <v>411</v>
      </c>
      <c r="T161" s="2" t="s">
        <v>87</v>
      </c>
      <c r="U161" s="2" t="s">
        <v>290</v>
      </c>
      <c r="V161" s="2" t="s">
        <v>88</v>
      </c>
      <c r="W161" s="2" t="s">
        <v>1258</v>
      </c>
      <c r="X161" s="2" t="s">
        <v>412</v>
      </c>
      <c r="Y161" s="2" t="s">
        <v>432</v>
      </c>
      <c r="Z161" s="2" t="s">
        <v>856</v>
      </c>
      <c r="AA161" s="2" t="s">
        <v>39</v>
      </c>
      <c r="AB161" s="2" t="s">
        <v>414</v>
      </c>
      <c r="AC161" s="14">
        <f t="shared" si="41"/>
        <v>44061</v>
      </c>
      <c r="AD161" s="14">
        <f t="shared" si="42"/>
        <v>44092</v>
      </c>
      <c r="AE161" s="2">
        <v>0</v>
      </c>
      <c r="AF161" s="2">
        <v>0</v>
      </c>
    </row>
    <row r="162" spans="1:33" x14ac:dyDescent="0.2">
      <c r="A162" s="2" t="s">
        <v>410</v>
      </c>
      <c r="B162" s="3">
        <v>44048</v>
      </c>
      <c r="C162" s="2" t="s">
        <v>1218</v>
      </c>
      <c r="D162" s="2" t="s">
        <v>152</v>
      </c>
      <c r="E162" s="2" t="s">
        <v>138</v>
      </c>
      <c r="F162" s="2" t="s">
        <v>265</v>
      </c>
      <c r="G162" s="2" t="s">
        <v>1259</v>
      </c>
      <c r="H162" s="2" t="s">
        <v>1260</v>
      </c>
      <c r="I162" s="2" t="s">
        <v>1261</v>
      </c>
      <c r="J162" s="2" t="s">
        <v>47</v>
      </c>
      <c r="K162" s="2" t="s">
        <v>487</v>
      </c>
      <c r="L162" s="2" t="s">
        <v>764</v>
      </c>
      <c r="M162" s="3">
        <v>44061</v>
      </c>
      <c r="N162" s="3">
        <v>44092</v>
      </c>
      <c r="O162" s="4">
        <v>281.30399999999997</v>
      </c>
      <c r="P162" s="2" t="s">
        <v>84</v>
      </c>
      <c r="Q162" s="2" t="s">
        <v>34</v>
      </c>
      <c r="R162" s="2" t="s">
        <v>266</v>
      </c>
      <c r="S162" s="2" t="s">
        <v>425</v>
      </c>
      <c r="T162" s="2" t="s">
        <v>87</v>
      </c>
      <c r="U162" s="2" t="s">
        <v>290</v>
      </c>
      <c r="V162" s="2" t="s">
        <v>88</v>
      </c>
      <c r="W162" s="2" t="s">
        <v>1262</v>
      </c>
      <c r="X162" s="2" t="s">
        <v>412</v>
      </c>
      <c r="Y162" s="2" t="s">
        <v>455</v>
      </c>
      <c r="Z162" s="2" t="s">
        <v>856</v>
      </c>
      <c r="AA162" s="2" t="s">
        <v>39</v>
      </c>
      <c r="AB162" s="2" t="s">
        <v>414</v>
      </c>
      <c r="AC162" s="14">
        <f t="shared" si="41"/>
        <v>44061</v>
      </c>
      <c r="AD162" s="14">
        <f t="shared" si="42"/>
        <v>44092</v>
      </c>
      <c r="AE162" s="2">
        <v>0</v>
      </c>
      <c r="AF162" s="2">
        <v>0</v>
      </c>
    </row>
    <row r="163" spans="1:33" x14ac:dyDescent="0.2">
      <c r="A163" s="2" t="s">
        <v>410</v>
      </c>
      <c r="B163" s="3">
        <v>44042</v>
      </c>
      <c r="C163" s="2" t="s">
        <v>1218</v>
      </c>
      <c r="D163" s="2" t="s">
        <v>91</v>
      </c>
      <c r="E163" s="2" t="s">
        <v>217</v>
      </c>
      <c r="F163" s="2" t="s">
        <v>218</v>
      </c>
      <c r="G163" s="2" t="s">
        <v>1263</v>
      </c>
      <c r="H163" s="2" t="s">
        <v>1264</v>
      </c>
      <c r="I163" s="2" t="s">
        <v>540</v>
      </c>
      <c r="J163" s="2" t="s">
        <v>47</v>
      </c>
      <c r="K163" s="2" t="s">
        <v>487</v>
      </c>
      <c r="L163" s="2" t="s">
        <v>764</v>
      </c>
      <c r="M163" s="3">
        <v>44061</v>
      </c>
      <c r="N163" s="3">
        <v>44092</v>
      </c>
      <c r="O163" s="4">
        <v>23.712</v>
      </c>
      <c r="P163" s="2" t="s">
        <v>84</v>
      </c>
      <c r="Q163" s="2" t="s">
        <v>34</v>
      </c>
      <c r="R163" s="2" t="s">
        <v>35</v>
      </c>
      <c r="S163" s="2" t="s">
        <v>450</v>
      </c>
      <c r="T163" s="2" t="s">
        <v>87</v>
      </c>
      <c r="U163" s="2" t="s">
        <v>290</v>
      </c>
      <c r="V163" s="2" t="s">
        <v>88</v>
      </c>
      <c r="W163" s="2" t="s">
        <v>765</v>
      </c>
      <c r="X163" s="2" t="s">
        <v>412</v>
      </c>
      <c r="Y163" s="2" t="s">
        <v>449</v>
      </c>
      <c r="Z163" s="2" t="s">
        <v>412</v>
      </c>
      <c r="AA163" s="2" t="s">
        <v>39</v>
      </c>
      <c r="AB163" s="2" t="s">
        <v>414</v>
      </c>
      <c r="AC163" s="14">
        <f t="shared" si="41"/>
        <v>44061</v>
      </c>
      <c r="AD163" s="14">
        <f t="shared" si="42"/>
        <v>44092</v>
      </c>
      <c r="AE163" s="2">
        <v>0</v>
      </c>
      <c r="AF163" s="2">
        <v>0</v>
      </c>
    </row>
    <row r="164" spans="1:33" x14ac:dyDescent="0.2">
      <c r="A164" s="2" t="s">
        <v>410</v>
      </c>
      <c r="B164" s="3">
        <v>44058</v>
      </c>
      <c r="C164" s="2" t="s">
        <v>1218</v>
      </c>
      <c r="D164" s="2" t="s">
        <v>152</v>
      </c>
      <c r="E164" s="2" t="s">
        <v>200</v>
      </c>
      <c r="F164" s="2" t="s">
        <v>201</v>
      </c>
      <c r="G164" s="2" t="s">
        <v>1808</v>
      </c>
      <c r="H164" s="2" t="s">
        <v>1809</v>
      </c>
      <c r="I164" s="2" t="s">
        <v>202</v>
      </c>
      <c r="J164" s="2" t="s">
        <v>95</v>
      </c>
      <c r="K164" s="2" t="s">
        <v>487</v>
      </c>
      <c r="L164" s="2" t="s">
        <v>764</v>
      </c>
      <c r="M164" s="3">
        <v>44061</v>
      </c>
      <c r="N164" s="3">
        <v>44090</v>
      </c>
      <c r="O164" s="4">
        <v>239.19</v>
      </c>
      <c r="P164" s="2" t="s">
        <v>84</v>
      </c>
      <c r="Q164" s="2" t="s">
        <v>203</v>
      </c>
      <c r="R164" s="2" t="s">
        <v>204</v>
      </c>
      <c r="S164" s="2" t="s">
        <v>416</v>
      </c>
      <c r="T164" s="2" t="s">
        <v>87</v>
      </c>
      <c r="U164" s="2" t="s">
        <v>290</v>
      </c>
      <c r="V164" s="2" t="s">
        <v>88</v>
      </c>
      <c r="W164" s="2" t="s">
        <v>1810</v>
      </c>
      <c r="X164" s="2" t="s">
        <v>412</v>
      </c>
      <c r="Y164" s="2" t="s">
        <v>1811</v>
      </c>
      <c r="Z164" s="2" t="s">
        <v>412</v>
      </c>
      <c r="AA164" s="2" t="s">
        <v>39</v>
      </c>
      <c r="AB164" s="2" t="s">
        <v>414</v>
      </c>
      <c r="AC164" s="14">
        <f t="shared" si="41"/>
        <v>44061</v>
      </c>
      <c r="AD164" s="14">
        <f t="shared" si="42"/>
        <v>44090</v>
      </c>
      <c r="AE164" s="2">
        <v>0</v>
      </c>
      <c r="AF164" s="2">
        <v>0</v>
      </c>
    </row>
    <row r="165" spans="1:33" x14ac:dyDescent="0.2">
      <c r="A165" s="2" t="s">
        <v>431</v>
      </c>
      <c r="B165" s="3">
        <v>44058</v>
      </c>
      <c r="C165" s="2" t="s">
        <v>1192</v>
      </c>
      <c r="D165" s="2" t="s">
        <v>62</v>
      </c>
      <c r="E165" s="2" t="s">
        <v>217</v>
      </c>
      <c r="F165" s="2" t="s">
        <v>218</v>
      </c>
      <c r="G165" s="2" t="s">
        <v>1193</v>
      </c>
      <c r="H165" s="2" t="s">
        <v>1194</v>
      </c>
      <c r="I165" s="2" t="s">
        <v>31</v>
      </c>
      <c r="J165" s="2" t="s">
        <v>32</v>
      </c>
      <c r="K165" s="2" t="s">
        <v>500</v>
      </c>
      <c r="L165" s="2" t="s">
        <v>1081</v>
      </c>
      <c r="M165" s="3">
        <v>44061</v>
      </c>
      <c r="N165" s="3">
        <v>44074</v>
      </c>
      <c r="O165" s="4">
        <v>512.06399999999996</v>
      </c>
      <c r="P165" s="2" t="s">
        <v>33</v>
      </c>
      <c r="Q165" s="2" t="s">
        <v>34</v>
      </c>
      <c r="R165" s="2" t="s">
        <v>35</v>
      </c>
      <c r="S165" s="2" t="s">
        <v>435</v>
      </c>
      <c r="T165" s="2" t="s">
        <v>36</v>
      </c>
      <c r="U165" s="2" t="s">
        <v>290</v>
      </c>
      <c r="V165" s="2" t="s">
        <v>43</v>
      </c>
      <c r="W165" s="2" t="s">
        <v>1195</v>
      </c>
      <c r="X165" s="2" t="s">
        <v>412</v>
      </c>
      <c r="Y165" s="2" t="s">
        <v>436</v>
      </c>
      <c r="Z165" s="2" t="s">
        <v>412</v>
      </c>
      <c r="AA165" s="2" t="s">
        <v>39</v>
      </c>
      <c r="AB165" s="2" t="s">
        <v>414</v>
      </c>
      <c r="AC165" s="32">
        <v>44066</v>
      </c>
      <c r="AD165" s="14">
        <f>N165</f>
        <v>44074</v>
      </c>
      <c r="AE165">
        <v>5</v>
      </c>
      <c r="AG165" t="s">
        <v>1791</v>
      </c>
    </row>
    <row r="166" spans="1:33" x14ac:dyDescent="0.2">
      <c r="A166" s="2" t="s">
        <v>427</v>
      </c>
      <c r="B166" s="3">
        <v>44048</v>
      </c>
      <c r="C166" s="2" t="s">
        <v>1119</v>
      </c>
      <c r="D166" s="2" t="s">
        <v>91</v>
      </c>
      <c r="E166" s="2" t="s">
        <v>242</v>
      </c>
      <c r="F166" s="2" t="s">
        <v>243</v>
      </c>
      <c r="G166" s="2" t="s">
        <v>1120</v>
      </c>
      <c r="H166" s="2" t="s">
        <v>1121</v>
      </c>
      <c r="I166" s="2" t="s">
        <v>244</v>
      </c>
      <c r="J166" s="2" t="s">
        <v>47</v>
      </c>
      <c r="K166" s="2" t="s">
        <v>503</v>
      </c>
      <c r="L166" s="2" t="s">
        <v>1116</v>
      </c>
      <c r="M166" s="3">
        <v>44061</v>
      </c>
      <c r="N166" s="3">
        <v>44080</v>
      </c>
      <c r="O166" s="4">
        <v>94.724999999999994</v>
      </c>
      <c r="P166" s="2" t="s">
        <v>48</v>
      </c>
      <c r="Q166" s="2" t="s">
        <v>100</v>
      </c>
      <c r="R166" s="2" t="s">
        <v>101</v>
      </c>
      <c r="S166" s="2" t="s">
        <v>415</v>
      </c>
      <c r="T166" s="2" t="s">
        <v>140</v>
      </c>
      <c r="U166" s="2" t="s">
        <v>37</v>
      </c>
      <c r="V166" s="2" t="s">
        <v>155</v>
      </c>
      <c r="W166" s="2" t="s">
        <v>1122</v>
      </c>
      <c r="X166" s="2" t="s">
        <v>412</v>
      </c>
      <c r="Y166" s="2" t="s">
        <v>416</v>
      </c>
      <c r="Z166" s="2" t="s">
        <v>53</v>
      </c>
      <c r="AA166" s="2" t="s">
        <v>39</v>
      </c>
      <c r="AB166" s="2" t="s">
        <v>414</v>
      </c>
      <c r="AC166" s="14">
        <f t="shared" ref="AC166:AC168" si="43">M166</f>
        <v>44061</v>
      </c>
      <c r="AD166" s="14">
        <f t="shared" ref="AD166:AD168" si="44">N166</f>
        <v>44080</v>
      </c>
      <c r="AE166" s="2"/>
      <c r="AF166" s="2"/>
    </row>
    <row r="167" spans="1:33" x14ac:dyDescent="0.2">
      <c r="A167" s="2" t="s">
        <v>427</v>
      </c>
      <c r="B167" s="3">
        <v>44048</v>
      </c>
      <c r="C167" s="2" t="s">
        <v>1119</v>
      </c>
      <c r="D167" s="2" t="s">
        <v>91</v>
      </c>
      <c r="E167" s="2" t="s">
        <v>242</v>
      </c>
      <c r="F167" s="2" t="s">
        <v>243</v>
      </c>
      <c r="G167" s="2" t="s">
        <v>1123</v>
      </c>
      <c r="H167" s="2" t="s">
        <v>1124</v>
      </c>
      <c r="I167" s="2" t="s">
        <v>246</v>
      </c>
      <c r="J167" s="2" t="s">
        <v>47</v>
      </c>
      <c r="K167" s="2" t="s">
        <v>503</v>
      </c>
      <c r="L167" s="2" t="s">
        <v>1116</v>
      </c>
      <c r="M167" s="3">
        <v>44061</v>
      </c>
      <c r="N167" s="3">
        <v>44080</v>
      </c>
      <c r="O167" s="4">
        <v>151.745</v>
      </c>
      <c r="P167" s="2" t="s">
        <v>48</v>
      </c>
      <c r="Q167" s="2" t="s">
        <v>100</v>
      </c>
      <c r="R167" s="2" t="s">
        <v>101</v>
      </c>
      <c r="S167" s="2" t="s">
        <v>420</v>
      </c>
      <c r="T167" s="2" t="s">
        <v>140</v>
      </c>
      <c r="U167" s="2" t="s">
        <v>37</v>
      </c>
      <c r="V167" s="2" t="s">
        <v>155</v>
      </c>
      <c r="W167" s="2" t="s">
        <v>1125</v>
      </c>
      <c r="X167" s="2" t="s">
        <v>412</v>
      </c>
      <c r="Y167" s="2" t="s">
        <v>451</v>
      </c>
      <c r="Z167" s="2" t="s">
        <v>53</v>
      </c>
      <c r="AA167" s="2" t="s">
        <v>39</v>
      </c>
      <c r="AB167" s="2" t="s">
        <v>414</v>
      </c>
      <c r="AC167" s="14">
        <f t="shared" si="43"/>
        <v>44061</v>
      </c>
      <c r="AD167" s="14">
        <f t="shared" si="44"/>
        <v>44080</v>
      </c>
      <c r="AE167" s="2"/>
      <c r="AF167" s="2"/>
    </row>
    <row r="168" spans="1:33" x14ac:dyDescent="0.2">
      <c r="A168" s="2" t="s">
        <v>427</v>
      </c>
      <c r="B168" s="3">
        <v>44063</v>
      </c>
      <c r="C168" s="2" t="s">
        <v>1119</v>
      </c>
      <c r="D168" s="2" t="s">
        <v>91</v>
      </c>
      <c r="E168" s="2" t="s">
        <v>553</v>
      </c>
      <c r="F168" s="2" t="s">
        <v>554</v>
      </c>
      <c r="G168" s="2" t="s">
        <v>1126</v>
      </c>
      <c r="H168" s="2" t="s">
        <v>1127</v>
      </c>
      <c r="I168" s="2" t="s">
        <v>77</v>
      </c>
      <c r="J168" s="2" t="s">
        <v>32</v>
      </c>
      <c r="K168" s="2" t="s">
        <v>503</v>
      </c>
      <c r="L168" s="2" t="s">
        <v>1116</v>
      </c>
      <c r="M168" s="3">
        <v>44061</v>
      </c>
      <c r="N168" s="3">
        <v>44080</v>
      </c>
      <c r="O168" s="4">
        <v>298.822</v>
      </c>
      <c r="P168" s="2" t="s">
        <v>48</v>
      </c>
      <c r="Q168" s="2" t="s">
        <v>100</v>
      </c>
      <c r="R168" s="2" t="s">
        <v>101</v>
      </c>
      <c r="S168" s="2" t="s">
        <v>425</v>
      </c>
      <c r="T168" s="2" t="s">
        <v>36</v>
      </c>
      <c r="U168" s="2" t="s">
        <v>37</v>
      </c>
      <c r="V168" s="2" t="s">
        <v>155</v>
      </c>
      <c r="W168" s="2" t="s">
        <v>1128</v>
      </c>
      <c r="X168" s="2" t="s">
        <v>412</v>
      </c>
      <c r="Y168" s="2" t="s">
        <v>426</v>
      </c>
      <c r="Z168" s="2" t="s">
        <v>412</v>
      </c>
      <c r="AA168" s="2" t="s">
        <v>39</v>
      </c>
      <c r="AB168" s="2" t="s">
        <v>414</v>
      </c>
      <c r="AC168" s="14">
        <f t="shared" si="43"/>
        <v>44061</v>
      </c>
      <c r="AD168" s="14">
        <f t="shared" si="44"/>
        <v>44080</v>
      </c>
      <c r="AE168" s="2"/>
      <c r="AF168" s="2"/>
    </row>
    <row r="169" spans="1:33" x14ac:dyDescent="0.2">
      <c r="A169" s="2" t="s">
        <v>427</v>
      </c>
      <c r="B169" s="3">
        <v>44068</v>
      </c>
      <c r="C169" s="2" t="s">
        <v>1196</v>
      </c>
      <c r="D169" s="2" t="s">
        <v>91</v>
      </c>
      <c r="E169" s="2" t="s">
        <v>258</v>
      </c>
      <c r="F169" s="2" t="s">
        <v>259</v>
      </c>
      <c r="G169" s="2" t="s">
        <v>1197</v>
      </c>
      <c r="H169" s="2" t="s">
        <v>1198</v>
      </c>
      <c r="I169" s="2" t="s">
        <v>77</v>
      </c>
      <c r="J169" s="2" t="s">
        <v>32</v>
      </c>
      <c r="K169" s="2" t="s">
        <v>1199</v>
      </c>
      <c r="L169" s="2" t="s">
        <v>740</v>
      </c>
      <c r="M169" s="3">
        <v>44061</v>
      </c>
      <c r="N169" s="3">
        <v>44085</v>
      </c>
      <c r="O169" s="4">
        <v>298.08</v>
      </c>
      <c r="P169" s="2" t="s">
        <v>48</v>
      </c>
      <c r="Q169" s="2" t="s">
        <v>134</v>
      </c>
      <c r="R169" s="2" t="s">
        <v>135</v>
      </c>
      <c r="S169" s="2" t="s">
        <v>425</v>
      </c>
      <c r="T169" s="2" t="s">
        <v>36</v>
      </c>
      <c r="U169" s="2" t="s">
        <v>1139</v>
      </c>
      <c r="V169" s="2" t="s">
        <v>155</v>
      </c>
      <c r="W169" s="2" t="s">
        <v>1200</v>
      </c>
      <c r="X169" s="2" t="s">
        <v>412</v>
      </c>
      <c r="Y169" s="2" t="s">
        <v>426</v>
      </c>
      <c r="Z169" s="2" t="s">
        <v>412</v>
      </c>
      <c r="AA169" s="2" t="s">
        <v>39</v>
      </c>
      <c r="AB169" s="2" t="s">
        <v>414</v>
      </c>
      <c r="AC169" s="14">
        <v>44068</v>
      </c>
      <c r="AD169" s="14">
        <v>44092</v>
      </c>
      <c r="AE169" s="2">
        <v>7</v>
      </c>
      <c r="AF169" s="2">
        <v>7</v>
      </c>
      <c r="AG169" s="2" t="s">
        <v>1836</v>
      </c>
    </row>
    <row r="170" spans="1:33" x14ac:dyDescent="0.2">
      <c r="A170" s="2" t="s">
        <v>427</v>
      </c>
      <c r="B170" s="3">
        <v>44055</v>
      </c>
      <c r="C170" s="2" t="s">
        <v>1201</v>
      </c>
      <c r="D170" s="2" t="s">
        <v>62</v>
      </c>
      <c r="E170" s="2" t="s">
        <v>167</v>
      </c>
      <c r="F170" s="2" t="s">
        <v>168</v>
      </c>
      <c r="G170" s="2" t="s">
        <v>1202</v>
      </c>
      <c r="H170" s="2" t="s">
        <v>1203</v>
      </c>
      <c r="I170" s="2" t="s">
        <v>77</v>
      </c>
      <c r="J170" s="2" t="s">
        <v>32</v>
      </c>
      <c r="K170" s="2" t="s">
        <v>1087</v>
      </c>
      <c r="L170" s="2" t="s">
        <v>760</v>
      </c>
      <c r="M170" s="3">
        <v>44061</v>
      </c>
      <c r="N170" s="3">
        <v>44081</v>
      </c>
      <c r="O170" s="4">
        <v>198.72</v>
      </c>
      <c r="P170" s="2" t="s">
        <v>48</v>
      </c>
      <c r="Q170" s="2" t="s">
        <v>166</v>
      </c>
      <c r="R170" s="2" t="s">
        <v>169</v>
      </c>
      <c r="S170" s="2" t="s">
        <v>420</v>
      </c>
      <c r="T170" s="2" t="s">
        <v>36</v>
      </c>
      <c r="U170" s="2" t="s">
        <v>1139</v>
      </c>
      <c r="V170" s="2" t="s">
        <v>52</v>
      </c>
      <c r="W170" s="2" t="s">
        <v>1204</v>
      </c>
      <c r="X170" s="2" t="s">
        <v>412</v>
      </c>
      <c r="Y170" s="2" t="s">
        <v>421</v>
      </c>
      <c r="Z170" s="2" t="s">
        <v>1205</v>
      </c>
      <c r="AA170" s="2" t="s">
        <v>39</v>
      </c>
      <c r="AB170" s="2" t="s">
        <v>414</v>
      </c>
      <c r="AC170" s="14">
        <f t="shared" ref="AC170:AC173" si="45">M170</f>
        <v>44061</v>
      </c>
      <c r="AD170" s="14">
        <f t="shared" ref="AD170:AD173" si="46">N170</f>
        <v>44081</v>
      </c>
      <c r="AE170" s="2"/>
      <c r="AF170" s="2"/>
    </row>
    <row r="171" spans="1:33" x14ac:dyDescent="0.2">
      <c r="A171" s="2" t="s">
        <v>427</v>
      </c>
      <c r="B171" s="3">
        <v>44055</v>
      </c>
      <c r="C171" s="2" t="s">
        <v>1201</v>
      </c>
      <c r="D171" s="2" t="s">
        <v>62</v>
      </c>
      <c r="E171" s="2" t="s">
        <v>251</v>
      </c>
      <c r="F171" s="2" t="s">
        <v>252</v>
      </c>
      <c r="G171" s="2" t="s">
        <v>1206</v>
      </c>
      <c r="H171" s="2" t="s">
        <v>1207</v>
      </c>
      <c r="I171" s="2" t="s">
        <v>77</v>
      </c>
      <c r="J171" s="2" t="s">
        <v>32</v>
      </c>
      <c r="K171" s="2" t="s">
        <v>1087</v>
      </c>
      <c r="L171" s="2" t="s">
        <v>760</v>
      </c>
      <c r="M171" s="3">
        <v>44061</v>
      </c>
      <c r="N171" s="3">
        <v>44081</v>
      </c>
      <c r="O171" s="4">
        <v>414</v>
      </c>
      <c r="P171" s="2" t="s">
        <v>48</v>
      </c>
      <c r="Q171" s="2" t="s">
        <v>166</v>
      </c>
      <c r="R171" s="2" t="s">
        <v>250</v>
      </c>
      <c r="S171" s="2" t="s">
        <v>428</v>
      </c>
      <c r="T171" s="2" t="s">
        <v>42</v>
      </c>
      <c r="U171" s="2" t="s">
        <v>1139</v>
      </c>
      <c r="V171" s="2" t="s">
        <v>52</v>
      </c>
      <c r="W171" s="2" t="s">
        <v>1208</v>
      </c>
      <c r="X171" s="2" t="s">
        <v>412</v>
      </c>
      <c r="Y171" s="2" t="s">
        <v>473</v>
      </c>
      <c r="Z171" s="2" t="s">
        <v>981</v>
      </c>
      <c r="AA171" s="2" t="s">
        <v>39</v>
      </c>
      <c r="AB171" s="2" t="s">
        <v>414</v>
      </c>
      <c r="AC171" s="14">
        <f t="shared" si="45"/>
        <v>44061</v>
      </c>
      <c r="AD171" s="14">
        <f t="shared" si="46"/>
        <v>44081</v>
      </c>
      <c r="AE171" s="2"/>
      <c r="AF171" s="2"/>
    </row>
    <row r="172" spans="1:33" x14ac:dyDescent="0.2">
      <c r="A172" s="2" t="s">
        <v>427</v>
      </c>
      <c r="B172" s="3">
        <v>44058</v>
      </c>
      <c r="C172" s="2" t="s">
        <v>1129</v>
      </c>
      <c r="D172" s="2" t="s">
        <v>62</v>
      </c>
      <c r="E172" s="2" t="s">
        <v>217</v>
      </c>
      <c r="F172" s="2" t="s">
        <v>218</v>
      </c>
      <c r="G172" s="2" t="s">
        <v>1130</v>
      </c>
      <c r="H172" s="2" t="s">
        <v>1131</v>
      </c>
      <c r="I172" s="2" t="s">
        <v>77</v>
      </c>
      <c r="J172" s="2" t="s">
        <v>32</v>
      </c>
      <c r="K172" s="2" t="s">
        <v>503</v>
      </c>
      <c r="L172" s="2" t="s">
        <v>1116</v>
      </c>
      <c r="M172" s="3">
        <v>44061</v>
      </c>
      <c r="N172" s="3">
        <v>44093</v>
      </c>
      <c r="O172" s="4">
        <v>498.721</v>
      </c>
      <c r="P172" s="2" t="s">
        <v>48</v>
      </c>
      <c r="Q172" s="2" t="s">
        <v>34</v>
      </c>
      <c r="R172" s="2" t="s">
        <v>35</v>
      </c>
      <c r="S172" s="2" t="s">
        <v>428</v>
      </c>
      <c r="T172" s="2" t="s">
        <v>36</v>
      </c>
      <c r="U172" s="2" t="s">
        <v>37</v>
      </c>
      <c r="V172" s="2" t="s">
        <v>52</v>
      </c>
      <c r="W172" s="2" t="s">
        <v>1132</v>
      </c>
      <c r="X172" s="2" t="s">
        <v>412</v>
      </c>
      <c r="Y172" s="2" t="s">
        <v>429</v>
      </c>
      <c r="Z172" s="2" t="s">
        <v>412</v>
      </c>
      <c r="AA172" s="2" t="s">
        <v>39</v>
      </c>
      <c r="AB172" s="2" t="s">
        <v>414</v>
      </c>
      <c r="AC172" s="14">
        <f t="shared" si="45"/>
        <v>44061</v>
      </c>
      <c r="AD172" s="14">
        <f t="shared" si="46"/>
        <v>44093</v>
      </c>
      <c r="AE172" s="2"/>
      <c r="AF172" s="2"/>
    </row>
    <row r="173" spans="1:33" x14ac:dyDescent="0.2">
      <c r="A173" s="2" t="s">
        <v>427</v>
      </c>
      <c r="B173" s="3">
        <v>44073</v>
      </c>
      <c r="C173" s="2" t="s">
        <v>1129</v>
      </c>
      <c r="D173" s="2" t="s">
        <v>28</v>
      </c>
      <c r="E173" s="2" t="s">
        <v>98</v>
      </c>
      <c r="F173" s="2" t="s">
        <v>205</v>
      </c>
      <c r="G173" s="2" t="s">
        <v>1133</v>
      </c>
      <c r="H173" s="2" t="s">
        <v>1134</v>
      </c>
      <c r="I173" s="2" t="s">
        <v>77</v>
      </c>
      <c r="J173" s="2" t="s">
        <v>32</v>
      </c>
      <c r="K173" s="2" t="s">
        <v>503</v>
      </c>
      <c r="L173" s="2" t="s">
        <v>1116</v>
      </c>
      <c r="M173" s="3">
        <v>44061</v>
      </c>
      <c r="N173" s="3">
        <v>44093</v>
      </c>
      <c r="O173" s="4">
        <v>499.745</v>
      </c>
      <c r="P173" s="2" t="s">
        <v>48</v>
      </c>
      <c r="Q173" s="2" t="s">
        <v>34</v>
      </c>
      <c r="R173" s="2" t="s">
        <v>35</v>
      </c>
      <c r="S173" s="2" t="s">
        <v>428</v>
      </c>
      <c r="T173" s="2" t="s">
        <v>72</v>
      </c>
      <c r="U173" s="2" t="s">
        <v>37</v>
      </c>
      <c r="V173" s="2" t="s">
        <v>52</v>
      </c>
      <c r="W173" s="2" t="s">
        <v>1135</v>
      </c>
      <c r="X173" s="2" t="s">
        <v>412</v>
      </c>
      <c r="Y173" s="2" t="s">
        <v>429</v>
      </c>
      <c r="Z173" s="2" t="s">
        <v>412</v>
      </c>
      <c r="AA173" s="2" t="s">
        <v>39</v>
      </c>
      <c r="AB173" s="2" t="s">
        <v>414</v>
      </c>
      <c r="AC173" s="14">
        <f t="shared" si="45"/>
        <v>44061</v>
      </c>
      <c r="AD173" s="14">
        <f t="shared" si="46"/>
        <v>44093</v>
      </c>
      <c r="AE173" s="2"/>
      <c r="AF173" s="2"/>
    </row>
    <row r="174" spans="1:33" x14ac:dyDescent="0.2">
      <c r="A174" s="2" t="s">
        <v>427</v>
      </c>
      <c r="B174" s="3">
        <v>44058</v>
      </c>
      <c r="C174" s="2" t="s">
        <v>1209</v>
      </c>
      <c r="D174" s="2" t="s">
        <v>1210</v>
      </c>
      <c r="E174" s="2" t="s">
        <v>1211</v>
      </c>
      <c r="F174" s="2" t="s">
        <v>1212</v>
      </c>
      <c r="G174" s="2" t="s">
        <v>1213</v>
      </c>
      <c r="H174" s="2" t="s">
        <v>1214</v>
      </c>
      <c r="I174" s="2" t="s">
        <v>77</v>
      </c>
      <c r="J174" s="2" t="s">
        <v>32</v>
      </c>
      <c r="K174" s="2" t="s">
        <v>1199</v>
      </c>
      <c r="L174" s="2" t="s">
        <v>740</v>
      </c>
      <c r="M174" s="3">
        <v>44061</v>
      </c>
      <c r="N174" s="3">
        <v>44114</v>
      </c>
      <c r="O174" s="4">
        <v>103.5</v>
      </c>
      <c r="P174" s="2" t="s">
        <v>48</v>
      </c>
      <c r="Q174" s="2" t="s">
        <v>1215</v>
      </c>
      <c r="R174" s="2" t="s">
        <v>1216</v>
      </c>
      <c r="S174" s="2" t="s">
        <v>419</v>
      </c>
      <c r="T174" s="2" t="s">
        <v>72</v>
      </c>
      <c r="U174" s="2" t="s">
        <v>1139</v>
      </c>
      <c r="V174" s="2" t="s">
        <v>65</v>
      </c>
      <c r="W174" s="2" t="s">
        <v>1217</v>
      </c>
      <c r="X174" s="2" t="s">
        <v>412</v>
      </c>
      <c r="Y174" s="2" t="s">
        <v>468</v>
      </c>
      <c r="Z174" s="2" t="s">
        <v>412</v>
      </c>
      <c r="AA174" s="2" t="s">
        <v>733</v>
      </c>
      <c r="AB174" s="2" t="s">
        <v>414</v>
      </c>
      <c r="AC174" s="14">
        <v>44068</v>
      </c>
      <c r="AD174" s="14">
        <v>44121</v>
      </c>
      <c r="AE174" s="2">
        <v>7</v>
      </c>
      <c r="AF174">
        <v>7</v>
      </c>
      <c r="AG174" s="2" t="s">
        <v>1836</v>
      </c>
    </row>
    <row r="175" spans="1:33" x14ac:dyDescent="0.2">
      <c r="A175" s="2" t="s">
        <v>427</v>
      </c>
      <c r="B175" s="3">
        <v>44073</v>
      </c>
      <c r="C175" s="2" t="s">
        <v>1265</v>
      </c>
      <c r="D175" s="2" t="s">
        <v>74</v>
      </c>
      <c r="E175" s="2" t="s">
        <v>75</v>
      </c>
      <c r="F175" s="2" t="s">
        <v>966</v>
      </c>
      <c r="G175" s="2" t="s">
        <v>1266</v>
      </c>
      <c r="H175" s="2" t="s">
        <v>1267</v>
      </c>
      <c r="I175" s="2" t="s">
        <v>77</v>
      </c>
      <c r="J175" s="2" t="s">
        <v>32</v>
      </c>
      <c r="K175" s="2" t="s">
        <v>1268</v>
      </c>
      <c r="L175" s="2" t="s">
        <v>1269</v>
      </c>
      <c r="M175" s="3">
        <v>44062</v>
      </c>
      <c r="N175" s="3">
        <v>44109</v>
      </c>
      <c r="O175" s="4">
        <v>496.8</v>
      </c>
      <c r="P175" s="2" t="s">
        <v>48</v>
      </c>
      <c r="Q175" s="2" t="s">
        <v>149</v>
      </c>
      <c r="R175" s="2" t="s">
        <v>150</v>
      </c>
      <c r="S175" s="2" t="s">
        <v>428</v>
      </c>
      <c r="T175" s="2" t="s">
        <v>36</v>
      </c>
      <c r="U175" s="2" t="s">
        <v>1692</v>
      </c>
      <c r="V175" s="2" t="s">
        <v>65</v>
      </c>
      <c r="W175" s="2" t="s">
        <v>1270</v>
      </c>
      <c r="X175" s="2" t="s">
        <v>412</v>
      </c>
      <c r="Y175" s="2" t="s">
        <v>429</v>
      </c>
      <c r="Z175" s="2" t="s">
        <v>412</v>
      </c>
      <c r="AA175" s="2" t="s">
        <v>39</v>
      </c>
      <c r="AB175" s="2" t="s">
        <v>414</v>
      </c>
      <c r="AC175" s="14">
        <f t="shared" ref="AC175:AC183" si="47">M175</f>
        <v>44062</v>
      </c>
      <c r="AD175" s="14">
        <f t="shared" ref="AD175:AD183" si="48">N175</f>
        <v>44109</v>
      </c>
      <c r="AE175" s="2"/>
      <c r="AF175" s="2"/>
    </row>
    <row r="176" spans="1:33" x14ac:dyDescent="0.2">
      <c r="A176" s="2" t="s">
        <v>427</v>
      </c>
      <c r="B176" s="3">
        <v>44073</v>
      </c>
      <c r="C176" s="2" t="s">
        <v>1265</v>
      </c>
      <c r="D176" s="2" t="s">
        <v>74</v>
      </c>
      <c r="E176" s="2" t="s">
        <v>75</v>
      </c>
      <c r="F176" s="2" t="s">
        <v>966</v>
      </c>
      <c r="G176" s="2" t="s">
        <v>1271</v>
      </c>
      <c r="H176" s="2" t="s">
        <v>1272</v>
      </c>
      <c r="I176" s="2" t="s">
        <v>77</v>
      </c>
      <c r="J176" s="2" t="s">
        <v>32</v>
      </c>
      <c r="K176" s="2" t="s">
        <v>1268</v>
      </c>
      <c r="L176" s="2" t="s">
        <v>1269</v>
      </c>
      <c r="M176" s="3">
        <v>44062</v>
      </c>
      <c r="N176" s="3">
        <v>44109</v>
      </c>
      <c r="O176" s="4">
        <v>496.8</v>
      </c>
      <c r="P176" s="2" t="s">
        <v>48</v>
      </c>
      <c r="Q176" s="2" t="s">
        <v>149</v>
      </c>
      <c r="R176" s="2" t="s">
        <v>150</v>
      </c>
      <c r="S176" s="2" t="s">
        <v>428</v>
      </c>
      <c r="T176" s="2" t="s">
        <v>36</v>
      </c>
      <c r="U176" s="2" t="s">
        <v>1692</v>
      </c>
      <c r="V176" s="2" t="s">
        <v>65</v>
      </c>
      <c r="W176" s="2" t="s">
        <v>1273</v>
      </c>
      <c r="X176" s="2" t="s">
        <v>412</v>
      </c>
      <c r="Y176" s="2" t="s">
        <v>429</v>
      </c>
      <c r="Z176" s="2" t="s">
        <v>412</v>
      </c>
      <c r="AA176" s="2" t="s">
        <v>39</v>
      </c>
      <c r="AB176" s="2" t="s">
        <v>414</v>
      </c>
      <c r="AC176" s="14">
        <f t="shared" si="47"/>
        <v>44062</v>
      </c>
      <c r="AD176" s="14">
        <f t="shared" si="48"/>
        <v>44109</v>
      </c>
      <c r="AE176" s="2"/>
      <c r="AF176" s="2"/>
    </row>
    <row r="177" spans="1:30" x14ac:dyDescent="0.2">
      <c r="A177" s="2" t="s">
        <v>470</v>
      </c>
      <c r="B177" s="3">
        <v>44058</v>
      </c>
      <c r="C177" s="2" t="s">
        <v>1274</v>
      </c>
      <c r="D177" s="2" t="s">
        <v>28</v>
      </c>
      <c r="E177" s="2" t="s">
        <v>280</v>
      </c>
      <c r="F177" s="2" t="s">
        <v>281</v>
      </c>
      <c r="G177" s="2" t="s">
        <v>1275</v>
      </c>
      <c r="H177" s="2" t="s">
        <v>1276</v>
      </c>
      <c r="I177" s="2" t="s">
        <v>282</v>
      </c>
      <c r="J177" s="2" t="s">
        <v>223</v>
      </c>
      <c r="K177" s="2" t="s">
        <v>593</v>
      </c>
      <c r="L177" s="2" t="s">
        <v>1277</v>
      </c>
      <c r="M177" s="3">
        <v>44063</v>
      </c>
      <c r="N177" s="3">
        <v>44104</v>
      </c>
      <c r="O177" s="4">
        <v>51.5</v>
      </c>
      <c r="P177" s="2" t="s">
        <v>224</v>
      </c>
      <c r="Q177" s="2" t="s">
        <v>283</v>
      </c>
      <c r="R177" s="2" t="s">
        <v>284</v>
      </c>
      <c r="S177" s="2" t="s">
        <v>449</v>
      </c>
      <c r="T177" s="2" t="s">
        <v>87</v>
      </c>
      <c r="U177" s="2" t="s">
        <v>290</v>
      </c>
      <c r="V177" s="2" t="s">
        <v>88</v>
      </c>
      <c r="W177" s="2" t="s">
        <v>1278</v>
      </c>
      <c r="X177" s="2" t="s">
        <v>412</v>
      </c>
      <c r="Y177" s="2" t="s">
        <v>467</v>
      </c>
      <c r="Z177" s="2" t="s">
        <v>1279</v>
      </c>
      <c r="AA177" s="2" t="s">
        <v>39</v>
      </c>
      <c r="AB177" s="2" t="s">
        <v>414</v>
      </c>
      <c r="AC177" s="14">
        <f t="shared" si="47"/>
        <v>44063</v>
      </c>
      <c r="AD177" s="14">
        <f t="shared" si="48"/>
        <v>44104</v>
      </c>
    </row>
    <row r="178" spans="1:30" x14ac:dyDescent="0.2">
      <c r="A178" s="2" t="s">
        <v>470</v>
      </c>
      <c r="B178" s="3">
        <v>44058</v>
      </c>
      <c r="C178" s="2" t="s">
        <v>1274</v>
      </c>
      <c r="D178" s="2" t="s">
        <v>28</v>
      </c>
      <c r="E178" s="2" t="s">
        <v>280</v>
      </c>
      <c r="F178" s="2" t="s">
        <v>281</v>
      </c>
      <c r="G178" s="2" t="s">
        <v>1280</v>
      </c>
      <c r="H178" s="2" t="s">
        <v>1281</v>
      </c>
      <c r="I178" s="2" t="s">
        <v>239</v>
      </c>
      <c r="J178" s="2" t="s">
        <v>223</v>
      </c>
      <c r="K178" s="2" t="s">
        <v>593</v>
      </c>
      <c r="L178" s="2" t="s">
        <v>1277</v>
      </c>
      <c r="M178" s="3">
        <v>44063</v>
      </c>
      <c r="N178" s="3">
        <v>44104</v>
      </c>
      <c r="O178" s="4">
        <v>103</v>
      </c>
      <c r="P178" s="2" t="s">
        <v>224</v>
      </c>
      <c r="Q178" s="2" t="s">
        <v>283</v>
      </c>
      <c r="R178" s="2" t="s">
        <v>284</v>
      </c>
      <c r="S178" s="2" t="s">
        <v>419</v>
      </c>
      <c r="T178" s="2" t="s">
        <v>87</v>
      </c>
      <c r="U178" s="2" t="s">
        <v>290</v>
      </c>
      <c r="V178" s="2" t="s">
        <v>88</v>
      </c>
      <c r="W178" s="2" t="s">
        <v>1282</v>
      </c>
      <c r="X178" s="2" t="s">
        <v>412</v>
      </c>
      <c r="Y178" s="2" t="s">
        <v>468</v>
      </c>
      <c r="Z178" s="2" t="s">
        <v>1279</v>
      </c>
      <c r="AA178" s="2" t="s">
        <v>39</v>
      </c>
      <c r="AB178" s="2" t="s">
        <v>414</v>
      </c>
      <c r="AC178" s="14">
        <f t="shared" si="47"/>
        <v>44063</v>
      </c>
      <c r="AD178" s="14">
        <f t="shared" si="48"/>
        <v>44104</v>
      </c>
    </row>
    <row r="179" spans="1:30" x14ac:dyDescent="0.2">
      <c r="A179" s="2" t="s">
        <v>470</v>
      </c>
      <c r="B179" s="3">
        <v>44058</v>
      </c>
      <c r="C179" s="2" t="s">
        <v>1274</v>
      </c>
      <c r="D179" s="2" t="s">
        <v>137</v>
      </c>
      <c r="E179" s="2" t="s">
        <v>138</v>
      </c>
      <c r="F179" s="2" t="s">
        <v>139</v>
      </c>
      <c r="G179" s="2" t="s">
        <v>1283</v>
      </c>
      <c r="H179" s="2" t="s">
        <v>1284</v>
      </c>
      <c r="I179" s="2" t="s">
        <v>846</v>
      </c>
      <c r="J179" s="2" t="s">
        <v>32</v>
      </c>
      <c r="K179" s="2" t="s">
        <v>593</v>
      </c>
      <c r="L179" s="2" t="s">
        <v>1277</v>
      </c>
      <c r="M179" s="3">
        <v>44063</v>
      </c>
      <c r="N179" s="3">
        <v>44093</v>
      </c>
      <c r="O179" s="4">
        <v>508.82</v>
      </c>
      <c r="P179" s="2" t="s">
        <v>224</v>
      </c>
      <c r="Q179" s="2" t="s">
        <v>34</v>
      </c>
      <c r="R179" s="2" t="s">
        <v>35</v>
      </c>
      <c r="S179" s="2" t="s">
        <v>447</v>
      </c>
      <c r="T179" s="2" t="s">
        <v>87</v>
      </c>
      <c r="U179" s="2" t="s">
        <v>290</v>
      </c>
      <c r="V179" s="2" t="s">
        <v>88</v>
      </c>
      <c r="W179" s="2" t="s">
        <v>1285</v>
      </c>
      <c r="X179" s="2" t="s">
        <v>412</v>
      </c>
      <c r="Y179" s="2" t="s">
        <v>448</v>
      </c>
      <c r="Z179" s="2" t="s">
        <v>412</v>
      </c>
      <c r="AA179" s="2" t="s">
        <v>39</v>
      </c>
      <c r="AB179" s="2" t="s">
        <v>414</v>
      </c>
      <c r="AC179" s="14">
        <f t="shared" si="47"/>
        <v>44063</v>
      </c>
      <c r="AD179" s="14">
        <f t="shared" si="48"/>
        <v>44093</v>
      </c>
    </row>
    <row r="180" spans="1:30" x14ac:dyDescent="0.2">
      <c r="A180" s="2" t="s">
        <v>470</v>
      </c>
      <c r="B180" s="3">
        <v>44068</v>
      </c>
      <c r="C180" s="2" t="s">
        <v>1274</v>
      </c>
      <c r="D180" s="2" t="s">
        <v>28</v>
      </c>
      <c r="E180" s="2" t="s">
        <v>233</v>
      </c>
      <c r="F180" s="2" t="s">
        <v>234</v>
      </c>
      <c r="G180" s="2" t="s">
        <v>1286</v>
      </c>
      <c r="H180" s="2" t="s">
        <v>1287</v>
      </c>
      <c r="I180" s="2" t="s">
        <v>222</v>
      </c>
      <c r="J180" s="2" t="s">
        <v>223</v>
      </c>
      <c r="K180" s="2" t="s">
        <v>593</v>
      </c>
      <c r="L180" s="2" t="s">
        <v>1277</v>
      </c>
      <c r="M180" s="3">
        <v>44063</v>
      </c>
      <c r="N180" s="3">
        <v>44118</v>
      </c>
      <c r="O180" s="4">
        <v>74.16</v>
      </c>
      <c r="P180" s="2" t="s">
        <v>224</v>
      </c>
      <c r="Q180" s="2" t="s">
        <v>235</v>
      </c>
      <c r="R180" s="2" t="s">
        <v>236</v>
      </c>
      <c r="S180" s="2" t="s">
        <v>446</v>
      </c>
      <c r="T180" s="2" t="s">
        <v>87</v>
      </c>
      <c r="U180" s="2" t="s">
        <v>290</v>
      </c>
      <c r="V180" s="2" t="s">
        <v>88</v>
      </c>
      <c r="W180" s="2" t="s">
        <v>1288</v>
      </c>
      <c r="X180" s="2" t="s">
        <v>412</v>
      </c>
      <c r="Y180" s="2" t="s">
        <v>471</v>
      </c>
      <c r="Z180" s="2" t="s">
        <v>412</v>
      </c>
      <c r="AA180" s="2" t="s">
        <v>39</v>
      </c>
      <c r="AB180" s="2" t="s">
        <v>414</v>
      </c>
      <c r="AC180" s="14">
        <f t="shared" si="47"/>
        <v>44063</v>
      </c>
      <c r="AD180" s="14">
        <f t="shared" si="48"/>
        <v>44118</v>
      </c>
    </row>
    <row r="181" spans="1:30" x14ac:dyDescent="0.2">
      <c r="A181" s="2" t="s">
        <v>470</v>
      </c>
      <c r="B181" s="3">
        <v>43951</v>
      </c>
      <c r="C181" s="2" t="s">
        <v>1274</v>
      </c>
      <c r="D181" s="2" t="s">
        <v>152</v>
      </c>
      <c r="E181" s="2" t="s">
        <v>138</v>
      </c>
      <c r="F181" s="2" t="s">
        <v>265</v>
      </c>
      <c r="G181" s="2" t="s">
        <v>1289</v>
      </c>
      <c r="H181" s="2" t="s">
        <v>1290</v>
      </c>
      <c r="I181" s="2" t="s">
        <v>1291</v>
      </c>
      <c r="J181" s="2" t="s">
        <v>47</v>
      </c>
      <c r="K181" s="2" t="s">
        <v>593</v>
      </c>
      <c r="L181" s="2" t="s">
        <v>1277</v>
      </c>
      <c r="M181" s="3">
        <v>44063</v>
      </c>
      <c r="N181" s="3">
        <v>44092</v>
      </c>
      <c r="O181" s="4">
        <v>113.88</v>
      </c>
      <c r="P181" s="2" t="s">
        <v>224</v>
      </c>
      <c r="Q181" s="2" t="s">
        <v>206</v>
      </c>
      <c r="R181" s="2" t="s">
        <v>266</v>
      </c>
      <c r="S181" s="2" t="s">
        <v>465</v>
      </c>
      <c r="T181" s="2" t="s">
        <v>87</v>
      </c>
      <c r="U181" s="2" t="s">
        <v>290</v>
      </c>
      <c r="V181" s="2" t="s">
        <v>88</v>
      </c>
      <c r="W181" s="2" t="s">
        <v>1292</v>
      </c>
      <c r="X181" s="2" t="s">
        <v>412</v>
      </c>
      <c r="Y181" s="2" t="s">
        <v>425</v>
      </c>
      <c r="Z181" s="2" t="s">
        <v>412</v>
      </c>
      <c r="AA181" s="2" t="s">
        <v>39</v>
      </c>
      <c r="AB181" s="2" t="s">
        <v>414</v>
      </c>
      <c r="AC181" s="14">
        <f t="shared" si="47"/>
        <v>44063</v>
      </c>
      <c r="AD181" s="14">
        <f t="shared" si="48"/>
        <v>44092</v>
      </c>
    </row>
    <row r="182" spans="1:30" x14ac:dyDescent="0.2">
      <c r="A182" s="2" t="s">
        <v>470</v>
      </c>
      <c r="B182" s="3">
        <v>43951</v>
      </c>
      <c r="C182" s="2" t="s">
        <v>1274</v>
      </c>
      <c r="D182" s="2" t="s">
        <v>152</v>
      </c>
      <c r="E182" s="2" t="s">
        <v>138</v>
      </c>
      <c r="F182" s="2" t="s">
        <v>265</v>
      </c>
      <c r="G182" s="2" t="s">
        <v>1293</v>
      </c>
      <c r="H182" s="2" t="s">
        <v>1294</v>
      </c>
      <c r="I182" s="2" t="s">
        <v>1295</v>
      </c>
      <c r="J182" s="2" t="s">
        <v>47</v>
      </c>
      <c r="K182" s="2" t="s">
        <v>593</v>
      </c>
      <c r="L182" s="2" t="s">
        <v>1277</v>
      </c>
      <c r="M182" s="3">
        <v>44063</v>
      </c>
      <c r="N182" s="3">
        <v>44092</v>
      </c>
      <c r="O182" s="4">
        <v>284.7</v>
      </c>
      <c r="P182" s="2" t="s">
        <v>224</v>
      </c>
      <c r="Q182" s="2" t="s">
        <v>206</v>
      </c>
      <c r="R182" s="2" t="s">
        <v>266</v>
      </c>
      <c r="S182" s="2" t="s">
        <v>417</v>
      </c>
      <c r="T182" s="2" t="s">
        <v>87</v>
      </c>
      <c r="U182" s="2" t="s">
        <v>290</v>
      </c>
      <c r="V182" s="2" t="s">
        <v>88</v>
      </c>
      <c r="W182" s="2" t="s">
        <v>1296</v>
      </c>
      <c r="X182" s="2" t="s">
        <v>412</v>
      </c>
      <c r="Y182" s="2" t="s">
        <v>418</v>
      </c>
      <c r="Z182" s="2" t="s">
        <v>412</v>
      </c>
      <c r="AA182" s="2" t="s">
        <v>39</v>
      </c>
      <c r="AB182" s="2" t="s">
        <v>414</v>
      </c>
      <c r="AC182" s="14">
        <f t="shared" si="47"/>
        <v>44063</v>
      </c>
      <c r="AD182" s="14">
        <f t="shared" si="48"/>
        <v>44092</v>
      </c>
    </row>
    <row r="183" spans="1:30" x14ac:dyDescent="0.2">
      <c r="A183" s="2" t="s">
        <v>470</v>
      </c>
      <c r="B183" s="3">
        <v>44073</v>
      </c>
      <c r="C183" s="2" t="s">
        <v>1274</v>
      </c>
      <c r="D183" s="2" t="s">
        <v>28</v>
      </c>
      <c r="E183" s="2" t="s">
        <v>129</v>
      </c>
      <c r="F183" s="2" t="s">
        <v>507</v>
      </c>
      <c r="G183" s="2" t="s">
        <v>1812</v>
      </c>
      <c r="H183" s="2" t="s">
        <v>1813</v>
      </c>
      <c r="I183" s="2" t="s">
        <v>31</v>
      </c>
      <c r="J183" s="2" t="s">
        <v>32</v>
      </c>
      <c r="K183" s="2" t="s">
        <v>593</v>
      </c>
      <c r="L183" s="2" t="s">
        <v>1277</v>
      </c>
      <c r="M183" s="3">
        <v>44063</v>
      </c>
      <c r="N183" s="3">
        <v>44089</v>
      </c>
      <c r="O183" s="4">
        <v>508.82</v>
      </c>
      <c r="P183" s="2" t="s">
        <v>224</v>
      </c>
      <c r="Q183" s="2" t="s">
        <v>405</v>
      </c>
      <c r="R183" s="2" t="s">
        <v>406</v>
      </c>
      <c r="S183" s="2" t="s">
        <v>477</v>
      </c>
      <c r="T183" s="2" t="s">
        <v>87</v>
      </c>
      <c r="U183" s="2" t="s">
        <v>290</v>
      </c>
      <c r="V183" s="2" t="s">
        <v>88</v>
      </c>
      <c r="W183" s="2" t="s">
        <v>412</v>
      </c>
      <c r="X183" s="2" t="s">
        <v>412</v>
      </c>
      <c r="Y183" s="2" t="s">
        <v>448</v>
      </c>
      <c r="Z183" s="2" t="s">
        <v>412</v>
      </c>
      <c r="AA183" s="2" t="s">
        <v>39</v>
      </c>
      <c r="AB183" s="2" t="s">
        <v>414</v>
      </c>
      <c r="AC183" s="14">
        <f t="shared" si="47"/>
        <v>44063</v>
      </c>
      <c r="AD183" s="14">
        <f t="shared" si="48"/>
        <v>44089</v>
      </c>
    </row>
    <row r="184" spans="1:30" x14ac:dyDescent="0.2">
      <c r="A184" s="2" t="s">
        <v>470</v>
      </c>
      <c r="B184" s="3">
        <v>44058</v>
      </c>
      <c r="C184" s="2" t="s">
        <v>1297</v>
      </c>
      <c r="D184" s="2" t="s">
        <v>91</v>
      </c>
      <c r="E184" s="2" t="s">
        <v>217</v>
      </c>
      <c r="F184" s="2" t="s">
        <v>218</v>
      </c>
      <c r="G184" s="2" t="s">
        <v>1298</v>
      </c>
      <c r="H184" s="2" t="s">
        <v>1299</v>
      </c>
      <c r="I184" s="2" t="s">
        <v>302</v>
      </c>
      <c r="J184" s="2" t="s">
        <v>47</v>
      </c>
      <c r="K184" s="2" t="s">
        <v>1300</v>
      </c>
      <c r="L184" s="2" t="s">
        <v>113</v>
      </c>
      <c r="M184" s="3">
        <v>44063</v>
      </c>
      <c r="N184" s="3">
        <v>44101</v>
      </c>
      <c r="O184" s="4">
        <v>396.197</v>
      </c>
      <c r="P184" s="2" t="s">
        <v>303</v>
      </c>
      <c r="Q184" s="2" t="s">
        <v>206</v>
      </c>
      <c r="R184" s="2" t="s">
        <v>268</v>
      </c>
      <c r="S184" s="2" t="s">
        <v>439</v>
      </c>
      <c r="T184" s="2" t="s">
        <v>117</v>
      </c>
      <c r="U184" s="2" t="s">
        <v>304</v>
      </c>
      <c r="V184" s="2" t="s">
        <v>118</v>
      </c>
      <c r="W184" s="2" t="s">
        <v>412</v>
      </c>
      <c r="X184" s="2" t="s">
        <v>412</v>
      </c>
      <c r="Y184" s="2" t="s">
        <v>474</v>
      </c>
      <c r="Z184" s="2" t="s">
        <v>412</v>
      </c>
      <c r="AA184" s="2" t="s">
        <v>39</v>
      </c>
      <c r="AB184" s="2" t="s">
        <v>441</v>
      </c>
      <c r="AC184" s="14">
        <f>M184</f>
        <v>44063</v>
      </c>
      <c r="AD184" s="14">
        <f>N184</f>
        <v>44101</v>
      </c>
    </row>
    <row r="185" spans="1:30" x14ac:dyDescent="0.2">
      <c r="A185" s="2" t="s">
        <v>470</v>
      </c>
      <c r="B185" s="3">
        <v>44058</v>
      </c>
      <c r="C185" s="2" t="s">
        <v>1297</v>
      </c>
      <c r="D185" s="2" t="s">
        <v>91</v>
      </c>
      <c r="E185" s="2" t="s">
        <v>217</v>
      </c>
      <c r="F185" s="2" t="s">
        <v>218</v>
      </c>
      <c r="G185" s="2" t="s">
        <v>1301</v>
      </c>
      <c r="H185" s="2" t="s">
        <v>1302</v>
      </c>
      <c r="I185" s="2" t="s">
        <v>305</v>
      </c>
      <c r="J185" s="2" t="s">
        <v>47</v>
      </c>
      <c r="K185" s="2" t="s">
        <v>1300</v>
      </c>
      <c r="L185" s="2" t="s">
        <v>113</v>
      </c>
      <c r="M185" s="3">
        <v>44063</v>
      </c>
      <c r="N185" s="3">
        <v>44101</v>
      </c>
      <c r="O185" s="4">
        <v>202.946</v>
      </c>
      <c r="P185" s="2" t="s">
        <v>303</v>
      </c>
      <c r="Q185" s="2" t="s">
        <v>206</v>
      </c>
      <c r="R185" s="2" t="s">
        <v>268</v>
      </c>
      <c r="S185" s="2" t="s">
        <v>439</v>
      </c>
      <c r="T185" s="2" t="s">
        <v>117</v>
      </c>
      <c r="U185" s="2" t="s">
        <v>304</v>
      </c>
      <c r="V185" s="2" t="s">
        <v>118</v>
      </c>
      <c r="W185" s="2" t="s">
        <v>412</v>
      </c>
      <c r="X185" s="2" t="s">
        <v>412</v>
      </c>
      <c r="Y185" s="2" t="s">
        <v>435</v>
      </c>
      <c r="Z185" s="2" t="s">
        <v>412</v>
      </c>
      <c r="AA185" s="2" t="s">
        <v>39</v>
      </c>
      <c r="AB185" s="2" t="s">
        <v>441</v>
      </c>
      <c r="AC185" s="14">
        <f t="shared" ref="AC185:AC223" si="49">M185</f>
        <v>44063</v>
      </c>
      <c r="AD185" s="14">
        <f t="shared" ref="AD185:AD223" si="50">N185</f>
        <v>44101</v>
      </c>
    </row>
    <row r="186" spans="1:30" x14ac:dyDescent="0.2">
      <c r="A186" s="2" t="s">
        <v>470</v>
      </c>
      <c r="B186" s="3">
        <v>44058</v>
      </c>
      <c r="C186" s="2" t="s">
        <v>1297</v>
      </c>
      <c r="D186" s="2" t="s">
        <v>91</v>
      </c>
      <c r="E186" s="2" t="s">
        <v>217</v>
      </c>
      <c r="F186" s="2" t="s">
        <v>218</v>
      </c>
      <c r="G186" s="2" t="s">
        <v>1303</v>
      </c>
      <c r="H186" s="2" t="s">
        <v>1304</v>
      </c>
      <c r="I186" s="2" t="s">
        <v>306</v>
      </c>
      <c r="J186" s="2" t="s">
        <v>47</v>
      </c>
      <c r="K186" s="2" t="s">
        <v>1300</v>
      </c>
      <c r="L186" s="2" t="s">
        <v>113</v>
      </c>
      <c r="M186" s="3">
        <v>44063</v>
      </c>
      <c r="N186" s="3">
        <v>44101</v>
      </c>
      <c r="O186" s="4">
        <v>97.042000000000002</v>
      </c>
      <c r="P186" s="2" t="s">
        <v>303</v>
      </c>
      <c r="Q186" s="2" t="s">
        <v>206</v>
      </c>
      <c r="R186" s="2" t="s">
        <v>268</v>
      </c>
      <c r="S186" s="2" t="s">
        <v>439</v>
      </c>
      <c r="T186" s="2" t="s">
        <v>117</v>
      </c>
      <c r="U186" s="2" t="s">
        <v>304</v>
      </c>
      <c r="V186" s="2" t="s">
        <v>118</v>
      </c>
      <c r="W186" s="2" t="s">
        <v>412</v>
      </c>
      <c r="X186" s="2" t="s">
        <v>412</v>
      </c>
      <c r="Y186" s="2" t="s">
        <v>425</v>
      </c>
      <c r="Z186" s="2" t="s">
        <v>412</v>
      </c>
      <c r="AA186" s="2" t="s">
        <v>39</v>
      </c>
      <c r="AB186" s="2" t="s">
        <v>441</v>
      </c>
      <c r="AC186" s="14">
        <f t="shared" si="49"/>
        <v>44063</v>
      </c>
      <c r="AD186" s="14">
        <f t="shared" si="50"/>
        <v>44101</v>
      </c>
    </row>
    <row r="187" spans="1:30" x14ac:dyDescent="0.2">
      <c r="A187" s="2" t="s">
        <v>470</v>
      </c>
      <c r="B187" s="3">
        <v>44058</v>
      </c>
      <c r="C187" s="2" t="s">
        <v>1297</v>
      </c>
      <c r="D187" s="2" t="s">
        <v>62</v>
      </c>
      <c r="E187" s="2" t="s">
        <v>307</v>
      </c>
      <c r="F187" s="2" t="s">
        <v>308</v>
      </c>
      <c r="G187" s="2" t="s">
        <v>1305</v>
      </c>
      <c r="H187" s="2" t="s">
        <v>1306</v>
      </c>
      <c r="I187" s="2" t="s">
        <v>309</v>
      </c>
      <c r="J187" s="2" t="s">
        <v>223</v>
      </c>
      <c r="K187" s="2" t="s">
        <v>1300</v>
      </c>
      <c r="L187" s="2" t="s">
        <v>113</v>
      </c>
      <c r="M187" s="3">
        <v>44063</v>
      </c>
      <c r="N187" s="3">
        <v>44108</v>
      </c>
      <c r="O187" s="4">
        <v>123.893</v>
      </c>
      <c r="P187" s="2" t="s">
        <v>303</v>
      </c>
      <c r="Q187" s="2" t="s">
        <v>115</v>
      </c>
      <c r="R187" s="2" t="s">
        <v>116</v>
      </c>
      <c r="S187" s="2" t="s">
        <v>439</v>
      </c>
      <c r="T187" s="2" t="s">
        <v>117</v>
      </c>
      <c r="U187" s="2" t="s">
        <v>304</v>
      </c>
      <c r="V187" s="2" t="s">
        <v>118</v>
      </c>
      <c r="W187" s="2" t="s">
        <v>412</v>
      </c>
      <c r="X187" s="2" t="s">
        <v>412</v>
      </c>
      <c r="Y187" s="2" t="s">
        <v>469</v>
      </c>
      <c r="Z187" s="2" t="s">
        <v>412</v>
      </c>
      <c r="AA187" s="2" t="s">
        <v>39</v>
      </c>
      <c r="AB187" s="2" t="s">
        <v>441</v>
      </c>
      <c r="AC187" s="14">
        <f t="shared" si="49"/>
        <v>44063</v>
      </c>
      <c r="AD187" s="14">
        <f t="shared" si="50"/>
        <v>44108</v>
      </c>
    </row>
    <row r="188" spans="1:30" x14ac:dyDescent="0.2">
      <c r="A188" s="2" t="s">
        <v>470</v>
      </c>
      <c r="B188" s="3">
        <v>44073</v>
      </c>
      <c r="C188" s="2" t="s">
        <v>1297</v>
      </c>
      <c r="D188" s="2" t="s">
        <v>28</v>
      </c>
      <c r="E188" s="2" t="s">
        <v>162</v>
      </c>
      <c r="F188" s="2" t="s">
        <v>163</v>
      </c>
      <c r="G188" s="2" t="s">
        <v>1307</v>
      </c>
      <c r="H188" s="2" t="s">
        <v>1308</v>
      </c>
      <c r="I188" s="2" t="s">
        <v>112</v>
      </c>
      <c r="J188" s="2" t="s">
        <v>32</v>
      </c>
      <c r="K188" s="2" t="s">
        <v>1300</v>
      </c>
      <c r="L188" s="2" t="s">
        <v>113</v>
      </c>
      <c r="M188" s="3">
        <v>44063</v>
      </c>
      <c r="N188" s="3">
        <v>44108</v>
      </c>
      <c r="O188" s="4">
        <v>494.78</v>
      </c>
      <c r="P188" s="2" t="s">
        <v>303</v>
      </c>
      <c r="Q188" s="2" t="s">
        <v>115</v>
      </c>
      <c r="R188" s="2" t="s">
        <v>116</v>
      </c>
      <c r="S188" s="2" t="s">
        <v>439</v>
      </c>
      <c r="T188" s="2" t="s">
        <v>117</v>
      </c>
      <c r="U188" s="2" t="s">
        <v>304</v>
      </c>
      <c r="V188" s="2" t="s">
        <v>118</v>
      </c>
      <c r="W188" s="2" t="s">
        <v>412</v>
      </c>
      <c r="X188" s="2" t="s">
        <v>412</v>
      </c>
      <c r="Y188" s="2" t="s">
        <v>429</v>
      </c>
      <c r="Z188" s="2" t="s">
        <v>412</v>
      </c>
      <c r="AA188" s="2" t="s">
        <v>39</v>
      </c>
      <c r="AB188" s="2" t="s">
        <v>441</v>
      </c>
      <c r="AC188" s="14">
        <f t="shared" si="49"/>
        <v>44063</v>
      </c>
      <c r="AD188" s="14">
        <f t="shared" si="50"/>
        <v>44108</v>
      </c>
    </row>
    <row r="189" spans="1:30" x14ac:dyDescent="0.2">
      <c r="A189" s="2" t="s">
        <v>470</v>
      </c>
      <c r="B189" s="3">
        <v>44073</v>
      </c>
      <c r="C189" s="2" t="s">
        <v>1297</v>
      </c>
      <c r="D189" s="2" t="s">
        <v>28</v>
      </c>
      <c r="E189" s="2" t="s">
        <v>162</v>
      </c>
      <c r="F189" s="2" t="s">
        <v>163</v>
      </c>
      <c r="G189" s="2" t="s">
        <v>1309</v>
      </c>
      <c r="H189" s="2" t="s">
        <v>1310</v>
      </c>
      <c r="I189" s="2" t="s">
        <v>112</v>
      </c>
      <c r="J189" s="2" t="s">
        <v>32</v>
      </c>
      <c r="K189" s="2" t="s">
        <v>1300</v>
      </c>
      <c r="L189" s="2" t="s">
        <v>113</v>
      </c>
      <c r="M189" s="3">
        <v>44063</v>
      </c>
      <c r="N189" s="3">
        <v>44108</v>
      </c>
      <c r="O189" s="4">
        <v>494.77</v>
      </c>
      <c r="P189" s="2" t="s">
        <v>303</v>
      </c>
      <c r="Q189" s="2" t="s">
        <v>115</v>
      </c>
      <c r="R189" s="2" t="s">
        <v>116</v>
      </c>
      <c r="S189" s="2" t="s">
        <v>439</v>
      </c>
      <c r="T189" s="2" t="s">
        <v>117</v>
      </c>
      <c r="U189" s="2" t="s">
        <v>304</v>
      </c>
      <c r="V189" s="2" t="s">
        <v>118</v>
      </c>
      <c r="W189" s="2" t="s">
        <v>412</v>
      </c>
      <c r="X189" s="2" t="s">
        <v>412</v>
      </c>
      <c r="Y189" s="2" t="s">
        <v>429</v>
      </c>
      <c r="Z189" s="2" t="s">
        <v>412</v>
      </c>
      <c r="AA189" s="2" t="s">
        <v>39</v>
      </c>
      <c r="AB189" s="2" t="s">
        <v>441</v>
      </c>
      <c r="AC189" s="14">
        <f t="shared" si="49"/>
        <v>44063</v>
      </c>
      <c r="AD189" s="14">
        <f t="shared" si="50"/>
        <v>44108</v>
      </c>
    </row>
    <row r="190" spans="1:30" x14ac:dyDescent="0.2">
      <c r="A190" s="2" t="s">
        <v>470</v>
      </c>
      <c r="B190" s="3">
        <v>44073</v>
      </c>
      <c r="C190" s="2" t="s">
        <v>1297</v>
      </c>
      <c r="D190" s="2" t="s">
        <v>28</v>
      </c>
      <c r="E190" s="2" t="s">
        <v>162</v>
      </c>
      <c r="F190" s="2" t="s">
        <v>163</v>
      </c>
      <c r="G190" s="2" t="s">
        <v>1311</v>
      </c>
      <c r="H190" s="2" t="s">
        <v>1312</v>
      </c>
      <c r="I190" s="2" t="s">
        <v>112</v>
      </c>
      <c r="J190" s="2" t="s">
        <v>32</v>
      </c>
      <c r="K190" s="2" t="s">
        <v>1300</v>
      </c>
      <c r="L190" s="2" t="s">
        <v>113</v>
      </c>
      <c r="M190" s="3">
        <v>44063</v>
      </c>
      <c r="N190" s="3">
        <v>44108</v>
      </c>
      <c r="O190" s="4">
        <v>500</v>
      </c>
      <c r="P190" s="2" t="s">
        <v>303</v>
      </c>
      <c r="Q190" s="2" t="s">
        <v>115</v>
      </c>
      <c r="R190" s="2" t="s">
        <v>116</v>
      </c>
      <c r="S190" s="2" t="s">
        <v>439</v>
      </c>
      <c r="T190" s="2" t="s">
        <v>117</v>
      </c>
      <c r="U190" s="2" t="s">
        <v>290</v>
      </c>
      <c r="V190" s="2" t="s">
        <v>118</v>
      </c>
      <c r="W190" s="2" t="s">
        <v>412</v>
      </c>
      <c r="X190" s="2" t="s">
        <v>412</v>
      </c>
      <c r="Y190" s="2" t="s">
        <v>476</v>
      </c>
      <c r="Z190" s="2" t="s">
        <v>412</v>
      </c>
      <c r="AA190" s="2" t="s">
        <v>39</v>
      </c>
      <c r="AB190" s="2" t="s">
        <v>441</v>
      </c>
      <c r="AC190" s="14">
        <f t="shared" si="49"/>
        <v>44063</v>
      </c>
      <c r="AD190" s="14">
        <f t="shared" si="50"/>
        <v>44108</v>
      </c>
    </row>
    <row r="191" spans="1:30" x14ac:dyDescent="0.2">
      <c r="A191" s="2" t="s">
        <v>470</v>
      </c>
      <c r="B191" s="3">
        <v>44073</v>
      </c>
      <c r="C191" s="2" t="s">
        <v>1297</v>
      </c>
      <c r="D191" s="2" t="s">
        <v>28</v>
      </c>
      <c r="E191" s="2" t="s">
        <v>162</v>
      </c>
      <c r="F191" s="2" t="s">
        <v>163</v>
      </c>
      <c r="G191" s="2" t="s">
        <v>1313</v>
      </c>
      <c r="H191" s="2" t="s">
        <v>1314</v>
      </c>
      <c r="I191" s="2" t="s">
        <v>112</v>
      </c>
      <c r="J191" s="2" t="s">
        <v>32</v>
      </c>
      <c r="K191" s="2" t="s">
        <v>1300</v>
      </c>
      <c r="L191" s="2" t="s">
        <v>113</v>
      </c>
      <c r="M191" s="3">
        <v>44063</v>
      </c>
      <c r="N191" s="3">
        <v>44108</v>
      </c>
      <c r="O191" s="4">
        <v>500</v>
      </c>
      <c r="P191" s="2" t="s">
        <v>303</v>
      </c>
      <c r="Q191" s="2" t="s">
        <v>115</v>
      </c>
      <c r="R191" s="2" t="s">
        <v>116</v>
      </c>
      <c r="S191" s="2" t="s">
        <v>439</v>
      </c>
      <c r="T191" s="2" t="s">
        <v>117</v>
      </c>
      <c r="U191" s="2" t="s">
        <v>290</v>
      </c>
      <c r="V191" s="2" t="s">
        <v>118</v>
      </c>
      <c r="W191" s="2" t="s">
        <v>412</v>
      </c>
      <c r="X191" s="2" t="s">
        <v>412</v>
      </c>
      <c r="Y191" s="2" t="s">
        <v>476</v>
      </c>
      <c r="Z191" s="2" t="s">
        <v>412</v>
      </c>
      <c r="AA191" s="2" t="s">
        <v>39</v>
      </c>
      <c r="AB191" s="2" t="s">
        <v>441</v>
      </c>
      <c r="AC191" s="14">
        <f t="shared" si="49"/>
        <v>44063</v>
      </c>
      <c r="AD191" s="14">
        <f t="shared" si="50"/>
        <v>44108</v>
      </c>
    </row>
    <row r="192" spans="1:30" x14ac:dyDescent="0.2">
      <c r="A192" s="2" t="s">
        <v>470</v>
      </c>
      <c r="B192" s="3">
        <v>44073</v>
      </c>
      <c r="C192" s="2" t="s">
        <v>1297</v>
      </c>
      <c r="D192" s="2" t="s">
        <v>28</v>
      </c>
      <c r="E192" s="2" t="s">
        <v>162</v>
      </c>
      <c r="F192" s="2" t="s">
        <v>163</v>
      </c>
      <c r="G192" s="2" t="s">
        <v>1315</v>
      </c>
      <c r="H192" s="2" t="s">
        <v>1316</v>
      </c>
      <c r="I192" s="2" t="s">
        <v>112</v>
      </c>
      <c r="J192" s="2" t="s">
        <v>32</v>
      </c>
      <c r="K192" s="2" t="s">
        <v>1300</v>
      </c>
      <c r="L192" s="2" t="s">
        <v>113</v>
      </c>
      <c r="M192" s="3">
        <v>44063</v>
      </c>
      <c r="N192" s="3">
        <v>44108</v>
      </c>
      <c r="O192" s="4">
        <v>500</v>
      </c>
      <c r="P192" s="2" t="s">
        <v>303</v>
      </c>
      <c r="Q192" s="2" t="s">
        <v>115</v>
      </c>
      <c r="R192" s="2" t="s">
        <v>116</v>
      </c>
      <c r="S192" s="2" t="s">
        <v>439</v>
      </c>
      <c r="T192" s="2" t="s">
        <v>117</v>
      </c>
      <c r="U192" s="2" t="s">
        <v>290</v>
      </c>
      <c r="V192" s="2" t="s">
        <v>118</v>
      </c>
      <c r="W192" s="2" t="s">
        <v>412</v>
      </c>
      <c r="X192" s="2" t="s">
        <v>412</v>
      </c>
      <c r="Y192" s="2" t="s">
        <v>476</v>
      </c>
      <c r="Z192" s="2" t="s">
        <v>412</v>
      </c>
      <c r="AA192" s="2" t="s">
        <v>39</v>
      </c>
      <c r="AB192" s="2" t="s">
        <v>441</v>
      </c>
      <c r="AC192" s="14">
        <f t="shared" si="49"/>
        <v>44063</v>
      </c>
      <c r="AD192" s="14">
        <f t="shared" si="50"/>
        <v>44108</v>
      </c>
    </row>
    <row r="193" spans="1:30" x14ac:dyDescent="0.2">
      <c r="A193" s="2" t="s">
        <v>470</v>
      </c>
      <c r="B193" s="3">
        <v>44048</v>
      </c>
      <c r="C193" s="2" t="s">
        <v>1297</v>
      </c>
      <c r="D193" s="2" t="s">
        <v>152</v>
      </c>
      <c r="E193" s="2" t="s">
        <v>127</v>
      </c>
      <c r="F193" s="2" t="s">
        <v>314</v>
      </c>
      <c r="G193" s="2" t="s">
        <v>1317</v>
      </c>
      <c r="H193" s="2" t="s">
        <v>1318</v>
      </c>
      <c r="I193" s="2" t="s">
        <v>315</v>
      </c>
      <c r="J193" s="2" t="s">
        <v>58</v>
      </c>
      <c r="K193" s="2" t="s">
        <v>1300</v>
      </c>
      <c r="L193" s="2" t="s">
        <v>113</v>
      </c>
      <c r="M193" s="3">
        <v>44063</v>
      </c>
      <c r="N193" s="3">
        <v>44090</v>
      </c>
      <c r="O193" s="4">
        <v>100</v>
      </c>
      <c r="P193" s="2" t="s">
        <v>303</v>
      </c>
      <c r="Q193" s="2" t="s">
        <v>85</v>
      </c>
      <c r="R193" s="2" t="s">
        <v>86</v>
      </c>
      <c r="S193" s="2" t="s">
        <v>439</v>
      </c>
      <c r="T193" s="2" t="s">
        <v>117</v>
      </c>
      <c r="U193" s="2" t="s">
        <v>290</v>
      </c>
      <c r="V193" s="2" t="s">
        <v>118</v>
      </c>
      <c r="W193" s="2" t="s">
        <v>412</v>
      </c>
      <c r="X193" s="2" t="s">
        <v>412</v>
      </c>
      <c r="Y193" s="2" t="s">
        <v>1319</v>
      </c>
      <c r="Z193" s="2" t="s">
        <v>412</v>
      </c>
      <c r="AA193" s="2" t="s">
        <v>39</v>
      </c>
      <c r="AB193" s="2" t="s">
        <v>441</v>
      </c>
      <c r="AC193" s="14">
        <f t="shared" si="49"/>
        <v>44063</v>
      </c>
      <c r="AD193" s="14">
        <f t="shared" si="50"/>
        <v>44090</v>
      </c>
    </row>
    <row r="194" spans="1:30" x14ac:dyDescent="0.2">
      <c r="A194" s="2" t="s">
        <v>470</v>
      </c>
      <c r="B194" s="3">
        <v>44048</v>
      </c>
      <c r="C194" s="2" t="s">
        <v>1297</v>
      </c>
      <c r="D194" s="2" t="s">
        <v>152</v>
      </c>
      <c r="E194" s="2" t="s">
        <v>316</v>
      </c>
      <c r="F194" s="2" t="s">
        <v>314</v>
      </c>
      <c r="G194" s="2" t="s">
        <v>1320</v>
      </c>
      <c r="H194" s="2" t="s">
        <v>1321</v>
      </c>
      <c r="I194" s="2" t="s">
        <v>315</v>
      </c>
      <c r="J194" s="2" t="s">
        <v>58</v>
      </c>
      <c r="K194" s="2" t="s">
        <v>1300</v>
      </c>
      <c r="L194" s="2" t="s">
        <v>113</v>
      </c>
      <c r="M194" s="3">
        <v>44063</v>
      </c>
      <c r="N194" s="3">
        <v>44090</v>
      </c>
      <c r="O194" s="4">
        <v>100</v>
      </c>
      <c r="P194" s="2" t="s">
        <v>303</v>
      </c>
      <c r="Q194" s="2" t="s">
        <v>85</v>
      </c>
      <c r="R194" s="2" t="s">
        <v>86</v>
      </c>
      <c r="S194" s="2" t="s">
        <v>439</v>
      </c>
      <c r="T194" s="2" t="s">
        <v>117</v>
      </c>
      <c r="U194" s="2" t="s">
        <v>290</v>
      </c>
      <c r="V194" s="2" t="s">
        <v>118</v>
      </c>
      <c r="W194" s="2" t="s">
        <v>412</v>
      </c>
      <c r="X194" s="2" t="s">
        <v>412</v>
      </c>
      <c r="Y194" s="2" t="s">
        <v>1319</v>
      </c>
      <c r="Z194" s="2" t="s">
        <v>412</v>
      </c>
      <c r="AA194" s="2" t="s">
        <v>39</v>
      </c>
      <c r="AB194" s="2" t="s">
        <v>441</v>
      </c>
      <c r="AC194" s="14">
        <f t="shared" si="49"/>
        <v>44063</v>
      </c>
      <c r="AD194" s="14">
        <f t="shared" si="50"/>
        <v>44090</v>
      </c>
    </row>
    <row r="195" spans="1:30" x14ac:dyDescent="0.2">
      <c r="A195" s="2" t="s">
        <v>470</v>
      </c>
      <c r="B195" s="3">
        <v>44048</v>
      </c>
      <c r="C195" s="2" t="s">
        <v>1297</v>
      </c>
      <c r="D195" s="2" t="s">
        <v>102</v>
      </c>
      <c r="E195" s="2" t="s">
        <v>316</v>
      </c>
      <c r="F195" s="2" t="s">
        <v>317</v>
      </c>
      <c r="G195" s="2" t="s">
        <v>1322</v>
      </c>
      <c r="H195" s="2" t="s">
        <v>1323</v>
      </c>
      <c r="I195" s="2" t="s">
        <v>318</v>
      </c>
      <c r="J195" s="2" t="s">
        <v>58</v>
      </c>
      <c r="K195" s="2" t="s">
        <v>1300</v>
      </c>
      <c r="L195" s="2" t="s">
        <v>113</v>
      </c>
      <c r="M195" s="3">
        <v>44063</v>
      </c>
      <c r="N195" s="3">
        <v>44090</v>
      </c>
      <c r="O195" s="4">
        <v>25.738</v>
      </c>
      <c r="P195" s="2" t="s">
        <v>303</v>
      </c>
      <c r="Q195" s="2" t="s">
        <v>85</v>
      </c>
      <c r="R195" s="2" t="s">
        <v>319</v>
      </c>
      <c r="S195" s="2" t="s">
        <v>439</v>
      </c>
      <c r="T195" s="2" t="s">
        <v>117</v>
      </c>
      <c r="U195" s="2" t="s">
        <v>304</v>
      </c>
      <c r="V195" s="2" t="s">
        <v>118</v>
      </c>
      <c r="W195" s="2" t="s">
        <v>412</v>
      </c>
      <c r="X195" s="2" t="s">
        <v>412</v>
      </c>
      <c r="Y195" s="2" t="s">
        <v>416</v>
      </c>
      <c r="Z195" s="2" t="s">
        <v>412</v>
      </c>
      <c r="AA195" s="2" t="s">
        <v>109</v>
      </c>
      <c r="AB195" s="2" t="s">
        <v>441</v>
      </c>
      <c r="AC195" s="14">
        <f t="shared" si="49"/>
        <v>44063</v>
      </c>
      <c r="AD195" s="14">
        <f t="shared" si="50"/>
        <v>44090</v>
      </c>
    </row>
    <row r="196" spans="1:30" x14ac:dyDescent="0.2">
      <c r="A196" s="2" t="s">
        <v>470</v>
      </c>
      <c r="B196" s="3">
        <v>44048</v>
      </c>
      <c r="C196" s="2" t="s">
        <v>1297</v>
      </c>
      <c r="D196" s="2" t="s">
        <v>102</v>
      </c>
      <c r="E196" s="2" t="s">
        <v>316</v>
      </c>
      <c r="F196" s="2" t="s">
        <v>317</v>
      </c>
      <c r="G196" s="2" t="s">
        <v>1324</v>
      </c>
      <c r="H196" s="2" t="s">
        <v>1325</v>
      </c>
      <c r="I196" s="2" t="s">
        <v>320</v>
      </c>
      <c r="J196" s="2" t="s">
        <v>58</v>
      </c>
      <c r="K196" s="2" t="s">
        <v>1300</v>
      </c>
      <c r="L196" s="2" t="s">
        <v>113</v>
      </c>
      <c r="M196" s="3">
        <v>44063</v>
      </c>
      <c r="N196" s="3">
        <v>44090</v>
      </c>
      <c r="O196" s="4">
        <v>28.32</v>
      </c>
      <c r="P196" s="2" t="s">
        <v>303</v>
      </c>
      <c r="Q196" s="2" t="s">
        <v>85</v>
      </c>
      <c r="R196" s="2" t="s">
        <v>319</v>
      </c>
      <c r="S196" s="2" t="s">
        <v>439</v>
      </c>
      <c r="T196" s="2" t="s">
        <v>117</v>
      </c>
      <c r="U196" s="2" t="s">
        <v>304</v>
      </c>
      <c r="V196" s="2" t="s">
        <v>118</v>
      </c>
      <c r="W196" s="2" t="s">
        <v>412</v>
      </c>
      <c r="X196" s="2" t="s">
        <v>412</v>
      </c>
      <c r="Y196" s="2" t="s">
        <v>456</v>
      </c>
      <c r="Z196" s="2" t="s">
        <v>412</v>
      </c>
      <c r="AA196" s="2" t="s">
        <v>109</v>
      </c>
      <c r="AB196" s="2" t="s">
        <v>441</v>
      </c>
      <c r="AC196" s="14">
        <f t="shared" si="49"/>
        <v>44063</v>
      </c>
      <c r="AD196" s="14">
        <f t="shared" si="50"/>
        <v>44090</v>
      </c>
    </row>
    <row r="197" spans="1:30" x14ac:dyDescent="0.2">
      <c r="A197" s="2" t="s">
        <v>470</v>
      </c>
      <c r="B197" s="3">
        <v>44048</v>
      </c>
      <c r="C197" s="2" t="s">
        <v>1297</v>
      </c>
      <c r="D197" s="2" t="s">
        <v>102</v>
      </c>
      <c r="E197" s="2" t="s">
        <v>316</v>
      </c>
      <c r="F197" s="2" t="s">
        <v>317</v>
      </c>
      <c r="G197" s="2" t="s">
        <v>1326</v>
      </c>
      <c r="H197" s="2" t="s">
        <v>1327</v>
      </c>
      <c r="I197" s="2" t="s">
        <v>321</v>
      </c>
      <c r="J197" s="2" t="s">
        <v>58</v>
      </c>
      <c r="K197" s="2" t="s">
        <v>1300</v>
      </c>
      <c r="L197" s="2" t="s">
        <v>113</v>
      </c>
      <c r="M197" s="3">
        <v>44063</v>
      </c>
      <c r="N197" s="3">
        <v>44090</v>
      </c>
      <c r="O197" s="4">
        <v>79.772000000000006</v>
      </c>
      <c r="P197" s="2" t="s">
        <v>303</v>
      </c>
      <c r="Q197" s="2" t="s">
        <v>85</v>
      </c>
      <c r="R197" s="2" t="s">
        <v>319</v>
      </c>
      <c r="S197" s="2" t="s">
        <v>439</v>
      </c>
      <c r="T197" s="2" t="s">
        <v>117</v>
      </c>
      <c r="U197" s="2" t="s">
        <v>304</v>
      </c>
      <c r="V197" s="2" t="s">
        <v>118</v>
      </c>
      <c r="W197" s="2" t="s">
        <v>412</v>
      </c>
      <c r="X197" s="2" t="s">
        <v>412</v>
      </c>
      <c r="Y197" s="2" t="s">
        <v>414</v>
      </c>
      <c r="Z197" s="2" t="s">
        <v>412</v>
      </c>
      <c r="AA197" s="2" t="s">
        <v>109</v>
      </c>
      <c r="AB197" s="2" t="s">
        <v>441</v>
      </c>
      <c r="AC197" s="14">
        <f t="shared" si="49"/>
        <v>44063</v>
      </c>
      <c r="AD197" s="14">
        <f t="shared" si="50"/>
        <v>44090</v>
      </c>
    </row>
    <row r="198" spans="1:30" x14ac:dyDescent="0.2">
      <c r="A198" s="2" t="s">
        <v>470</v>
      </c>
      <c r="B198" s="3">
        <v>44048</v>
      </c>
      <c r="C198" s="2" t="s">
        <v>1297</v>
      </c>
      <c r="D198" s="2" t="s">
        <v>102</v>
      </c>
      <c r="E198" s="2" t="s">
        <v>316</v>
      </c>
      <c r="F198" s="2" t="s">
        <v>326</v>
      </c>
      <c r="G198" s="2" t="s">
        <v>1328</v>
      </c>
      <c r="H198" s="2" t="s">
        <v>1329</v>
      </c>
      <c r="I198" s="2" t="s">
        <v>327</v>
      </c>
      <c r="J198" s="2" t="s">
        <v>58</v>
      </c>
      <c r="K198" s="2" t="s">
        <v>1300</v>
      </c>
      <c r="L198" s="2" t="s">
        <v>113</v>
      </c>
      <c r="M198" s="3">
        <v>44063</v>
      </c>
      <c r="N198" s="3">
        <v>44087</v>
      </c>
      <c r="O198" s="4">
        <v>205.886</v>
      </c>
      <c r="P198" s="2" t="s">
        <v>303</v>
      </c>
      <c r="Q198" s="2" t="s">
        <v>131</v>
      </c>
      <c r="R198" s="2" t="s">
        <v>313</v>
      </c>
      <c r="S198" s="2" t="s">
        <v>439</v>
      </c>
      <c r="T198" s="2" t="s">
        <v>117</v>
      </c>
      <c r="U198" s="2" t="s">
        <v>304</v>
      </c>
      <c r="V198" s="2" t="s">
        <v>118</v>
      </c>
      <c r="W198" s="2" t="s">
        <v>412</v>
      </c>
      <c r="X198" s="2" t="s">
        <v>412</v>
      </c>
      <c r="Y198" s="2" t="s">
        <v>1814</v>
      </c>
      <c r="Z198" s="2" t="s">
        <v>412</v>
      </c>
      <c r="AA198" s="2" t="s">
        <v>109</v>
      </c>
      <c r="AB198" s="2" t="s">
        <v>441</v>
      </c>
      <c r="AC198" s="14">
        <f t="shared" si="49"/>
        <v>44063</v>
      </c>
      <c r="AD198" s="14">
        <f t="shared" si="50"/>
        <v>44087</v>
      </c>
    </row>
    <row r="199" spans="1:30" x14ac:dyDescent="0.2">
      <c r="A199" s="2" t="s">
        <v>470</v>
      </c>
      <c r="B199" s="3">
        <v>44048</v>
      </c>
      <c r="C199" s="2" t="s">
        <v>1297</v>
      </c>
      <c r="D199" s="2" t="s">
        <v>102</v>
      </c>
      <c r="E199" s="2" t="s">
        <v>316</v>
      </c>
      <c r="F199" s="2" t="s">
        <v>326</v>
      </c>
      <c r="G199" s="2" t="s">
        <v>1330</v>
      </c>
      <c r="H199" s="2" t="s">
        <v>1331</v>
      </c>
      <c r="I199" s="2" t="s">
        <v>328</v>
      </c>
      <c r="J199" s="2" t="s">
        <v>58</v>
      </c>
      <c r="K199" s="2" t="s">
        <v>1300</v>
      </c>
      <c r="L199" s="2" t="s">
        <v>113</v>
      </c>
      <c r="M199" s="3">
        <v>44063</v>
      </c>
      <c r="N199" s="3">
        <v>44087</v>
      </c>
      <c r="O199" s="4">
        <v>200</v>
      </c>
      <c r="P199" s="2" t="s">
        <v>303</v>
      </c>
      <c r="Q199" s="2" t="s">
        <v>131</v>
      </c>
      <c r="R199" s="2" t="s">
        <v>313</v>
      </c>
      <c r="S199" s="2" t="s">
        <v>439</v>
      </c>
      <c r="T199" s="2" t="s">
        <v>117</v>
      </c>
      <c r="U199" s="2" t="s">
        <v>290</v>
      </c>
      <c r="V199" s="2" t="s">
        <v>118</v>
      </c>
      <c r="W199" s="2" t="s">
        <v>412</v>
      </c>
      <c r="X199" s="2" t="s">
        <v>412</v>
      </c>
      <c r="Y199" s="2" t="s">
        <v>1332</v>
      </c>
      <c r="Z199" s="2" t="s">
        <v>412</v>
      </c>
      <c r="AA199" s="2" t="s">
        <v>109</v>
      </c>
      <c r="AB199" s="2" t="s">
        <v>441</v>
      </c>
      <c r="AC199" s="14">
        <f t="shared" si="49"/>
        <v>44063</v>
      </c>
      <c r="AD199" s="14">
        <f t="shared" si="50"/>
        <v>44087</v>
      </c>
    </row>
    <row r="200" spans="1:30" x14ac:dyDescent="0.2">
      <c r="A200" s="2" t="s">
        <v>470</v>
      </c>
      <c r="B200" s="3">
        <v>44048</v>
      </c>
      <c r="C200" s="2" t="s">
        <v>1297</v>
      </c>
      <c r="D200" s="2" t="s">
        <v>102</v>
      </c>
      <c r="E200" s="2" t="s">
        <v>316</v>
      </c>
      <c r="F200" s="2" t="s">
        <v>326</v>
      </c>
      <c r="G200" s="2" t="s">
        <v>1333</v>
      </c>
      <c r="H200" s="2" t="s">
        <v>1334</v>
      </c>
      <c r="I200" s="2" t="s">
        <v>1335</v>
      </c>
      <c r="J200" s="2" t="s">
        <v>58</v>
      </c>
      <c r="K200" s="2" t="s">
        <v>1300</v>
      </c>
      <c r="L200" s="2" t="s">
        <v>113</v>
      </c>
      <c r="M200" s="3">
        <v>44063</v>
      </c>
      <c r="N200" s="3">
        <v>44087</v>
      </c>
      <c r="O200" s="4">
        <v>52.017000000000003</v>
      </c>
      <c r="P200" s="2" t="s">
        <v>303</v>
      </c>
      <c r="Q200" s="2" t="s">
        <v>131</v>
      </c>
      <c r="R200" s="2" t="s">
        <v>313</v>
      </c>
      <c r="S200" s="2" t="s">
        <v>439</v>
      </c>
      <c r="T200" s="2" t="s">
        <v>117</v>
      </c>
      <c r="U200" s="2" t="s">
        <v>304</v>
      </c>
      <c r="V200" s="2" t="s">
        <v>118</v>
      </c>
      <c r="W200" s="2" t="s">
        <v>412</v>
      </c>
      <c r="X200" s="2" t="s">
        <v>412</v>
      </c>
      <c r="Y200" s="2" t="s">
        <v>434</v>
      </c>
      <c r="Z200" s="2" t="s">
        <v>412</v>
      </c>
      <c r="AA200" s="2" t="s">
        <v>109</v>
      </c>
      <c r="AB200" s="2" t="s">
        <v>441</v>
      </c>
      <c r="AC200" s="14">
        <f t="shared" si="49"/>
        <v>44063</v>
      </c>
      <c r="AD200" s="14">
        <f t="shared" si="50"/>
        <v>44087</v>
      </c>
    </row>
    <row r="201" spans="1:30" x14ac:dyDescent="0.2">
      <c r="A201" s="2" t="s">
        <v>470</v>
      </c>
      <c r="B201" s="3">
        <v>44048</v>
      </c>
      <c r="C201" s="2" t="s">
        <v>1297</v>
      </c>
      <c r="D201" s="2" t="s">
        <v>102</v>
      </c>
      <c r="E201" s="2" t="s">
        <v>316</v>
      </c>
      <c r="F201" s="2" t="s">
        <v>326</v>
      </c>
      <c r="G201" s="2" t="s">
        <v>1336</v>
      </c>
      <c r="H201" s="2" t="s">
        <v>1337</v>
      </c>
      <c r="I201" s="2" t="s">
        <v>329</v>
      </c>
      <c r="J201" s="2" t="s">
        <v>58</v>
      </c>
      <c r="K201" s="2" t="s">
        <v>1300</v>
      </c>
      <c r="L201" s="2" t="s">
        <v>113</v>
      </c>
      <c r="M201" s="3">
        <v>44063</v>
      </c>
      <c r="N201" s="3">
        <v>44087</v>
      </c>
      <c r="O201" s="4">
        <v>108.19199999999999</v>
      </c>
      <c r="P201" s="2" t="s">
        <v>303</v>
      </c>
      <c r="Q201" s="2" t="s">
        <v>131</v>
      </c>
      <c r="R201" s="2" t="s">
        <v>313</v>
      </c>
      <c r="S201" s="2" t="s">
        <v>439</v>
      </c>
      <c r="T201" s="2" t="s">
        <v>117</v>
      </c>
      <c r="U201" s="2" t="s">
        <v>304</v>
      </c>
      <c r="V201" s="2" t="s">
        <v>118</v>
      </c>
      <c r="W201" s="2" t="s">
        <v>412</v>
      </c>
      <c r="X201" s="2" t="s">
        <v>412</v>
      </c>
      <c r="Y201" s="2" t="s">
        <v>1815</v>
      </c>
      <c r="Z201" s="2" t="s">
        <v>412</v>
      </c>
      <c r="AA201" s="2" t="s">
        <v>109</v>
      </c>
      <c r="AB201" s="2" t="s">
        <v>441</v>
      </c>
      <c r="AC201" s="14">
        <f t="shared" si="49"/>
        <v>44063</v>
      </c>
      <c r="AD201" s="14">
        <f t="shared" si="50"/>
        <v>44087</v>
      </c>
    </row>
    <row r="202" spans="1:30" x14ac:dyDescent="0.2">
      <c r="A202" s="2" t="s">
        <v>470</v>
      </c>
      <c r="B202" s="3">
        <v>44048</v>
      </c>
      <c r="C202" s="2" t="s">
        <v>1297</v>
      </c>
      <c r="D202" s="2" t="s">
        <v>102</v>
      </c>
      <c r="E202" s="2" t="s">
        <v>316</v>
      </c>
      <c r="F202" s="2" t="s">
        <v>326</v>
      </c>
      <c r="G202" s="2" t="s">
        <v>1339</v>
      </c>
      <c r="H202" s="2" t="s">
        <v>1340</v>
      </c>
      <c r="I202" s="2" t="s">
        <v>330</v>
      </c>
      <c r="J202" s="2" t="s">
        <v>58</v>
      </c>
      <c r="K202" s="2" t="s">
        <v>1300</v>
      </c>
      <c r="L202" s="2" t="s">
        <v>113</v>
      </c>
      <c r="M202" s="3">
        <v>44063</v>
      </c>
      <c r="N202" s="3">
        <v>44087</v>
      </c>
      <c r="O202" s="4">
        <v>52.192999999999998</v>
      </c>
      <c r="P202" s="2" t="s">
        <v>303</v>
      </c>
      <c r="Q202" s="2" t="s">
        <v>131</v>
      </c>
      <c r="R202" s="2" t="s">
        <v>313</v>
      </c>
      <c r="S202" s="2" t="s">
        <v>439</v>
      </c>
      <c r="T202" s="2" t="s">
        <v>117</v>
      </c>
      <c r="U202" s="2" t="s">
        <v>304</v>
      </c>
      <c r="V202" s="2" t="s">
        <v>118</v>
      </c>
      <c r="W202" s="2" t="s">
        <v>412</v>
      </c>
      <c r="X202" s="2" t="s">
        <v>412</v>
      </c>
      <c r="Y202" s="2" t="s">
        <v>434</v>
      </c>
      <c r="Z202" s="2" t="s">
        <v>412</v>
      </c>
      <c r="AA202" s="2" t="s">
        <v>109</v>
      </c>
      <c r="AB202" s="2" t="s">
        <v>441</v>
      </c>
      <c r="AC202" s="14">
        <f t="shared" si="49"/>
        <v>44063</v>
      </c>
      <c r="AD202" s="14">
        <f t="shared" si="50"/>
        <v>44087</v>
      </c>
    </row>
    <row r="203" spans="1:30" x14ac:dyDescent="0.2">
      <c r="A203" s="2" t="s">
        <v>470</v>
      </c>
      <c r="B203" s="3">
        <v>44048</v>
      </c>
      <c r="C203" s="2" t="s">
        <v>1297</v>
      </c>
      <c r="D203" s="2" t="s">
        <v>102</v>
      </c>
      <c r="E203" s="2" t="s">
        <v>322</v>
      </c>
      <c r="F203" s="2" t="s">
        <v>311</v>
      </c>
      <c r="G203" s="2" t="s">
        <v>1341</v>
      </c>
      <c r="H203" s="2" t="s">
        <v>1342</v>
      </c>
      <c r="I203" s="2" t="s">
        <v>323</v>
      </c>
      <c r="J203" s="2" t="s">
        <v>223</v>
      </c>
      <c r="K203" s="2" t="s">
        <v>1300</v>
      </c>
      <c r="L203" s="2" t="s">
        <v>113</v>
      </c>
      <c r="M203" s="3">
        <v>44063</v>
      </c>
      <c r="N203" s="3">
        <v>44087</v>
      </c>
      <c r="O203" s="4">
        <v>495.09800000000001</v>
      </c>
      <c r="P203" s="2" t="s">
        <v>303</v>
      </c>
      <c r="Q203" s="2" t="s">
        <v>131</v>
      </c>
      <c r="R203" s="2" t="s">
        <v>132</v>
      </c>
      <c r="S203" s="2" t="s">
        <v>439</v>
      </c>
      <c r="T203" s="2" t="s">
        <v>117</v>
      </c>
      <c r="U203" s="2" t="s">
        <v>304</v>
      </c>
      <c r="V203" s="2" t="s">
        <v>118</v>
      </c>
      <c r="W203" s="2" t="s">
        <v>412</v>
      </c>
      <c r="X203" s="2" t="s">
        <v>412</v>
      </c>
      <c r="Y203" s="2" t="s">
        <v>429</v>
      </c>
      <c r="Z203" s="2" t="s">
        <v>412</v>
      </c>
      <c r="AA203" s="2" t="s">
        <v>39</v>
      </c>
      <c r="AB203" s="2" t="s">
        <v>441</v>
      </c>
      <c r="AC203" s="14">
        <f t="shared" si="49"/>
        <v>44063</v>
      </c>
      <c r="AD203" s="14">
        <f t="shared" si="50"/>
        <v>44087</v>
      </c>
    </row>
    <row r="204" spans="1:30" x14ac:dyDescent="0.2">
      <c r="A204" s="2" t="s">
        <v>470</v>
      </c>
      <c r="B204" s="3">
        <v>44048</v>
      </c>
      <c r="C204" s="2" t="s">
        <v>1297</v>
      </c>
      <c r="D204" s="2" t="s">
        <v>102</v>
      </c>
      <c r="E204" s="2" t="s">
        <v>322</v>
      </c>
      <c r="F204" s="2" t="s">
        <v>311</v>
      </c>
      <c r="G204" s="2" t="s">
        <v>1343</v>
      </c>
      <c r="H204" s="2" t="s">
        <v>1344</v>
      </c>
      <c r="I204" s="2" t="s">
        <v>323</v>
      </c>
      <c r="J204" s="2" t="s">
        <v>223</v>
      </c>
      <c r="K204" s="2" t="s">
        <v>1300</v>
      </c>
      <c r="L204" s="2" t="s">
        <v>113</v>
      </c>
      <c r="M204" s="3">
        <v>44063</v>
      </c>
      <c r="N204" s="3">
        <v>44087</v>
      </c>
      <c r="O204" s="4">
        <v>197.964</v>
      </c>
      <c r="P204" s="2" t="s">
        <v>303</v>
      </c>
      <c r="Q204" s="2" t="s">
        <v>131</v>
      </c>
      <c r="R204" s="2" t="s">
        <v>132</v>
      </c>
      <c r="S204" s="2" t="s">
        <v>439</v>
      </c>
      <c r="T204" s="2" t="s">
        <v>117</v>
      </c>
      <c r="U204" s="2" t="s">
        <v>304</v>
      </c>
      <c r="V204" s="2" t="s">
        <v>118</v>
      </c>
      <c r="W204" s="2" t="s">
        <v>412</v>
      </c>
      <c r="X204" s="2" t="s">
        <v>412</v>
      </c>
      <c r="Y204" s="2" t="s">
        <v>421</v>
      </c>
      <c r="Z204" s="2" t="s">
        <v>412</v>
      </c>
      <c r="AA204" s="2" t="s">
        <v>39</v>
      </c>
      <c r="AB204" s="2" t="s">
        <v>441</v>
      </c>
      <c r="AC204" s="14">
        <f t="shared" si="49"/>
        <v>44063</v>
      </c>
      <c r="AD204" s="14">
        <f t="shared" si="50"/>
        <v>44087</v>
      </c>
    </row>
    <row r="205" spans="1:30" x14ac:dyDescent="0.2">
      <c r="A205" s="2" t="s">
        <v>470</v>
      </c>
      <c r="B205" s="3">
        <v>44048</v>
      </c>
      <c r="C205" s="2" t="s">
        <v>1297</v>
      </c>
      <c r="D205" s="2" t="s">
        <v>102</v>
      </c>
      <c r="E205" s="2" t="s">
        <v>310</v>
      </c>
      <c r="F205" s="2" t="s">
        <v>311</v>
      </c>
      <c r="G205" s="2" t="s">
        <v>1345</v>
      </c>
      <c r="H205" s="2" t="s">
        <v>1346</v>
      </c>
      <c r="I205" s="2" t="s">
        <v>528</v>
      </c>
      <c r="J205" s="2" t="s">
        <v>47</v>
      </c>
      <c r="K205" s="2" t="s">
        <v>1300</v>
      </c>
      <c r="L205" s="2" t="s">
        <v>113</v>
      </c>
      <c r="M205" s="3">
        <v>44063</v>
      </c>
      <c r="N205" s="3">
        <v>44087</v>
      </c>
      <c r="O205" s="4">
        <v>503</v>
      </c>
      <c r="P205" s="2" t="s">
        <v>303</v>
      </c>
      <c r="Q205" s="2" t="s">
        <v>131</v>
      </c>
      <c r="R205" s="2" t="s">
        <v>313</v>
      </c>
      <c r="S205" s="2" t="s">
        <v>439</v>
      </c>
      <c r="T205" s="2" t="s">
        <v>117</v>
      </c>
      <c r="U205" s="2" t="s">
        <v>290</v>
      </c>
      <c r="V205" s="2" t="s">
        <v>118</v>
      </c>
      <c r="W205" s="2" t="s">
        <v>412</v>
      </c>
      <c r="X205" s="2" t="s">
        <v>412</v>
      </c>
      <c r="Y205" s="2" t="s">
        <v>1347</v>
      </c>
      <c r="Z205" s="2" t="s">
        <v>412</v>
      </c>
      <c r="AA205" s="2" t="s">
        <v>109</v>
      </c>
      <c r="AB205" s="2" t="s">
        <v>441</v>
      </c>
      <c r="AC205" s="14">
        <f t="shared" si="49"/>
        <v>44063</v>
      </c>
      <c r="AD205" s="14">
        <f t="shared" si="50"/>
        <v>44087</v>
      </c>
    </row>
    <row r="206" spans="1:30" x14ac:dyDescent="0.2">
      <c r="A206" s="2" t="s">
        <v>470</v>
      </c>
      <c r="B206" s="3">
        <v>44048</v>
      </c>
      <c r="C206" s="2" t="s">
        <v>1297</v>
      </c>
      <c r="D206" s="2" t="s">
        <v>102</v>
      </c>
      <c r="E206" s="2" t="s">
        <v>310</v>
      </c>
      <c r="F206" s="2" t="s">
        <v>311</v>
      </c>
      <c r="G206" s="2" t="s">
        <v>1348</v>
      </c>
      <c r="H206" s="2" t="s">
        <v>1349</v>
      </c>
      <c r="I206" s="2" t="s">
        <v>312</v>
      </c>
      <c r="J206" s="2" t="s">
        <v>47</v>
      </c>
      <c r="K206" s="2" t="s">
        <v>1300</v>
      </c>
      <c r="L206" s="2" t="s">
        <v>113</v>
      </c>
      <c r="M206" s="3">
        <v>44063</v>
      </c>
      <c r="N206" s="3">
        <v>44087</v>
      </c>
      <c r="O206" s="4">
        <v>692</v>
      </c>
      <c r="P206" s="2" t="s">
        <v>303</v>
      </c>
      <c r="Q206" s="2" t="s">
        <v>131</v>
      </c>
      <c r="R206" s="2" t="s">
        <v>313</v>
      </c>
      <c r="S206" s="2" t="s">
        <v>439</v>
      </c>
      <c r="T206" s="2" t="s">
        <v>117</v>
      </c>
      <c r="U206" s="2" t="s">
        <v>290</v>
      </c>
      <c r="V206" s="2" t="s">
        <v>118</v>
      </c>
      <c r="W206" s="2" t="s">
        <v>412</v>
      </c>
      <c r="X206" s="2" t="s">
        <v>412</v>
      </c>
      <c r="Y206" s="2" t="s">
        <v>475</v>
      </c>
      <c r="Z206" s="2" t="s">
        <v>412</v>
      </c>
      <c r="AA206" s="2" t="s">
        <v>109</v>
      </c>
      <c r="AB206" s="2" t="s">
        <v>441</v>
      </c>
      <c r="AC206" s="14">
        <f t="shared" si="49"/>
        <v>44063</v>
      </c>
      <c r="AD206" s="14">
        <f t="shared" si="50"/>
        <v>44087</v>
      </c>
    </row>
    <row r="207" spans="1:30" x14ac:dyDescent="0.2">
      <c r="A207" s="2" t="s">
        <v>470</v>
      </c>
      <c r="B207" s="3">
        <v>44048</v>
      </c>
      <c r="C207" s="2" t="s">
        <v>1297</v>
      </c>
      <c r="D207" s="2" t="s">
        <v>102</v>
      </c>
      <c r="E207" s="2" t="s">
        <v>310</v>
      </c>
      <c r="F207" s="2" t="s">
        <v>311</v>
      </c>
      <c r="G207" s="2" t="s">
        <v>1350</v>
      </c>
      <c r="H207" s="2" t="s">
        <v>1351</v>
      </c>
      <c r="I207" s="2" t="s">
        <v>530</v>
      </c>
      <c r="J207" s="2" t="s">
        <v>47</v>
      </c>
      <c r="K207" s="2" t="s">
        <v>1300</v>
      </c>
      <c r="L207" s="2" t="s">
        <v>113</v>
      </c>
      <c r="M207" s="3">
        <v>44063</v>
      </c>
      <c r="N207" s="3">
        <v>44087</v>
      </c>
      <c r="O207" s="4">
        <v>194</v>
      </c>
      <c r="P207" s="2" t="s">
        <v>303</v>
      </c>
      <c r="Q207" s="2" t="s">
        <v>131</v>
      </c>
      <c r="R207" s="2" t="s">
        <v>313</v>
      </c>
      <c r="S207" s="2" t="s">
        <v>439</v>
      </c>
      <c r="T207" s="2" t="s">
        <v>117</v>
      </c>
      <c r="U207" s="2" t="s">
        <v>290</v>
      </c>
      <c r="V207" s="2" t="s">
        <v>118</v>
      </c>
      <c r="W207" s="2" t="s">
        <v>412</v>
      </c>
      <c r="X207" s="2" t="s">
        <v>412</v>
      </c>
      <c r="Y207" s="2" t="s">
        <v>462</v>
      </c>
      <c r="Z207" s="2" t="s">
        <v>412</v>
      </c>
      <c r="AA207" s="2" t="s">
        <v>109</v>
      </c>
      <c r="AB207" s="2" t="s">
        <v>441</v>
      </c>
      <c r="AC207" s="14">
        <f t="shared" si="49"/>
        <v>44063</v>
      </c>
      <c r="AD207" s="14">
        <f t="shared" si="50"/>
        <v>44087</v>
      </c>
    </row>
    <row r="208" spans="1:30" x14ac:dyDescent="0.2">
      <c r="A208" s="2" t="s">
        <v>470</v>
      </c>
      <c r="B208" s="3">
        <v>44048</v>
      </c>
      <c r="C208" s="2" t="s">
        <v>1297</v>
      </c>
      <c r="D208" s="2" t="s">
        <v>102</v>
      </c>
      <c r="E208" s="2" t="s">
        <v>333</v>
      </c>
      <c r="F208" s="2" t="s">
        <v>334</v>
      </c>
      <c r="G208" s="2" t="s">
        <v>1352</v>
      </c>
      <c r="H208" s="2" t="s">
        <v>1353</v>
      </c>
      <c r="I208" s="2" t="s">
        <v>335</v>
      </c>
      <c r="J208" s="2" t="s">
        <v>223</v>
      </c>
      <c r="K208" s="2" t="s">
        <v>1300</v>
      </c>
      <c r="L208" s="2" t="s">
        <v>113</v>
      </c>
      <c r="M208" s="3">
        <v>44063</v>
      </c>
      <c r="N208" s="3">
        <v>44093</v>
      </c>
      <c r="O208" s="4">
        <v>247.44900000000001</v>
      </c>
      <c r="P208" s="2" t="s">
        <v>303</v>
      </c>
      <c r="Q208" s="2" t="s">
        <v>182</v>
      </c>
      <c r="R208" s="2" t="s">
        <v>183</v>
      </c>
      <c r="S208" s="2" t="s">
        <v>439</v>
      </c>
      <c r="T208" s="2" t="s">
        <v>117</v>
      </c>
      <c r="U208" s="2" t="s">
        <v>304</v>
      </c>
      <c r="V208" s="2" t="s">
        <v>118</v>
      </c>
      <c r="W208" s="2" t="s">
        <v>412</v>
      </c>
      <c r="X208" s="2" t="s">
        <v>412</v>
      </c>
      <c r="Y208" s="2" t="s">
        <v>481</v>
      </c>
      <c r="Z208" s="2" t="s">
        <v>412</v>
      </c>
      <c r="AA208" s="2" t="s">
        <v>39</v>
      </c>
      <c r="AB208" s="2" t="s">
        <v>441</v>
      </c>
      <c r="AC208" s="14">
        <f t="shared" si="49"/>
        <v>44063</v>
      </c>
      <c r="AD208" s="14">
        <f t="shared" si="50"/>
        <v>44093</v>
      </c>
    </row>
    <row r="209" spans="1:33" x14ac:dyDescent="0.2">
      <c r="A209" s="2" t="s">
        <v>470</v>
      </c>
      <c r="B209" s="3">
        <v>44048</v>
      </c>
      <c r="C209" s="2" t="s">
        <v>1297</v>
      </c>
      <c r="D209" s="2" t="s">
        <v>102</v>
      </c>
      <c r="E209" s="2" t="s">
        <v>333</v>
      </c>
      <c r="F209" s="2" t="s">
        <v>334</v>
      </c>
      <c r="G209" s="2" t="s">
        <v>1354</v>
      </c>
      <c r="H209" s="2" t="s">
        <v>1355</v>
      </c>
      <c r="I209" s="2" t="s">
        <v>336</v>
      </c>
      <c r="J209" s="2" t="s">
        <v>223</v>
      </c>
      <c r="K209" s="2" t="s">
        <v>1300</v>
      </c>
      <c r="L209" s="2" t="s">
        <v>113</v>
      </c>
      <c r="M209" s="3">
        <v>44063</v>
      </c>
      <c r="N209" s="3">
        <v>44093</v>
      </c>
      <c r="O209" s="4">
        <v>493.68599999999998</v>
      </c>
      <c r="P209" s="2" t="s">
        <v>303</v>
      </c>
      <c r="Q209" s="2" t="s">
        <v>182</v>
      </c>
      <c r="R209" s="2" t="s">
        <v>183</v>
      </c>
      <c r="S209" s="2" t="s">
        <v>439</v>
      </c>
      <c r="T209" s="2" t="s">
        <v>117</v>
      </c>
      <c r="U209" s="2" t="s">
        <v>304</v>
      </c>
      <c r="V209" s="2" t="s">
        <v>118</v>
      </c>
      <c r="W209" s="2" t="s">
        <v>412</v>
      </c>
      <c r="X209" s="2" t="s">
        <v>412</v>
      </c>
      <c r="Y209" s="2" t="s">
        <v>429</v>
      </c>
      <c r="Z209" s="2" t="s">
        <v>412</v>
      </c>
      <c r="AA209" s="2" t="s">
        <v>39</v>
      </c>
      <c r="AB209" s="2" t="s">
        <v>441</v>
      </c>
      <c r="AC209" s="14">
        <f t="shared" si="49"/>
        <v>44063</v>
      </c>
      <c r="AD209" s="14">
        <f t="shared" si="50"/>
        <v>44093</v>
      </c>
    </row>
    <row r="210" spans="1:33" x14ac:dyDescent="0.2">
      <c r="A210" s="2" t="s">
        <v>470</v>
      </c>
      <c r="B210" s="3">
        <v>44048</v>
      </c>
      <c r="C210" s="2" t="s">
        <v>1297</v>
      </c>
      <c r="D210" s="2" t="s">
        <v>102</v>
      </c>
      <c r="E210" s="2" t="s">
        <v>333</v>
      </c>
      <c r="F210" s="2" t="s">
        <v>334</v>
      </c>
      <c r="G210" s="2" t="s">
        <v>1356</v>
      </c>
      <c r="H210" s="2" t="s">
        <v>1357</v>
      </c>
      <c r="I210" s="2" t="s">
        <v>336</v>
      </c>
      <c r="J210" s="2" t="s">
        <v>223</v>
      </c>
      <c r="K210" s="2" t="s">
        <v>1300</v>
      </c>
      <c r="L210" s="2" t="s">
        <v>113</v>
      </c>
      <c r="M210" s="3">
        <v>44063</v>
      </c>
      <c r="N210" s="3">
        <v>44093</v>
      </c>
      <c r="O210" s="4">
        <v>99.207999999999998</v>
      </c>
      <c r="P210" s="2" t="s">
        <v>303</v>
      </c>
      <c r="Q210" s="2" t="s">
        <v>182</v>
      </c>
      <c r="R210" s="2" t="s">
        <v>183</v>
      </c>
      <c r="S210" s="2" t="s">
        <v>439</v>
      </c>
      <c r="T210" s="2" t="s">
        <v>117</v>
      </c>
      <c r="U210" s="2" t="s">
        <v>304</v>
      </c>
      <c r="V210" s="2" t="s">
        <v>118</v>
      </c>
      <c r="W210" s="2" t="s">
        <v>412</v>
      </c>
      <c r="X210" s="2" t="s">
        <v>412</v>
      </c>
      <c r="Y210" s="2" t="s">
        <v>437</v>
      </c>
      <c r="Z210" s="2" t="s">
        <v>412</v>
      </c>
      <c r="AA210" s="2" t="s">
        <v>39</v>
      </c>
      <c r="AB210" s="2" t="s">
        <v>441</v>
      </c>
      <c r="AC210" s="14">
        <f t="shared" si="49"/>
        <v>44063</v>
      </c>
      <c r="AD210" s="14">
        <f t="shared" si="50"/>
        <v>44093</v>
      </c>
    </row>
    <row r="211" spans="1:33" x14ac:dyDescent="0.2">
      <c r="A211" s="2" t="s">
        <v>470</v>
      </c>
      <c r="B211" s="3">
        <v>44048</v>
      </c>
      <c r="C211" s="2" t="s">
        <v>1297</v>
      </c>
      <c r="D211" s="2" t="s">
        <v>102</v>
      </c>
      <c r="E211" s="2" t="s">
        <v>333</v>
      </c>
      <c r="F211" s="2" t="s">
        <v>334</v>
      </c>
      <c r="G211" s="2" t="s">
        <v>1358</v>
      </c>
      <c r="H211" s="2" t="s">
        <v>1359</v>
      </c>
      <c r="I211" s="2" t="s">
        <v>1360</v>
      </c>
      <c r="J211" s="2" t="s">
        <v>223</v>
      </c>
      <c r="K211" s="2" t="s">
        <v>1300</v>
      </c>
      <c r="L211" s="2" t="s">
        <v>113</v>
      </c>
      <c r="M211" s="3">
        <v>44063</v>
      </c>
      <c r="N211" s="3">
        <v>44093</v>
      </c>
      <c r="O211" s="4">
        <v>49.414000000000001</v>
      </c>
      <c r="P211" s="2" t="s">
        <v>303</v>
      </c>
      <c r="Q211" s="2" t="s">
        <v>182</v>
      </c>
      <c r="R211" s="2" t="s">
        <v>183</v>
      </c>
      <c r="S211" s="2" t="s">
        <v>439</v>
      </c>
      <c r="T211" s="2" t="s">
        <v>117</v>
      </c>
      <c r="U211" s="2" t="s">
        <v>304</v>
      </c>
      <c r="V211" s="2" t="s">
        <v>118</v>
      </c>
      <c r="W211" s="2" t="s">
        <v>412</v>
      </c>
      <c r="X211" s="2" t="s">
        <v>412</v>
      </c>
      <c r="Y211" s="2" t="s">
        <v>457</v>
      </c>
      <c r="Z211" s="2" t="s">
        <v>412</v>
      </c>
      <c r="AA211" s="2" t="s">
        <v>39</v>
      </c>
      <c r="AB211" s="2" t="s">
        <v>441</v>
      </c>
      <c r="AC211" s="14">
        <f t="shared" si="49"/>
        <v>44063</v>
      </c>
      <c r="AD211" s="14">
        <f t="shared" si="50"/>
        <v>44093</v>
      </c>
    </row>
    <row r="212" spans="1:33" x14ac:dyDescent="0.2">
      <c r="A212" s="2" t="s">
        <v>470</v>
      </c>
      <c r="B212" s="3">
        <v>44073</v>
      </c>
      <c r="C212" s="2" t="s">
        <v>1297</v>
      </c>
      <c r="D212" s="2" t="s">
        <v>28</v>
      </c>
      <c r="E212" s="2" t="s">
        <v>162</v>
      </c>
      <c r="F212" s="2" t="s">
        <v>1361</v>
      </c>
      <c r="G212" s="2" t="s">
        <v>1362</v>
      </c>
      <c r="H212" s="2" t="s">
        <v>1363</v>
      </c>
      <c r="I212" s="2" t="s">
        <v>112</v>
      </c>
      <c r="J212" s="2" t="s">
        <v>32</v>
      </c>
      <c r="K212" s="2" t="s">
        <v>1300</v>
      </c>
      <c r="L212" s="2" t="s">
        <v>113</v>
      </c>
      <c r="M212" s="3">
        <v>44063</v>
      </c>
      <c r="N212" s="3">
        <v>44090</v>
      </c>
      <c r="O212" s="4">
        <v>500</v>
      </c>
      <c r="P212" s="2" t="s">
        <v>303</v>
      </c>
      <c r="Q212" s="2" t="s">
        <v>85</v>
      </c>
      <c r="R212" s="2" t="s">
        <v>86</v>
      </c>
      <c r="S212" s="2" t="s">
        <v>439</v>
      </c>
      <c r="T212" s="2" t="s">
        <v>117</v>
      </c>
      <c r="U212" s="2" t="s">
        <v>290</v>
      </c>
      <c r="V212" s="2" t="s">
        <v>118</v>
      </c>
      <c r="W212" s="2" t="s">
        <v>412</v>
      </c>
      <c r="X212" s="2" t="s">
        <v>412</v>
      </c>
      <c r="Y212" s="2" t="s">
        <v>476</v>
      </c>
      <c r="Z212" s="2" t="s">
        <v>412</v>
      </c>
      <c r="AA212" s="2" t="s">
        <v>39</v>
      </c>
      <c r="AB212" s="2" t="s">
        <v>441</v>
      </c>
      <c r="AC212" s="14">
        <f t="shared" si="49"/>
        <v>44063</v>
      </c>
      <c r="AD212" s="14">
        <f t="shared" si="50"/>
        <v>44090</v>
      </c>
    </row>
    <row r="213" spans="1:33" x14ac:dyDescent="0.2">
      <c r="A213" s="2" t="s">
        <v>470</v>
      </c>
      <c r="B213" s="3">
        <v>44058</v>
      </c>
      <c r="C213" s="2" t="s">
        <v>1297</v>
      </c>
      <c r="D213" s="2" t="s">
        <v>54</v>
      </c>
      <c r="E213" s="2" t="s">
        <v>212</v>
      </c>
      <c r="F213" s="2" t="s">
        <v>213</v>
      </c>
      <c r="G213" s="2" t="s">
        <v>1364</v>
      </c>
      <c r="H213" s="2" t="s">
        <v>1365</v>
      </c>
      <c r="I213" s="2" t="s">
        <v>337</v>
      </c>
      <c r="J213" s="2" t="s">
        <v>58</v>
      </c>
      <c r="K213" s="2" t="s">
        <v>1300</v>
      </c>
      <c r="L213" s="2" t="s">
        <v>113</v>
      </c>
      <c r="M213" s="3">
        <v>44063</v>
      </c>
      <c r="N213" s="3">
        <v>44108</v>
      </c>
      <c r="O213" s="4">
        <v>150</v>
      </c>
      <c r="P213" s="2" t="s">
        <v>303</v>
      </c>
      <c r="Q213" s="2" t="s">
        <v>115</v>
      </c>
      <c r="R213" s="2" t="s">
        <v>338</v>
      </c>
      <c r="S213" s="2" t="s">
        <v>439</v>
      </c>
      <c r="T213" s="2" t="s">
        <v>117</v>
      </c>
      <c r="U213" s="2" t="s">
        <v>290</v>
      </c>
      <c r="V213" s="2" t="s">
        <v>118</v>
      </c>
      <c r="W213" s="2" t="s">
        <v>412</v>
      </c>
      <c r="X213" s="2" t="s">
        <v>412</v>
      </c>
      <c r="Y213" s="2" t="s">
        <v>1319</v>
      </c>
      <c r="Z213" s="2" t="s">
        <v>412</v>
      </c>
      <c r="AA213" s="2" t="s">
        <v>39</v>
      </c>
      <c r="AB213" s="2" t="s">
        <v>441</v>
      </c>
      <c r="AC213" s="14">
        <f t="shared" si="49"/>
        <v>44063</v>
      </c>
      <c r="AD213" s="14">
        <f t="shared" si="50"/>
        <v>44108</v>
      </c>
    </row>
    <row r="214" spans="1:33" x14ac:dyDescent="0.2">
      <c r="A214" s="2" t="s">
        <v>470</v>
      </c>
      <c r="B214" s="3">
        <v>44048</v>
      </c>
      <c r="C214" s="2" t="s">
        <v>1297</v>
      </c>
      <c r="D214" s="2" t="s">
        <v>102</v>
      </c>
      <c r="E214" s="2" t="s">
        <v>195</v>
      </c>
      <c r="F214" s="2" t="s">
        <v>355</v>
      </c>
      <c r="G214" s="2" t="s">
        <v>1366</v>
      </c>
      <c r="H214" s="2" t="s">
        <v>1367</v>
      </c>
      <c r="I214" s="2" t="s">
        <v>112</v>
      </c>
      <c r="J214" s="2" t="s">
        <v>32</v>
      </c>
      <c r="K214" s="2" t="s">
        <v>1300</v>
      </c>
      <c r="L214" s="2" t="s">
        <v>113</v>
      </c>
      <c r="M214" s="3">
        <v>44063</v>
      </c>
      <c r="N214" s="3">
        <v>44087</v>
      </c>
      <c r="O214" s="4">
        <v>247.26499999999999</v>
      </c>
      <c r="P214" s="2" t="s">
        <v>303</v>
      </c>
      <c r="Q214" s="2" t="s">
        <v>131</v>
      </c>
      <c r="R214" s="2" t="s">
        <v>185</v>
      </c>
      <c r="S214" s="2" t="s">
        <v>439</v>
      </c>
      <c r="T214" s="2" t="s">
        <v>117</v>
      </c>
      <c r="U214" s="2" t="s">
        <v>304</v>
      </c>
      <c r="V214" s="2" t="s">
        <v>118</v>
      </c>
      <c r="W214" s="2" t="s">
        <v>412</v>
      </c>
      <c r="X214" s="2" t="s">
        <v>412</v>
      </c>
      <c r="Y214" s="2" t="s">
        <v>481</v>
      </c>
      <c r="Z214" s="2" t="s">
        <v>412</v>
      </c>
      <c r="AA214" s="2" t="s">
        <v>39</v>
      </c>
      <c r="AB214" s="2" t="s">
        <v>441</v>
      </c>
      <c r="AC214" s="14">
        <f t="shared" si="49"/>
        <v>44063</v>
      </c>
      <c r="AD214" s="14">
        <f t="shared" si="50"/>
        <v>44087</v>
      </c>
    </row>
    <row r="215" spans="1:33" x14ac:dyDescent="0.2">
      <c r="A215" s="2" t="s">
        <v>470</v>
      </c>
      <c r="B215" s="3">
        <v>44048</v>
      </c>
      <c r="C215" s="2" t="s">
        <v>1297</v>
      </c>
      <c r="D215" s="2" t="s">
        <v>44</v>
      </c>
      <c r="E215" s="2" t="s">
        <v>341</v>
      </c>
      <c r="F215" s="2" t="s">
        <v>342</v>
      </c>
      <c r="G215" s="2" t="s">
        <v>1368</v>
      </c>
      <c r="H215" s="2" t="s">
        <v>1369</v>
      </c>
      <c r="I215" s="2" t="s">
        <v>343</v>
      </c>
      <c r="J215" s="2" t="s">
        <v>58</v>
      </c>
      <c r="K215" s="2" t="s">
        <v>1300</v>
      </c>
      <c r="L215" s="2" t="s">
        <v>113</v>
      </c>
      <c r="M215" s="3">
        <v>44063</v>
      </c>
      <c r="N215" s="3">
        <v>44087</v>
      </c>
      <c r="O215" s="4">
        <v>200</v>
      </c>
      <c r="P215" s="2" t="s">
        <v>303</v>
      </c>
      <c r="Q215" s="2" t="s">
        <v>131</v>
      </c>
      <c r="R215" s="2" t="s">
        <v>185</v>
      </c>
      <c r="S215" s="2" t="s">
        <v>439</v>
      </c>
      <c r="T215" s="2" t="s">
        <v>117</v>
      </c>
      <c r="U215" s="2" t="s">
        <v>290</v>
      </c>
      <c r="V215" s="2" t="s">
        <v>118</v>
      </c>
      <c r="W215" s="2" t="s">
        <v>412</v>
      </c>
      <c r="X215" s="2" t="s">
        <v>412</v>
      </c>
      <c r="Y215" s="2" t="s">
        <v>531</v>
      </c>
      <c r="Z215" s="2" t="s">
        <v>412</v>
      </c>
      <c r="AA215" s="2" t="s">
        <v>39</v>
      </c>
      <c r="AB215" s="2" t="s">
        <v>441</v>
      </c>
      <c r="AC215" s="14">
        <f t="shared" si="49"/>
        <v>44063</v>
      </c>
      <c r="AD215" s="14">
        <f t="shared" si="50"/>
        <v>44087</v>
      </c>
    </row>
    <row r="216" spans="1:33" x14ac:dyDescent="0.2">
      <c r="A216" s="2" t="s">
        <v>470</v>
      </c>
      <c r="B216" s="3">
        <v>44048</v>
      </c>
      <c r="C216" s="2" t="s">
        <v>1297</v>
      </c>
      <c r="D216" s="2" t="s">
        <v>44</v>
      </c>
      <c r="E216" s="2" t="s">
        <v>341</v>
      </c>
      <c r="F216" s="2" t="s">
        <v>342</v>
      </c>
      <c r="G216" s="2" t="s">
        <v>1370</v>
      </c>
      <c r="H216" s="2" t="s">
        <v>1371</v>
      </c>
      <c r="I216" s="2" t="s">
        <v>344</v>
      </c>
      <c r="J216" s="2" t="s">
        <v>58</v>
      </c>
      <c r="K216" s="2" t="s">
        <v>1300</v>
      </c>
      <c r="L216" s="2" t="s">
        <v>113</v>
      </c>
      <c r="M216" s="3">
        <v>44063</v>
      </c>
      <c r="N216" s="3">
        <v>44087</v>
      </c>
      <c r="O216" s="4">
        <v>250</v>
      </c>
      <c r="P216" s="2" t="s">
        <v>303</v>
      </c>
      <c r="Q216" s="2" t="s">
        <v>131</v>
      </c>
      <c r="R216" s="2" t="s">
        <v>185</v>
      </c>
      <c r="S216" s="2" t="s">
        <v>439</v>
      </c>
      <c r="T216" s="2" t="s">
        <v>117</v>
      </c>
      <c r="U216" s="2" t="s">
        <v>290</v>
      </c>
      <c r="V216" s="2" t="s">
        <v>118</v>
      </c>
      <c r="W216" s="2" t="s">
        <v>412</v>
      </c>
      <c r="X216" s="2" t="s">
        <v>412</v>
      </c>
      <c r="Y216" s="2" t="s">
        <v>1372</v>
      </c>
      <c r="Z216" s="2" t="s">
        <v>412</v>
      </c>
      <c r="AA216" s="2" t="s">
        <v>39</v>
      </c>
      <c r="AB216" s="2" t="s">
        <v>441</v>
      </c>
      <c r="AC216" s="14">
        <f t="shared" si="49"/>
        <v>44063</v>
      </c>
      <c r="AD216" s="14">
        <f t="shared" si="50"/>
        <v>44087</v>
      </c>
    </row>
    <row r="217" spans="1:33" x14ac:dyDescent="0.2">
      <c r="A217" s="2" t="s">
        <v>470</v>
      </c>
      <c r="B217" s="3">
        <v>44048</v>
      </c>
      <c r="C217" s="2" t="s">
        <v>1297</v>
      </c>
      <c r="D217" s="2" t="s">
        <v>44</v>
      </c>
      <c r="E217" s="2" t="s">
        <v>341</v>
      </c>
      <c r="F217" s="2" t="s">
        <v>342</v>
      </c>
      <c r="G217" s="2" t="s">
        <v>1373</v>
      </c>
      <c r="H217" s="2" t="s">
        <v>1374</v>
      </c>
      <c r="I217" s="2" t="s">
        <v>345</v>
      </c>
      <c r="J217" s="2" t="s">
        <v>223</v>
      </c>
      <c r="K217" s="2" t="s">
        <v>1300</v>
      </c>
      <c r="L217" s="2" t="s">
        <v>113</v>
      </c>
      <c r="M217" s="3">
        <v>44063</v>
      </c>
      <c r="N217" s="3">
        <v>44090</v>
      </c>
      <c r="O217" s="4">
        <v>74.275999999999996</v>
      </c>
      <c r="P217" s="2" t="s">
        <v>303</v>
      </c>
      <c r="Q217" s="2" t="s">
        <v>85</v>
      </c>
      <c r="R217" s="2" t="s">
        <v>194</v>
      </c>
      <c r="S217" s="2" t="s">
        <v>439</v>
      </c>
      <c r="T217" s="2" t="s">
        <v>117</v>
      </c>
      <c r="U217" s="2" t="s">
        <v>304</v>
      </c>
      <c r="V217" s="2" t="s">
        <v>118</v>
      </c>
      <c r="W217" s="2" t="s">
        <v>412</v>
      </c>
      <c r="X217" s="2" t="s">
        <v>412</v>
      </c>
      <c r="Y217" s="2" t="s">
        <v>471</v>
      </c>
      <c r="Z217" s="2" t="s">
        <v>412</v>
      </c>
      <c r="AA217" s="2" t="s">
        <v>39</v>
      </c>
      <c r="AB217" s="2" t="s">
        <v>441</v>
      </c>
      <c r="AC217" s="14">
        <f t="shared" si="49"/>
        <v>44063</v>
      </c>
      <c r="AD217" s="14">
        <f t="shared" si="50"/>
        <v>44090</v>
      </c>
    </row>
    <row r="218" spans="1:33" x14ac:dyDescent="0.2">
      <c r="A218" s="2" t="s">
        <v>470</v>
      </c>
      <c r="B218" s="3">
        <v>44058</v>
      </c>
      <c r="C218" s="2" t="s">
        <v>1297</v>
      </c>
      <c r="D218" s="2" t="s">
        <v>62</v>
      </c>
      <c r="E218" s="2" t="s">
        <v>212</v>
      </c>
      <c r="F218" s="2" t="s">
        <v>213</v>
      </c>
      <c r="G218" s="2" t="s">
        <v>1375</v>
      </c>
      <c r="H218" s="2" t="s">
        <v>1376</v>
      </c>
      <c r="I218" s="2" t="s">
        <v>337</v>
      </c>
      <c r="J218" s="2" t="s">
        <v>58</v>
      </c>
      <c r="K218" s="2" t="s">
        <v>1300</v>
      </c>
      <c r="L218" s="2" t="s">
        <v>113</v>
      </c>
      <c r="M218" s="3">
        <v>44063</v>
      </c>
      <c r="N218" s="3">
        <v>44108</v>
      </c>
      <c r="O218" s="4">
        <v>400</v>
      </c>
      <c r="P218" s="2" t="s">
        <v>303</v>
      </c>
      <c r="Q218" s="2" t="s">
        <v>115</v>
      </c>
      <c r="R218" s="2" t="s">
        <v>338</v>
      </c>
      <c r="S218" s="2" t="s">
        <v>439</v>
      </c>
      <c r="T218" s="2" t="s">
        <v>117</v>
      </c>
      <c r="U218" s="2" t="s">
        <v>290</v>
      </c>
      <c r="V218" s="2" t="s">
        <v>118</v>
      </c>
      <c r="W218" s="2" t="s">
        <v>412</v>
      </c>
      <c r="X218" s="2" t="s">
        <v>412</v>
      </c>
      <c r="Y218" s="2" t="s">
        <v>840</v>
      </c>
      <c r="Z218" s="2" t="s">
        <v>412</v>
      </c>
      <c r="AA218" s="2" t="s">
        <v>39</v>
      </c>
      <c r="AB218" s="2" t="s">
        <v>441</v>
      </c>
      <c r="AC218" s="14">
        <f t="shared" si="49"/>
        <v>44063</v>
      </c>
      <c r="AD218" s="14">
        <f t="shared" si="50"/>
        <v>44108</v>
      </c>
    </row>
    <row r="219" spans="1:33" x14ac:dyDescent="0.2">
      <c r="A219" s="2" t="s">
        <v>470</v>
      </c>
      <c r="B219" s="3">
        <v>44058</v>
      </c>
      <c r="C219" s="2" t="s">
        <v>1297</v>
      </c>
      <c r="D219" s="2" t="s">
        <v>62</v>
      </c>
      <c r="E219" s="2" t="s">
        <v>212</v>
      </c>
      <c r="F219" s="2" t="s">
        <v>213</v>
      </c>
      <c r="G219" s="2" t="s">
        <v>1377</v>
      </c>
      <c r="H219" s="2" t="s">
        <v>1378</v>
      </c>
      <c r="I219" s="2" t="s">
        <v>339</v>
      </c>
      <c r="J219" s="2" t="s">
        <v>58</v>
      </c>
      <c r="K219" s="2" t="s">
        <v>1300</v>
      </c>
      <c r="L219" s="2" t="s">
        <v>113</v>
      </c>
      <c r="M219" s="3">
        <v>44063</v>
      </c>
      <c r="N219" s="3">
        <v>44108</v>
      </c>
      <c r="O219" s="4">
        <v>61.195</v>
      </c>
      <c r="P219" s="2" t="s">
        <v>303</v>
      </c>
      <c r="Q219" s="2" t="s">
        <v>115</v>
      </c>
      <c r="R219" s="2" t="s">
        <v>338</v>
      </c>
      <c r="S219" s="2" t="s">
        <v>439</v>
      </c>
      <c r="T219" s="2" t="s">
        <v>117</v>
      </c>
      <c r="U219" s="2" t="s">
        <v>304</v>
      </c>
      <c r="V219" s="2" t="s">
        <v>118</v>
      </c>
      <c r="W219" s="2" t="s">
        <v>412</v>
      </c>
      <c r="X219" s="2" t="s">
        <v>412</v>
      </c>
      <c r="Y219" s="2" t="s">
        <v>432</v>
      </c>
      <c r="Z219" s="2" t="s">
        <v>412</v>
      </c>
      <c r="AA219" s="2" t="s">
        <v>39</v>
      </c>
      <c r="AB219" s="2" t="s">
        <v>441</v>
      </c>
      <c r="AC219" s="14">
        <f t="shared" si="49"/>
        <v>44063</v>
      </c>
      <c r="AD219" s="14">
        <f t="shared" si="50"/>
        <v>44108</v>
      </c>
    </row>
    <row r="220" spans="1:33" x14ac:dyDescent="0.2">
      <c r="A220" s="2" t="s">
        <v>470</v>
      </c>
      <c r="B220" s="3">
        <v>44058</v>
      </c>
      <c r="C220" s="2" t="s">
        <v>1297</v>
      </c>
      <c r="D220" s="2" t="s">
        <v>62</v>
      </c>
      <c r="E220" s="2" t="s">
        <v>212</v>
      </c>
      <c r="F220" s="2" t="s">
        <v>213</v>
      </c>
      <c r="G220" s="2" t="s">
        <v>1379</v>
      </c>
      <c r="H220" s="2" t="s">
        <v>1380</v>
      </c>
      <c r="I220" s="2" t="s">
        <v>340</v>
      </c>
      <c r="J220" s="2" t="s">
        <v>58</v>
      </c>
      <c r="K220" s="2" t="s">
        <v>1300</v>
      </c>
      <c r="L220" s="2" t="s">
        <v>113</v>
      </c>
      <c r="M220" s="3">
        <v>44063</v>
      </c>
      <c r="N220" s="3">
        <v>44108</v>
      </c>
      <c r="O220" s="4">
        <v>40</v>
      </c>
      <c r="P220" s="2" t="s">
        <v>303</v>
      </c>
      <c r="Q220" s="2" t="s">
        <v>115</v>
      </c>
      <c r="R220" s="2" t="s">
        <v>338</v>
      </c>
      <c r="S220" s="2" t="s">
        <v>439</v>
      </c>
      <c r="T220" s="2" t="s">
        <v>117</v>
      </c>
      <c r="U220" s="2" t="s">
        <v>290</v>
      </c>
      <c r="V220" s="2" t="s">
        <v>118</v>
      </c>
      <c r="W220" s="2" t="s">
        <v>412</v>
      </c>
      <c r="X220" s="2" t="s">
        <v>412</v>
      </c>
      <c r="Y220" s="2" t="s">
        <v>416</v>
      </c>
      <c r="Z220" s="2" t="s">
        <v>412</v>
      </c>
      <c r="AA220" s="2" t="s">
        <v>39</v>
      </c>
      <c r="AB220" s="2" t="s">
        <v>441</v>
      </c>
      <c r="AC220" s="14">
        <f t="shared" si="49"/>
        <v>44063</v>
      </c>
      <c r="AD220" s="14">
        <f t="shared" si="50"/>
        <v>44108</v>
      </c>
    </row>
    <row r="221" spans="1:33" x14ac:dyDescent="0.2">
      <c r="A221" s="2" t="s">
        <v>470</v>
      </c>
      <c r="B221" s="3">
        <v>44079</v>
      </c>
      <c r="C221" s="2" t="s">
        <v>1297</v>
      </c>
      <c r="D221" s="2" t="s">
        <v>152</v>
      </c>
      <c r="E221" s="2" t="s">
        <v>138</v>
      </c>
      <c r="F221" s="2" t="s">
        <v>265</v>
      </c>
      <c r="G221" s="2" t="s">
        <v>1381</v>
      </c>
      <c r="H221" s="2" t="s">
        <v>1382</v>
      </c>
      <c r="I221" s="2" t="s">
        <v>1383</v>
      </c>
      <c r="J221" s="2" t="s">
        <v>47</v>
      </c>
      <c r="K221" s="2" t="s">
        <v>1300</v>
      </c>
      <c r="L221" s="2" t="s">
        <v>113</v>
      </c>
      <c r="M221" s="3">
        <v>44063</v>
      </c>
      <c r="N221" s="3">
        <v>44101</v>
      </c>
      <c r="O221" s="4">
        <v>113.77200000000001</v>
      </c>
      <c r="P221" s="2" t="s">
        <v>303</v>
      </c>
      <c r="Q221" s="2" t="s">
        <v>206</v>
      </c>
      <c r="R221" s="2" t="s">
        <v>266</v>
      </c>
      <c r="S221" s="2" t="s">
        <v>439</v>
      </c>
      <c r="T221" s="2" t="s">
        <v>117</v>
      </c>
      <c r="U221" s="2" t="s">
        <v>290</v>
      </c>
      <c r="V221" s="2" t="s">
        <v>118</v>
      </c>
      <c r="W221" s="2" t="s">
        <v>412</v>
      </c>
      <c r="X221" s="2" t="s">
        <v>412</v>
      </c>
      <c r="Y221" s="2" t="s">
        <v>425</v>
      </c>
      <c r="Z221" s="2" t="s">
        <v>412</v>
      </c>
      <c r="AA221" s="2" t="s">
        <v>39</v>
      </c>
      <c r="AB221" s="2" t="s">
        <v>441</v>
      </c>
      <c r="AC221" s="14">
        <f t="shared" si="49"/>
        <v>44063</v>
      </c>
      <c r="AD221" s="14">
        <f t="shared" si="50"/>
        <v>44101</v>
      </c>
    </row>
    <row r="222" spans="1:33" x14ac:dyDescent="0.2">
      <c r="A222" s="2" t="s">
        <v>470</v>
      </c>
      <c r="B222" s="3">
        <v>44079</v>
      </c>
      <c r="C222" s="2" t="s">
        <v>1297</v>
      </c>
      <c r="D222" s="2" t="s">
        <v>152</v>
      </c>
      <c r="E222" s="2" t="s">
        <v>138</v>
      </c>
      <c r="F222" s="2" t="s">
        <v>265</v>
      </c>
      <c r="G222" s="2" t="s">
        <v>1384</v>
      </c>
      <c r="H222" s="2" t="s">
        <v>1385</v>
      </c>
      <c r="I222" s="2" t="s">
        <v>533</v>
      </c>
      <c r="J222" s="2" t="s">
        <v>47</v>
      </c>
      <c r="K222" s="2" t="s">
        <v>1300</v>
      </c>
      <c r="L222" s="2" t="s">
        <v>113</v>
      </c>
      <c r="M222" s="3">
        <v>44063</v>
      </c>
      <c r="N222" s="3">
        <v>44101</v>
      </c>
      <c r="O222" s="4">
        <v>199.12200000000001</v>
      </c>
      <c r="P222" s="2" t="s">
        <v>303</v>
      </c>
      <c r="Q222" s="2" t="s">
        <v>206</v>
      </c>
      <c r="R222" s="2" t="s">
        <v>266</v>
      </c>
      <c r="S222" s="2" t="s">
        <v>439</v>
      </c>
      <c r="T222" s="2" t="s">
        <v>117</v>
      </c>
      <c r="U222" s="2" t="s">
        <v>290</v>
      </c>
      <c r="V222" s="2" t="s">
        <v>118</v>
      </c>
      <c r="W222" s="2" t="s">
        <v>412</v>
      </c>
      <c r="X222" s="2" t="s">
        <v>412</v>
      </c>
      <c r="Y222" s="2" t="s">
        <v>435</v>
      </c>
      <c r="Z222" s="2" t="s">
        <v>412</v>
      </c>
      <c r="AA222" s="2" t="s">
        <v>39</v>
      </c>
      <c r="AB222" s="2" t="s">
        <v>441</v>
      </c>
      <c r="AC222" s="14">
        <f t="shared" si="49"/>
        <v>44063</v>
      </c>
      <c r="AD222" s="14">
        <f t="shared" si="50"/>
        <v>44101</v>
      </c>
    </row>
    <row r="223" spans="1:33" x14ac:dyDescent="0.2">
      <c r="A223" s="2" t="s">
        <v>470</v>
      </c>
      <c r="B223" s="3">
        <v>44048</v>
      </c>
      <c r="C223" s="2" t="s">
        <v>1297</v>
      </c>
      <c r="D223" s="2" t="s">
        <v>152</v>
      </c>
      <c r="E223" s="2" t="s">
        <v>138</v>
      </c>
      <c r="F223" s="2" t="s">
        <v>265</v>
      </c>
      <c r="G223" s="2" t="s">
        <v>1386</v>
      </c>
      <c r="H223" s="2" t="s">
        <v>1387</v>
      </c>
      <c r="I223" s="2" t="s">
        <v>1388</v>
      </c>
      <c r="J223" s="2" t="s">
        <v>47</v>
      </c>
      <c r="K223" s="2" t="s">
        <v>1300</v>
      </c>
      <c r="L223" s="2" t="s">
        <v>113</v>
      </c>
      <c r="M223" s="3">
        <v>44063</v>
      </c>
      <c r="N223" s="3">
        <v>44101</v>
      </c>
      <c r="O223" s="4">
        <v>50.77</v>
      </c>
      <c r="P223" s="2" t="s">
        <v>303</v>
      </c>
      <c r="Q223" s="2" t="s">
        <v>206</v>
      </c>
      <c r="R223" s="2" t="s">
        <v>266</v>
      </c>
      <c r="S223" s="2" t="s">
        <v>439</v>
      </c>
      <c r="T223" s="2" t="s">
        <v>117</v>
      </c>
      <c r="U223" s="2" t="s">
        <v>304</v>
      </c>
      <c r="V223" s="2" t="s">
        <v>118</v>
      </c>
      <c r="W223" s="2" t="s">
        <v>412</v>
      </c>
      <c r="X223" s="2" t="s">
        <v>412</v>
      </c>
      <c r="Y223" s="2" t="s">
        <v>415</v>
      </c>
      <c r="Z223" s="2" t="s">
        <v>412</v>
      </c>
      <c r="AA223" s="2" t="s">
        <v>39</v>
      </c>
      <c r="AB223" s="2" t="s">
        <v>441</v>
      </c>
      <c r="AC223" s="14">
        <f t="shared" si="49"/>
        <v>44063</v>
      </c>
      <c r="AD223" s="14">
        <f t="shared" si="50"/>
        <v>44101</v>
      </c>
    </row>
    <row r="224" spans="1:33" x14ac:dyDescent="0.2">
      <c r="A224" s="2" t="s">
        <v>431</v>
      </c>
      <c r="B224" s="3">
        <v>44073</v>
      </c>
      <c r="C224" s="2" t="s">
        <v>1389</v>
      </c>
      <c r="D224" s="2" t="s">
        <v>28</v>
      </c>
      <c r="E224" s="2" t="s">
        <v>29</v>
      </c>
      <c r="F224" s="2" t="s">
        <v>397</v>
      </c>
      <c r="G224" s="2" t="s">
        <v>1390</v>
      </c>
      <c r="H224" s="2" t="s">
        <v>1391</v>
      </c>
      <c r="I224" s="2" t="s">
        <v>31</v>
      </c>
      <c r="J224" s="2" t="s">
        <v>32</v>
      </c>
      <c r="K224" s="2" t="s">
        <v>1199</v>
      </c>
      <c r="L224" s="2" t="s">
        <v>740</v>
      </c>
      <c r="M224" s="3">
        <v>44064</v>
      </c>
      <c r="N224" s="3">
        <v>44082</v>
      </c>
      <c r="O224" s="4">
        <v>501.904</v>
      </c>
      <c r="P224" s="2" t="s">
        <v>33</v>
      </c>
      <c r="Q224" s="2" t="s">
        <v>153</v>
      </c>
      <c r="R224" s="2" t="s">
        <v>154</v>
      </c>
      <c r="S224" s="2" t="s">
        <v>477</v>
      </c>
      <c r="T224" s="2" t="s">
        <v>362</v>
      </c>
      <c r="U224" s="2" t="s">
        <v>290</v>
      </c>
      <c r="V224" s="2" t="s">
        <v>155</v>
      </c>
      <c r="W224" s="2" t="s">
        <v>1392</v>
      </c>
      <c r="X224" s="2" t="s">
        <v>412</v>
      </c>
      <c r="Y224" s="2" t="s">
        <v>448</v>
      </c>
      <c r="Z224" s="2" t="s">
        <v>412</v>
      </c>
      <c r="AA224" s="2" t="s">
        <v>39</v>
      </c>
      <c r="AB224" s="2" t="s">
        <v>414</v>
      </c>
      <c r="AC224" s="14">
        <v>44071</v>
      </c>
      <c r="AD224" s="14">
        <v>44087</v>
      </c>
      <c r="AE224">
        <v>7</v>
      </c>
      <c r="AF224">
        <v>5</v>
      </c>
      <c r="AG224" t="s">
        <v>1836</v>
      </c>
    </row>
    <row r="225" spans="1:33" x14ac:dyDescent="0.2">
      <c r="A225" s="2" t="s">
        <v>427</v>
      </c>
      <c r="B225" s="3">
        <v>44073</v>
      </c>
      <c r="C225" s="2" t="s">
        <v>1399</v>
      </c>
      <c r="D225" s="2" t="s">
        <v>74</v>
      </c>
      <c r="E225" s="2" t="s">
        <v>75</v>
      </c>
      <c r="F225" s="2" t="s">
        <v>966</v>
      </c>
      <c r="G225" s="2" t="s">
        <v>1400</v>
      </c>
      <c r="H225" s="2" t="s">
        <v>1401</v>
      </c>
      <c r="I225" s="2" t="s">
        <v>77</v>
      </c>
      <c r="J225" s="2" t="s">
        <v>32</v>
      </c>
      <c r="K225" s="2" t="s">
        <v>1693</v>
      </c>
      <c r="L225" s="2" t="s">
        <v>1403</v>
      </c>
      <c r="M225" s="3">
        <v>44064</v>
      </c>
      <c r="N225" s="3">
        <v>44124</v>
      </c>
      <c r="O225" s="4">
        <v>496.8</v>
      </c>
      <c r="P225" s="2" t="s">
        <v>48</v>
      </c>
      <c r="Q225" s="2" t="s">
        <v>149</v>
      </c>
      <c r="R225" s="2" t="s">
        <v>150</v>
      </c>
      <c r="S225" s="2" t="s">
        <v>428</v>
      </c>
      <c r="T225" s="2" t="s">
        <v>36</v>
      </c>
      <c r="U225" s="2" t="s">
        <v>1816</v>
      </c>
      <c r="V225" s="2" t="s">
        <v>73</v>
      </c>
      <c r="W225" s="2" t="s">
        <v>1404</v>
      </c>
      <c r="X225" s="2" t="s">
        <v>412</v>
      </c>
      <c r="Y225" s="2" t="s">
        <v>429</v>
      </c>
      <c r="Z225" s="2" t="s">
        <v>412</v>
      </c>
      <c r="AA225" s="2" t="s">
        <v>39</v>
      </c>
      <c r="AB225" s="2" t="s">
        <v>414</v>
      </c>
      <c r="AC225" s="14">
        <f t="shared" ref="AC225:AC226" si="51">M225</f>
        <v>44064</v>
      </c>
      <c r="AD225" s="14">
        <f t="shared" ref="AD225:AD226" si="52">N225</f>
        <v>44124</v>
      </c>
      <c r="AE225" s="2"/>
      <c r="AF225" s="2"/>
    </row>
    <row r="226" spans="1:33" x14ac:dyDescent="0.2">
      <c r="A226" s="2" t="s">
        <v>427</v>
      </c>
      <c r="B226" s="3">
        <v>44073</v>
      </c>
      <c r="C226" s="2" t="s">
        <v>1399</v>
      </c>
      <c r="D226" s="2" t="s">
        <v>74</v>
      </c>
      <c r="E226" s="2" t="s">
        <v>75</v>
      </c>
      <c r="F226" s="2" t="s">
        <v>966</v>
      </c>
      <c r="G226" s="2" t="s">
        <v>1405</v>
      </c>
      <c r="H226" s="2" t="s">
        <v>1406</v>
      </c>
      <c r="I226" s="2" t="s">
        <v>77</v>
      </c>
      <c r="J226" s="2" t="s">
        <v>32</v>
      </c>
      <c r="K226" s="2" t="s">
        <v>1693</v>
      </c>
      <c r="L226" s="2" t="s">
        <v>1403</v>
      </c>
      <c r="M226" s="3">
        <v>44064</v>
      </c>
      <c r="N226" s="3">
        <v>44124</v>
      </c>
      <c r="O226" s="4">
        <v>496.8</v>
      </c>
      <c r="P226" s="2" t="s">
        <v>48</v>
      </c>
      <c r="Q226" s="2" t="s">
        <v>149</v>
      </c>
      <c r="R226" s="2" t="s">
        <v>150</v>
      </c>
      <c r="S226" s="2" t="s">
        <v>428</v>
      </c>
      <c r="T226" s="2" t="s">
        <v>36</v>
      </c>
      <c r="U226" s="2" t="s">
        <v>1816</v>
      </c>
      <c r="V226" s="2" t="s">
        <v>73</v>
      </c>
      <c r="W226" s="2" t="s">
        <v>1407</v>
      </c>
      <c r="X226" s="2" t="s">
        <v>412</v>
      </c>
      <c r="Y226" s="2" t="s">
        <v>429</v>
      </c>
      <c r="Z226" s="2" t="s">
        <v>412</v>
      </c>
      <c r="AA226" s="2" t="s">
        <v>39</v>
      </c>
      <c r="AB226" s="2" t="s">
        <v>414</v>
      </c>
      <c r="AC226" s="14">
        <f t="shared" si="51"/>
        <v>44064</v>
      </c>
      <c r="AD226" s="14">
        <f t="shared" si="52"/>
        <v>44124</v>
      </c>
      <c r="AE226" s="2"/>
      <c r="AF226" s="2"/>
    </row>
    <row r="227" spans="1:33" x14ac:dyDescent="0.2">
      <c r="A227" s="2" t="s">
        <v>431</v>
      </c>
      <c r="B227" s="3">
        <v>44048</v>
      </c>
      <c r="C227" s="2" t="s">
        <v>1408</v>
      </c>
      <c r="D227" s="2" t="s">
        <v>62</v>
      </c>
      <c r="E227" s="2" t="s">
        <v>324</v>
      </c>
      <c r="F227" s="2" t="s">
        <v>325</v>
      </c>
      <c r="G227" s="2" t="s">
        <v>1409</v>
      </c>
      <c r="H227" s="2" t="s">
        <v>1410</v>
      </c>
      <c r="I227" s="2" t="s">
        <v>31</v>
      </c>
      <c r="J227" s="2" t="s">
        <v>32</v>
      </c>
      <c r="K227" s="2" t="s">
        <v>500</v>
      </c>
      <c r="L227" s="2" t="s">
        <v>1081</v>
      </c>
      <c r="M227" s="3">
        <v>44065</v>
      </c>
      <c r="N227" s="3">
        <v>44074</v>
      </c>
      <c r="O227" s="4">
        <v>501.904</v>
      </c>
      <c r="P227" s="2" t="s">
        <v>33</v>
      </c>
      <c r="Q227" s="2" t="s">
        <v>34</v>
      </c>
      <c r="R227" s="2" t="s">
        <v>35</v>
      </c>
      <c r="S227" s="2" t="s">
        <v>447</v>
      </c>
      <c r="T227" s="2" t="s">
        <v>140</v>
      </c>
      <c r="U227" s="2" t="s">
        <v>290</v>
      </c>
      <c r="V227" s="2" t="s">
        <v>38</v>
      </c>
      <c r="W227" s="2" t="s">
        <v>1411</v>
      </c>
      <c r="X227" s="2" t="s">
        <v>412</v>
      </c>
      <c r="Y227" s="2" t="s">
        <v>448</v>
      </c>
      <c r="Z227" s="2" t="s">
        <v>412</v>
      </c>
      <c r="AA227" s="2" t="s">
        <v>39</v>
      </c>
      <c r="AB227" s="2" t="s">
        <v>414</v>
      </c>
      <c r="AC227" s="32">
        <v>44066</v>
      </c>
      <c r="AD227" s="14">
        <f>N227</f>
        <v>44074</v>
      </c>
      <c r="AE227">
        <v>1</v>
      </c>
      <c r="AG227" t="s">
        <v>1791</v>
      </c>
    </row>
    <row r="228" spans="1:33" x14ac:dyDescent="0.2">
      <c r="A228" s="2" t="s">
        <v>427</v>
      </c>
      <c r="B228" s="3">
        <v>44058</v>
      </c>
      <c r="C228" s="2" t="s">
        <v>1423</v>
      </c>
      <c r="D228" s="2" t="s">
        <v>28</v>
      </c>
      <c r="E228" s="2" t="s">
        <v>280</v>
      </c>
      <c r="F228" s="2" t="s">
        <v>352</v>
      </c>
      <c r="G228" s="2" t="s">
        <v>1424</v>
      </c>
      <c r="H228" s="2" t="s">
        <v>1425</v>
      </c>
      <c r="I228" s="2" t="s">
        <v>77</v>
      </c>
      <c r="J228" s="2" t="s">
        <v>32</v>
      </c>
      <c r="K228" s="2" t="s">
        <v>1426</v>
      </c>
      <c r="L228" s="2" t="s">
        <v>1269</v>
      </c>
      <c r="M228" s="3">
        <v>44065</v>
      </c>
      <c r="N228" s="3">
        <v>44097</v>
      </c>
      <c r="O228" s="4">
        <v>496.8</v>
      </c>
      <c r="P228" s="2" t="s">
        <v>48</v>
      </c>
      <c r="Q228" s="2" t="s">
        <v>353</v>
      </c>
      <c r="R228" s="2" t="s">
        <v>354</v>
      </c>
      <c r="S228" s="2" t="s">
        <v>428</v>
      </c>
      <c r="T228" s="2" t="s">
        <v>36</v>
      </c>
      <c r="U228" s="2" t="s">
        <v>1817</v>
      </c>
      <c r="V228" s="2" t="s">
        <v>43</v>
      </c>
      <c r="W228" s="2" t="s">
        <v>1427</v>
      </c>
      <c r="X228" s="2" t="s">
        <v>412</v>
      </c>
      <c r="Y228" s="2" t="s">
        <v>429</v>
      </c>
      <c r="Z228" s="2" t="s">
        <v>412</v>
      </c>
      <c r="AA228" s="2" t="s">
        <v>39</v>
      </c>
      <c r="AB228" s="2" t="s">
        <v>414</v>
      </c>
      <c r="AC228" s="14">
        <f t="shared" ref="AC228:AC235" si="53">M228</f>
        <v>44065</v>
      </c>
      <c r="AD228" s="14">
        <f t="shared" ref="AD228:AD235" si="54">N228</f>
        <v>44097</v>
      </c>
      <c r="AE228" s="2"/>
      <c r="AF228" s="2"/>
    </row>
    <row r="229" spans="1:33" x14ac:dyDescent="0.2">
      <c r="A229" s="2" t="s">
        <v>427</v>
      </c>
      <c r="B229" s="3">
        <v>44058</v>
      </c>
      <c r="C229" s="2" t="s">
        <v>1423</v>
      </c>
      <c r="D229" s="2" t="s">
        <v>28</v>
      </c>
      <c r="E229" s="2" t="s">
        <v>280</v>
      </c>
      <c r="F229" s="2" t="s">
        <v>352</v>
      </c>
      <c r="G229" s="2" t="s">
        <v>1428</v>
      </c>
      <c r="H229" s="2" t="s">
        <v>1429</v>
      </c>
      <c r="I229" s="2" t="s">
        <v>77</v>
      </c>
      <c r="J229" s="2" t="s">
        <v>32</v>
      </c>
      <c r="K229" s="2" t="s">
        <v>1426</v>
      </c>
      <c r="L229" s="2" t="s">
        <v>1269</v>
      </c>
      <c r="M229" s="3">
        <v>44065</v>
      </c>
      <c r="N229" s="3">
        <v>44097</v>
      </c>
      <c r="O229" s="4">
        <v>496.8</v>
      </c>
      <c r="P229" s="2" t="s">
        <v>48</v>
      </c>
      <c r="Q229" s="2" t="s">
        <v>353</v>
      </c>
      <c r="R229" s="2" t="s">
        <v>354</v>
      </c>
      <c r="S229" s="2" t="s">
        <v>428</v>
      </c>
      <c r="T229" s="2" t="s">
        <v>36</v>
      </c>
      <c r="U229" s="2" t="s">
        <v>1817</v>
      </c>
      <c r="V229" s="2" t="s">
        <v>43</v>
      </c>
      <c r="W229" s="2" t="s">
        <v>1430</v>
      </c>
      <c r="X229" s="2" t="s">
        <v>412</v>
      </c>
      <c r="Y229" s="2" t="s">
        <v>429</v>
      </c>
      <c r="Z229" s="2" t="s">
        <v>412</v>
      </c>
      <c r="AA229" s="2" t="s">
        <v>39</v>
      </c>
      <c r="AB229" s="2" t="s">
        <v>414</v>
      </c>
      <c r="AC229" s="14">
        <f t="shared" si="53"/>
        <v>44065</v>
      </c>
      <c r="AD229" s="14">
        <f t="shared" si="54"/>
        <v>44097</v>
      </c>
      <c r="AE229" s="2"/>
      <c r="AF229" s="2"/>
    </row>
    <row r="230" spans="1:33" x14ac:dyDescent="0.2">
      <c r="A230" s="2" t="s">
        <v>427</v>
      </c>
      <c r="B230" s="3">
        <v>44063</v>
      </c>
      <c r="C230" s="2" t="s">
        <v>1431</v>
      </c>
      <c r="D230" s="2" t="s">
        <v>62</v>
      </c>
      <c r="E230" s="2" t="s">
        <v>217</v>
      </c>
      <c r="F230" s="2" t="s">
        <v>218</v>
      </c>
      <c r="G230" s="2" t="s">
        <v>1432</v>
      </c>
      <c r="H230" s="2" t="s">
        <v>1433</v>
      </c>
      <c r="I230" s="2" t="s">
        <v>77</v>
      </c>
      <c r="J230" s="2" t="s">
        <v>32</v>
      </c>
      <c r="K230" s="2" t="s">
        <v>430</v>
      </c>
      <c r="L230" s="2" t="s">
        <v>1434</v>
      </c>
      <c r="M230" s="3">
        <v>44065</v>
      </c>
      <c r="N230" s="3">
        <v>44097</v>
      </c>
      <c r="O230" s="4">
        <v>496.8</v>
      </c>
      <c r="P230" s="2" t="s">
        <v>48</v>
      </c>
      <c r="Q230" s="2" t="s">
        <v>34</v>
      </c>
      <c r="R230" s="2" t="s">
        <v>35</v>
      </c>
      <c r="S230" s="2" t="s">
        <v>428</v>
      </c>
      <c r="T230" s="2" t="s">
        <v>36</v>
      </c>
      <c r="U230" s="2" t="s">
        <v>1817</v>
      </c>
      <c r="V230" s="2" t="s">
        <v>52</v>
      </c>
      <c r="W230" s="2" t="s">
        <v>1435</v>
      </c>
      <c r="X230" s="2" t="s">
        <v>412</v>
      </c>
      <c r="Y230" s="2" t="s">
        <v>429</v>
      </c>
      <c r="Z230" s="2" t="s">
        <v>412</v>
      </c>
      <c r="AA230" s="2" t="s">
        <v>39</v>
      </c>
      <c r="AB230" s="2" t="s">
        <v>414</v>
      </c>
      <c r="AC230" s="14">
        <f t="shared" si="53"/>
        <v>44065</v>
      </c>
      <c r="AD230" s="14">
        <f t="shared" si="54"/>
        <v>44097</v>
      </c>
      <c r="AE230" s="2"/>
      <c r="AF230" s="2"/>
    </row>
    <row r="231" spans="1:33" x14ac:dyDescent="0.2">
      <c r="A231" s="2" t="s">
        <v>427</v>
      </c>
      <c r="B231" s="3">
        <v>44063</v>
      </c>
      <c r="C231" s="2" t="s">
        <v>1431</v>
      </c>
      <c r="D231" s="2" t="s">
        <v>62</v>
      </c>
      <c r="E231" s="2" t="s">
        <v>217</v>
      </c>
      <c r="F231" s="2" t="s">
        <v>218</v>
      </c>
      <c r="G231" s="2" t="s">
        <v>1436</v>
      </c>
      <c r="H231" s="2" t="s">
        <v>1437</v>
      </c>
      <c r="I231" s="2" t="s">
        <v>77</v>
      </c>
      <c r="J231" s="2" t="s">
        <v>32</v>
      </c>
      <c r="K231" s="2" t="s">
        <v>430</v>
      </c>
      <c r="L231" s="2" t="s">
        <v>1434</v>
      </c>
      <c r="M231" s="3">
        <v>44065</v>
      </c>
      <c r="N231" s="3">
        <v>44097</v>
      </c>
      <c r="O231" s="4">
        <v>496.8</v>
      </c>
      <c r="P231" s="2" t="s">
        <v>48</v>
      </c>
      <c r="Q231" s="2" t="s">
        <v>34</v>
      </c>
      <c r="R231" s="2" t="s">
        <v>35</v>
      </c>
      <c r="S231" s="2" t="s">
        <v>428</v>
      </c>
      <c r="T231" s="2" t="s">
        <v>36</v>
      </c>
      <c r="U231" s="2" t="s">
        <v>1817</v>
      </c>
      <c r="V231" s="2" t="s">
        <v>52</v>
      </c>
      <c r="W231" s="2" t="s">
        <v>1438</v>
      </c>
      <c r="X231" s="2" t="s">
        <v>412</v>
      </c>
      <c r="Y231" s="2" t="s">
        <v>429</v>
      </c>
      <c r="Z231" s="2" t="s">
        <v>412</v>
      </c>
      <c r="AA231" s="2" t="s">
        <v>39</v>
      </c>
      <c r="AB231" s="2" t="s">
        <v>414</v>
      </c>
      <c r="AC231" s="14">
        <f t="shared" si="53"/>
        <v>44065</v>
      </c>
      <c r="AD231" s="14">
        <f t="shared" si="54"/>
        <v>44097</v>
      </c>
      <c r="AE231" s="2"/>
      <c r="AF231" s="2"/>
    </row>
    <row r="232" spans="1:33" x14ac:dyDescent="0.2">
      <c r="A232" s="2" t="s">
        <v>427</v>
      </c>
      <c r="B232" s="3">
        <v>44048</v>
      </c>
      <c r="C232" s="2" t="s">
        <v>1431</v>
      </c>
      <c r="D232" s="2" t="s">
        <v>44</v>
      </c>
      <c r="E232" s="2" t="s">
        <v>45</v>
      </c>
      <c r="F232" s="2" t="s">
        <v>299</v>
      </c>
      <c r="G232" s="2" t="s">
        <v>1439</v>
      </c>
      <c r="H232" s="2" t="s">
        <v>1440</v>
      </c>
      <c r="I232" s="2" t="s">
        <v>567</v>
      </c>
      <c r="J232" s="2" t="s">
        <v>58</v>
      </c>
      <c r="K232" s="2" t="s">
        <v>430</v>
      </c>
      <c r="L232" s="2" t="s">
        <v>1434</v>
      </c>
      <c r="M232" s="3">
        <v>44065</v>
      </c>
      <c r="N232" s="3">
        <v>44096</v>
      </c>
      <c r="O232" s="4">
        <v>80.72</v>
      </c>
      <c r="P232" s="2" t="s">
        <v>48</v>
      </c>
      <c r="Q232" s="2" t="s">
        <v>85</v>
      </c>
      <c r="R232" s="2" t="s">
        <v>301</v>
      </c>
      <c r="S232" s="2" t="s">
        <v>419</v>
      </c>
      <c r="T232" s="2" t="s">
        <v>42</v>
      </c>
      <c r="U232" s="2" t="s">
        <v>1817</v>
      </c>
      <c r="V232" s="2" t="s">
        <v>52</v>
      </c>
      <c r="W232" s="2" t="s">
        <v>1441</v>
      </c>
      <c r="X232" s="2" t="s">
        <v>412</v>
      </c>
      <c r="Y232" s="2" t="s">
        <v>433</v>
      </c>
      <c r="Z232" s="2" t="s">
        <v>53</v>
      </c>
      <c r="AA232" s="2" t="s">
        <v>39</v>
      </c>
      <c r="AB232" s="2" t="s">
        <v>414</v>
      </c>
      <c r="AC232" s="14">
        <f t="shared" si="53"/>
        <v>44065</v>
      </c>
      <c r="AD232" s="14">
        <f t="shared" si="54"/>
        <v>44096</v>
      </c>
      <c r="AE232" s="2"/>
      <c r="AF232" s="2"/>
    </row>
    <row r="233" spans="1:33" x14ac:dyDescent="0.2">
      <c r="A233" s="2" t="s">
        <v>427</v>
      </c>
      <c r="B233" s="3">
        <v>44074</v>
      </c>
      <c r="C233" s="2" t="s">
        <v>1442</v>
      </c>
      <c r="D233" s="2" t="s">
        <v>91</v>
      </c>
      <c r="E233" s="2" t="s">
        <v>569</v>
      </c>
      <c r="F233" s="2" t="s">
        <v>570</v>
      </c>
      <c r="G233" s="2" t="s">
        <v>1443</v>
      </c>
      <c r="H233" s="2" t="s">
        <v>1444</v>
      </c>
      <c r="I233" s="2" t="s">
        <v>571</v>
      </c>
      <c r="J233" s="2" t="s">
        <v>58</v>
      </c>
      <c r="K233" s="2" t="s">
        <v>515</v>
      </c>
      <c r="L233" s="2" t="s">
        <v>753</v>
      </c>
      <c r="M233" s="3">
        <v>44065</v>
      </c>
      <c r="N233" s="3">
        <v>44079</v>
      </c>
      <c r="O233" s="4">
        <v>122.4</v>
      </c>
      <c r="P233" s="2" t="s">
        <v>48</v>
      </c>
      <c r="Q233" s="2" t="s">
        <v>131</v>
      </c>
      <c r="R233" s="2" t="s">
        <v>132</v>
      </c>
      <c r="S233" s="2" t="s">
        <v>415</v>
      </c>
      <c r="T233" s="2" t="s">
        <v>36</v>
      </c>
      <c r="U233" s="2" t="s">
        <v>1817</v>
      </c>
      <c r="V233" s="2" t="s">
        <v>155</v>
      </c>
      <c r="W233" s="2" t="s">
        <v>1445</v>
      </c>
      <c r="X233" s="2" t="s">
        <v>412</v>
      </c>
      <c r="Y233" s="2" t="s">
        <v>529</v>
      </c>
      <c r="Z233" s="2" t="s">
        <v>53</v>
      </c>
      <c r="AA233" s="2" t="s">
        <v>39</v>
      </c>
      <c r="AB233" s="2" t="s">
        <v>414</v>
      </c>
      <c r="AC233" s="14">
        <f t="shared" si="53"/>
        <v>44065</v>
      </c>
      <c r="AD233" s="14">
        <f t="shared" si="54"/>
        <v>44079</v>
      </c>
      <c r="AE233" s="2"/>
      <c r="AF233" s="2"/>
    </row>
    <row r="234" spans="1:33" x14ac:dyDescent="0.2">
      <c r="A234" s="2" t="s">
        <v>427</v>
      </c>
      <c r="B234" s="3">
        <v>44073</v>
      </c>
      <c r="C234" s="2" t="s">
        <v>1449</v>
      </c>
      <c r="D234" s="2" t="s">
        <v>91</v>
      </c>
      <c r="E234" s="2" t="s">
        <v>347</v>
      </c>
      <c r="F234" s="2" t="s">
        <v>348</v>
      </c>
      <c r="G234" s="2" t="s">
        <v>1450</v>
      </c>
      <c r="H234" s="2" t="s">
        <v>1451</v>
      </c>
      <c r="I234" s="2" t="s">
        <v>349</v>
      </c>
      <c r="J234" s="2" t="s">
        <v>58</v>
      </c>
      <c r="K234" s="2" t="s">
        <v>430</v>
      </c>
      <c r="L234" s="2" t="s">
        <v>1434</v>
      </c>
      <c r="M234" s="3">
        <v>44065</v>
      </c>
      <c r="N234" s="3">
        <v>44085</v>
      </c>
      <c r="O234" s="4">
        <v>102.124</v>
      </c>
      <c r="P234" s="2" t="s">
        <v>48</v>
      </c>
      <c r="Q234" s="2" t="s">
        <v>100</v>
      </c>
      <c r="R234" s="2" t="s">
        <v>101</v>
      </c>
      <c r="S234" s="2" t="s">
        <v>419</v>
      </c>
      <c r="T234" s="2" t="s">
        <v>72</v>
      </c>
      <c r="U234" s="2" t="s">
        <v>1817</v>
      </c>
      <c r="V234" s="2" t="s">
        <v>155</v>
      </c>
      <c r="W234" s="2" t="s">
        <v>1452</v>
      </c>
      <c r="X234" s="2" t="s">
        <v>412</v>
      </c>
      <c r="Y234" s="2" t="s">
        <v>454</v>
      </c>
      <c r="Z234" s="2" t="s">
        <v>1453</v>
      </c>
      <c r="AA234" s="2" t="s">
        <v>39</v>
      </c>
      <c r="AB234" s="2" t="s">
        <v>414</v>
      </c>
      <c r="AC234" s="14">
        <f t="shared" si="53"/>
        <v>44065</v>
      </c>
      <c r="AD234" s="14">
        <f t="shared" si="54"/>
        <v>44085</v>
      </c>
      <c r="AE234" s="2"/>
      <c r="AF234" s="2"/>
    </row>
    <row r="235" spans="1:33" x14ac:dyDescent="0.2">
      <c r="A235" s="2" t="s">
        <v>427</v>
      </c>
      <c r="B235" s="3">
        <v>44063</v>
      </c>
      <c r="C235" s="2" t="s">
        <v>1449</v>
      </c>
      <c r="D235" s="2" t="s">
        <v>102</v>
      </c>
      <c r="E235" s="2" t="s">
        <v>398</v>
      </c>
      <c r="F235" s="2" t="s">
        <v>399</v>
      </c>
      <c r="G235" s="2" t="s">
        <v>1454</v>
      </c>
      <c r="H235" s="2" t="s">
        <v>1455</v>
      </c>
      <c r="I235" s="2" t="s">
        <v>400</v>
      </c>
      <c r="J235" s="2" t="s">
        <v>58</v>
      </c>
      <c r="K235" s="2" t="s">
        <v>430</v>
      </c>
      <c r="L235" s="2" t="s">
        <v>1434</v>
      </c>
      <c r="M235" s="3">
        <v>44065</v>
      </c>
      <c r="N235" s="3">
        <v>44087</v>
      </c>
      <c r="O235" s="4">
        <v>76.88</v>
      </c>
      <c r="P235" s="2" t="s">
        <v>48</v>
      </c>
      <c r="Q235" s="2" t="s">
        <v>401</v>
      </c>
      <c r="R235" s="2" t="s">
        <v>402</v>
      </c>
      <c r="S235" s="2" t="s">
        <v>419</v>
      </c>
      <c r="T235" s="2" t="s">
        <v>140</v>
      </c>
      <c r="U235" s="2" t="s">
        <v>1817</v>
      </c>
      <c r="V235" s="2" t="s">
        <v>155</v>
      </c>
      <c r="W235" s="2" t="s">
        <v>1456</v>
      </c>
      <c r="X235" s="2" t="s">
        <v>412</v>
      </c>
      <c r="Y235" s="2" t="s">
        <v>433</v>
      </c>
      <c r="Z235" s="2" t="s">
        <v>1457</v>
      </c>
      <c r="AA235" s="2" t="s">
        <v>39</v>
      </c>
      <c r="AB235" s="2" t="s">
        <v>414</v>
      </c>
      <c r="AC235" s="14">
        <f t="shared" si="53"/>
        <v>44065</v>
      </c>
      <c r="AD235" s="14">
        <f t="shared" si="54"/>
        <v>44087</v>
      </c>
      <c r="AE235" s="2"/>
      <c r="AF235" s="2"/>
    </row>
    <row r="236" spans="1:33" x14ac:dyDescent="0.2">
      <c r="A236" s="2" t="s">
        <v>431</v>
      </c>
      <c r="B236" s="3">
        <v>44074</v>
      </c>
      <c r="C236" s="2" t="s">
        <v>1482</v>
      </c>
      <c r="D236" s="2" t="s">
        <v>365</v>
      </c>
      <c r="E236" s="2" t="s">
        <v>366</v>
      </c>
      <c r="F236" s="2" t="s">
        <v>367</v>
      </c>
      <c r="G236" s="2" t="s">
        <v>1483</v>
      </c>
      <c r="H236" s="2" t="s">
        <v>1484</v>
      </c>
      <c r="I236" s="2" t="s">
        <v>520</v>
      </c>
      <c r="J236" s="2" t="s">
        <v>58</v>
      </c>
      <c r="K236" s="2" t="s">
        <v>247</v>
      </c>
      <c r="L236" s="2" t="s">
        <v>1485</v>
      </c>
      <c r="M236" s="3">
        <v>44066</v>
      </c>
      <c r="N236" s="3">
        <v>44083</v>
      </c>
      <c r="O236" s="4">
        <v>95.48</v>
      </c>
      <c r="P236" s="2" t="s">
        <v>33</v>
      </c>
      <c r="Q236" s="2" t="s">
        <v>59</v>
      </c>
      <c r="R236" s="2" t="s">
        <v>368</v>
      </c>
      <c r="S236" s="2" t="s">
        <v>419</v>
      </c>
      <c r="T236" s="2" t="s">
        <v>61</v>
      </c>
      <c r="U236" s="2" t="s">
        <v>290</v>
      </c>
      <c r="V236" s="2" t="s">
        <v>52</v>
      </c>
      <c r="W236" s="2" t="s">
        <v>1486</v>
      </c>
      <c r="X236" s="2" t="s">
        <v>412</v>
      </c>
      <c r="Y236" s="2" t="s">
        <v>433</v>
      </c>
      <c r="Z236" s="2" t="s">
        <v>1487</v>
      </c>
      <c r="AA236" s="2" t="s">
        <v>39</v>
      </c>
      <c r="AB236" s="2" t="s">
        <v>414</v>
      </c>
      <c r="AC236" s="14">
        <f>M236</f>
        <v>44066</v>
      </c>
      <c r="AD236" s="14">
        <f>N236</f>
        <v>44083</v>
      </c>
      <c r="AE236">
        <v>0</v>
      </c>
    </row>
    <row r="237" spans="1:33" x14ac:dyDescent="0.2">
      <c r="A237" s="2" t="s">
        <v>431</v>
      </c>
      <c r="B237" s="3">
        <v>44074</v>
      </c>
      <c r="C237" s="2" t="s">
        <v>1482</v>
      </c>
      <c r="D237" s="2" t="s">
        <v>54</v>
      </c>
      <c r="E237" s="2" t="s">
        <v>55</v>
      </c>
      <c r="F237" s="2" t="s">
        <v>56</v>
      </c>
      <c r="G237" s="2" t="s">
        <v>1488</v>
      </c>
      <c r="H237" s="2" t="s">
        <v>1489</v>
      </c>
      <c r="I237" s="2" t="s">
        <v>57</v>
      </c>
      <c r="J237" s="2" t="s">
        <v>58</v>
      </c>
      <c r="K237" s="2" t="s">
        <v>247</v>
      </c>
      <c r="L237" s="2" t="s">
        <v>1485</v>
      </c>
      <c r="M237" s="3">
        <v>44066</v>
      </c>
      <c r="N237" s="3">
        <v>44083</v>
      </c>
      <c r="O237" s="4">
        <v>186.8</v>
      </c>
      <c r="P237" s="2" t="s">
        <v>33</v>
      </c>
      <c r="Q237" s="2" t="s">
        <v>59</v>
      </c>
      <c r="R237" s="2" t="s">
        <v>60</v>
      </c>
      <c r="S237" s="2" t="s">
        <v>420</v>
      </c>
      <c r="T237" s="2" t="s">
        <v>61</v>
      </c>
      <c r="U237" s="2" t="s">
        <v>290</v>
      </c>
      <c r="V237" s="2" t="s">
        <v>52</v>
      </c>
      <c r="W237" s="2" t="s">
        <v>1490</v>
      </c>
      <c r="X237" s="2" t="s">
        <v>412</v>
      </c>
      <c r="Y237" s="2" t="s">
        <v>1491</v>
      </c>
      <c r="Z237" s="2" t="s">
        <v>1492</v>
      </c>
      <c r="AA237" s="2" t="s">
        <v>39</v>
      </c>
      <c r="AB237" s="2" t="s">
        <v>414</v>
      </c>
      <c r="AC237" s="14">
        <f>M237</f>
        <v>44066</v>
      </c>
      <c r="AD237" s="14">
        <f>N237</f>
        <v>44083</v>
      </c>
      <c r="AE237">
        <v>0</v>
      </c>
    </row>
    <row r="238" spans="1:33" x14ac:dyDescent="0.2">
      <c r="A238" s="2" t="s">
        <v>431</v>
      </c>
      <c r="B238" s="3">
        <v>44048</v>
      </c>
      <c r="C238" s="2" t="s">
        <v>1472</v>
      </c>
      <c r="D238" s="2" t="s">
        <v>62</v>
      </c>
      <c r="E238" s="2" t="s">
        <v>324</v>
      </c>
      <c r="F238" s="2" t="s">
        <v>325</v>
      </c>
      <c r="G238" s="2" t="s">
        <v>1473</v>
      </c>
      <c r="H238" s="2" t="s">
        <v>1474</v>
      </c>
      <c r="I238" s="2" t="s">
        <v>31</v>
      </c>
      <c r="J238" s="2" t="s">
        <v>32</v>
      </c>
      <c r="K238" s="2" t="s">
        <v>494</v>
      </c>
      <c r="L238" s="2" t="s">
        <v>1152</v>
      </c>
      <c r="M238" s="3">
        <v>44066</v>
      </c>
      <c r="N238" s="3">
        <v>44085</v>
      </c>
      <c r="O238" s="4">
        <v>501.904</v>
      </c>
      <c r="P238" s="2" t="s">
        <v>33</v>
      </c>
      <c r="Q238" s="2" t="s">
        <v>34</v>
      </c>
      <c r="R238" s="2" t="s">
        <v>35</v>
      </c>
      <c r="S238" s="2" t="s">
        <v>447</v>
      </c>
      <c r="T238" s="2" t="s">
        <v>140</v>
      </c>
      <c r="U238" s="2" t="s">
        <v>290</v>
      </c>
      <c r="V238" s="2" t="s">
        <v>65</v>
      </c>
      <c r="W238" s="2" t="s">
        <v>1475</v>
      </c>
      <c r="X238" s="2" t="s">
        <v>412</v>
      </c>
      <c r="Y238" s="2" t="s">
        <v>448</v>
      </c>
      <c r="Z238" s="2" t="s">
        <v>412</v>
      </c>
      <c r="AA238" s="2" t="s">
        <v>39</v>
      </c>
      <c r="AB238" s="2" t="s">
        <v>414</v>
      </c>
      <c r="AC238" s="32">
        <v>44069</v>
      </c>
      <c r="AD238" s="14">
        <f t="shared" ref="AD238:AD243" si="55">N238</f>
        <v>44085</v>
      </c>
      <c r="AE238">
        <v>3</v>
      </c>
      <c r="AG238" s="2" t="s">
        <v>1791</v>
      </c>
    </row>
    <row r="239" spans="1:33" x14ac:dyDescent="0.2">
      <c r="A239" s="2" t="s">
        <v>431</v>
      </c>
      <c r="B239" s="3">
        <v>44060</v>
      </c>
      <c r="C239" s="2" t="s">
        <v>1472</v>
      </c>
      <c r="D239" s="2" t="s">
        <v>28</v>
      </c>
      <c r="E239" s="2" t="s">
        <v>40</v>
      </c>
      <c r="F239" s="2" t="s">
        <v>41</v>
      </c>
      <c r="G239" s="2" t="s">
        <v>1476</v>
      </c>
      <c r="H239" s="2" t="s">
        <v>1477</v>
      </c>
      <c r="I239" s="2" t="s">
        <v>31</v>
      </c>
      <c r="J239" s="2" t="s">
        <v>32</v>
      </c>
      <c r="K239" s="2" t="s">
        <v>494</v>
      </c>
      <c r="L239" s="2" t="s">
        <v>1152</v>
      </c>
      <c r="M239" s="3">
        <v>44066</v>
      </c>
      <c r="N239" s="3">
        <v>44085</v>
      </c>
      <c r="O239" s="4">
        <v>304.8</v>
      </c>
      <c r="P239" s="2" t="s">
        <v>33</v>
      </c>
      <c r="Q239" s="2" t="s">
        <v>34</v>
      </c>
      <c r="R239" s="2" t="s">
        <v>35</v>
      </c>
      <c r="S239" s="2" t="s">
        <v>417</v>
      </c>
      <c r="T239" s="2" t="s">
        <v>42</v>
      </c>
      <c r="U239" s="2" t="s">
        <v>290</v>
      </c>
      <c r="V239" s="2" t="s">
        <v>65</v>
      </c>
      <c r="W239" s="2" t="s">
        <v>1478</v>
      </c>
      <c r="X239" s="2" t="s">
        <v>412</v>
      </c>
      <c r="Y239" s="2" t="s">
        <v>458</v>
      </c>
      <c r="Z239" s="2" t="s">
        <v>412</v>
      </c>
      <c r="AA239" s="2" t="s">
        <v>39</v>
      </c>
      <c r="AB239" s="2" t="s">
        <v>414</v>
      </c>
      <c r="AC239" s="32">
        <v>44069</v>
      </c>
      <c r="AD239" s="14">
        <f t="shared" si="55"/>
        <v>44085</v>
      </c>
      <c r="AE239">
        <v>3</v>
      </c>
      <c r="AG239" s="2" t="s">
        <v>1791</v>
      </c>
    </row>
    <row r="240" spans="1:33" x14ac:dyDescent="0.2">
      <c r="A240" s="2" t="s">
        <v>431</v>
      </c>
      <c r="B240" s="3">
        <v>44068</v>
      </c>
      <c r="C240" s="2" t="s">
        <v>1472</v>
      </c>
      <c r="D240" s="2" t="s">
        <v>62</v>
      </c>
      <c r="E240" s="2" t="s">
        <v>217</v>
      </c>
      <c r="F240" s="2" t="s">
        <v>218</v>
      </c>
      <c r="G240" s="2" t="s">
        <v>1479</v>
      </c>
      <c r="H240" s="2" t="s">
        <v>1480</v>
      </c>
      <c r="I240" s="2" t="s">
        <v>31</v>
      </c>
      <c r="J240" s="2" t="s">
        <v>32</v>
      </c>
      <c r="K240" s="2" t="s">
        <v>494</v>
      </c>
      <c r="L240" s="2" t="s">
        <v>1152</v>
      </c>
      <c r="M240" s="3">
        <v>44066</v>
      </c>
      <c r="N240" s="3">
        <v>44085</v>
      </c>
      <c r="O240" s="4">
        <v>487.68</v>
      </c>
      <c r="P240" s="2" t="s">
        <v>33</v>
      </c>
      <c r="Q240" s="2" t="s">
        <v>34</v>
      </c>
      <c r="R240" s="2" t="s">
        <v>35</v>
      </c>
      <c r="S240" s="2" t="s">
        <v>428</v>
      </c>
      <c r="T240" s="2" t="s">
        <v>36</v>
      </c>
      <c r="U240" s="2" t="s">
        <v>290</v>
      </c>
      <c r="V240" s="2" t="s">
        <v>65</v>
      </c>
      <c r="W240" s="2" t="s">
        <v>1481</v>
      </c>
      <c r="X240" s="2" t="s">
        <v>412</v>
      </c>
      <c r="Y240" s="2" t="s">
        <v>429</v>
      </c>
      <c r="Z240" s="2" t="s">
        <v>412</v>
      </c>
      <c r="AA240" s="2" t="s">
        <v>39</v>
      </c>
      <c r="AB240" s="2" t="s">
        <v>414</v>
      </c>
      <c r="AC240" s="32">
        <v>44069</v>
      </c>
      <c r="AD240" s="14">
        <f t="shared" si="55"/>
        <v>44085</v>
      </c>
      <c r="AE240">
        <v>3</v>
      </c>
      <c r="AG240" s="2" t="s">
        <v>1791</v>
      </c>
    </row>
    <row r="241" spans="1:33" x14ac:dyDescent="0.2">
      <c r="A241" s="2" t="s">
        <v>431</v>
      </c>
      <c r="B241" s="3">
        <v>44073</v>
      </c>
      <c r="C241" s="2" t="s">
        <v>1458</v>
      </c>
      <c r="D241" s="2" t="s">
        <v>91</v>
      </c>
      <c r="E241" s="2" t="s">
        <v>107</v>
      </c>
      <c r="F241" s="2" t="s">
        <v>537</v>
      </c>
      <c r="G241" s="2" t="s">
        <v>1459</v>
      </c>
      <c r="H241" s="2" t="s">
        <v>1460</v>
      </c>
      <c r="I241" s="2" t="s">
        <v>580</v>
      </c>
      <c r="J241" s="2" t="s">
        <v>58</v>
      </c>
      <c r="K241" s="2" t="s">
        <v>727</v>
      </c>
      <c r="L241" s="2" t="s">
        <v>1269</v>
      </c>
      <c r="M241" s="3">
        <v>44068</v>
      </c>
      <c r="N241" s="3">
        <v>44089</v>
      </c>
      <c r="O241" s="4">
        <v>104.985</v>
      </c>
      <c r="P241" s="2" t="s">
        <v>33</v>
      </c>
      <c r="Q241" s="2" t="s">
        <v>105</v>
      </c>
      <c r="R241" s="2" t="s">
        <v>106</v>
      </c>
      <c r="S241" s="2" t="s">
        <v>415</v>
      </c>
      <c r="T241" s="2" t="s">
        <v>42</v>
      </c>
      <c r="U241" s="2" t="s">
        <v>290</v>
      </c>
      <c r="V241" s="2" t="s">
        <v>43</v>
      </c>
      <c r="W241" s="2" t="s">
        <v>1461</v>
      </c>
      <c r="X241" s="2" t="s">
        <v>412</v>
      </c>
      <c r="Y241" s="2" t="s">
        <v>582</v>
      </c>
      <c r="Z241" s="2" t="s">
        <v>996</v>
      </c>
      <c r="AA241" s="2" t="s">
        <v>109</v>
      </c>
      <c r="AB241" s="2" t="s">
        <v>414</v>
      </c>
      <c r="AC241" s="14">
        <f>M241</f>
        <v>44068</v>
      </c>
      <c r="AD241" s="14">
        <f t="shared" si="55"/>
        <v>44089</v>
      </c>
      <c r="AE241">
        <v>0</v>
      </c>
    </row>
    <row r="242" spans="1:33" x14ac:dyDescent="0.2">
      <c r="A242" s="2" t="s">
        <v>431</v>
      </c>
      <c r="B242" s="3">
        <v>44073</v>
      </c>
      <c r="C242" s="2" t="s">
        <v>1462</v>
      </c>
      <c r="D242" s="2" t="s">
        <v>74</v>
      </c>
      <c r="E242" s="2" t="s">
        <v>207</v>
      </c>
      <c r="F242" s="2" t="s">
        <v>208</v>
      </c>
      <c r="G242" s="2" t="s">
        <v>1463</v>
      </c>
      <c r="H242" s="2" t="s">
        <v>1464</v>
      </c>
      <c r="I242" s="2" t="s">
        <v>211</v>
      </c>
      <c r="J242" s="2" t="s">
        <v>58</v>
      </c>
      <c r="K242" s="2" t="s">
        <v>727</v>
      </c>
      <c r="L242" s="2" t="s">
        <v>1269</v>
      </c>
      <c r="M242" s="3">
        <v>44068</v>
      </c>
      <c r="N242" s="3">
        <v>44118</v>
      </c>
      <c r="O242" s="4">
        <v>51.326000000000001</v>
      </c>
      <c r="P242" s="2" t="s">
        <v>33</v>
      </c>
      <c r="Q242" s="2" t="s">
        <v>210</v>
      </c>
      <c r="R242" s="2" t="s">
        <v>364</v>
      </c>
      <c r="S242" s="2" t="s">
        <v>449</v>
      </c>
      <c r="T242" s="2" t="s">
        <v>72</v>
      </c>
      <c r="U242" s="2" t="s">
        <v>290</v>
      </c>
      <c r="V242" s="2" t="s">
        <v>65</v>
      </c>
      <c r="W242" s="2" t="s">
        <v>1465</v>
      </c>
      <c r="X242" s="2" t="s">
        <v>412</v>
      </c>
      <c r="Y242" s="2" t="s">
        <v>443</v>
      </c>
      <c r="Z242" s="2" t="s">
        <v>1466</v>
      </c>
      <c r="AA242" s="2" t="s">
        <v>39</v>
      </c>
      <c r="AB242" s="2" t="s">
        <v>414</v>
      </c>
      <c r="AC242" s="14">
        <f>M242</f>
        <v>44068</v>
      </c>
      <c r="AD242" s="14">
        <f t="shared" si="55"/>
        <v>44118</v>
      </c>
      <c r="AE242">
        <v>0</v>
      </c>
    </row>
    <row r="243" spans="1:33" x14ac:dyDescent="0.2">
      <c r="A243" s="2" t="s">
        <v>431</v>
      </c>
      <c r="B243" s="3">
        <v>44073</v>
      </c>
      <c r="C243" s="2" t="s">
        <v>1462</v>
      </c>
      <c r="D243" s="2" t="s">
        <v>74</v>
      </c>
      <c r="E243" s="2" t="s">
        <v>207</v>
      </c>
      <c r="F243" s="2" t="s">
        <v>208</v>
      </c>
      <c r="G243" s="2" t="s">
        <v>1467</v>
      </c>
      <c r="H243" s="2" t="s">
        <v>1468</v>
      </c>
      <c r="I243" s="2" t="s">
        <v>1469</v>
      </c>
      <c r="J243" s="2" t="s">
        <v>58</v>
      </c>
      <c r="K243" s="2" t="s">
        <v>727</v>
      </c>
      <c r="L243" s="2" t="s">
        <v>1269</v>
      </c>
      <c r="M243" s="3">
        <v>44068</v>
      </c>
      <c r="N243" s="3">
        <v>44118</v>
      </c>
      <c r="O243" s="4">
        <v>51.34</v>
      </c>
      <c r="P243" s="2" t="s">
        <v>33</v>
      </c>
      <c r="Q243" s="2" t="s">
        <v>210</v>
      </c>
      <c r="R243" s="2" t="s">
        <v>364</v>
      </c>
      <c r="S243" s="2" t="s">
        <v>449</v>
      </c>
      <c r="T243" s="2" t="s">
        <v>72</v>
      </c>
      <c r="U243" s="2" t="s">
        <v>290</v>
      </c>
      <c r="V243" s="2" t="s">
        <v>65</v>
      </c>
      <c r="W243" s="2" t="s">
        <v>1470</v>
      </c>
      <c r="X243" s="2" t="s">
        <v>412</v>
      </c>
      <c r="Y243" s="2" t="s">
        <v>428</v>
      </c>
      <c r="Z243" s="2" t="s">
        <v>1471</v>
      </c>
      <c r="AA243" s="2" t="s">
        <v>39</v>
      </c>
      <c r="AB243" s="2" t="s">
        <v>414</v>
      </c>
      <c r="AC243" s="14">
        <f>M243</f>
        <v>44068</v>
      </c>
      <c r="AD243" s="14">
        <f t="shared" si="55"/>
        <v>44118</v>
      </c>
      <c r="AE243">
        <v>0</v>
      </c>
    </row>
    <row r="244" spans="1:33" x14ac:dyDescent="0.2">
      <c r="A244" s="2" t="s">
        <v>427</v>
      </c>
      <c r="B244" s="3">
        <v>44058</v>
      </c>
      <c r="C244" s="2" t="s">
        <v>1493</v>
      </c>
      <c r="D244" s="2" t="s">
        <v>66</v>
      </c>
      <c r="E244" s="2" t="s">
        <v>67</v>
      </c>
      <c r="F244" s="2" t="s">
        <v>68</v>
      </c>
      <c r="G244" s="2" t="s">
        <v>1494</v>
      </c>
      <c r="H244" s="2" t="s">
        <v>1495</v>
      </c>
      <c r="I244" s="2" t="s">
        <v>69</v>
      </c>
      <c r="J244" s="2" t="s">
        <v>58</v>
      </c>
      <c r="K244" s="2" t="s">
        <v>1496</v>
      </c>
      <c r="L244" s="2" t="s">
        <v>1497</v>
      </c>
      <c r="M244" s="3">
        <v>44066</v>
      </c>
      <c r="N244" s="3">
        <v>44113</v>
      </c>
      <c r="O244" s="4">
        <v>52</v>
      </c>
      <c r="P244" s="2" t="s">
        <v>48</v>
      </c>
      <c r="Q244" s="2" t="s">
        <v>70</v>
      </c>
      <c r="R244" s="2" t="s">
        <v>71</v>
      </c>
      <c r="S244" s="2" t="s">
        <v>449</v>
      </c>
      <c r="T244" s="2" t="s">
        <v>72</v>
      </c>
      <c r="U244" s="2" t="s">
        <v>1817</v>
      </c>
      <c r="V244" s="2" t="s">
        <v>73</v>
      </c>
      <c r="W244" s="2" t="s">
        <v>1498</v>
      </c>
      <c r="X244" s="2" t="s">
        <v>412</v>
      </c>
      <c r="Y244" s="2" t="s">
        <v>532</v>
      </c>
      <c r="Z244" s="2" t="s">
        <v>53</v>
      </c>
      <c r="AA244" s="2" t="s">
        <v>39</v>
      </c>
      <c r="AB244" s="2" t="s">
        <v>414</v>
      </c>
      <c r="AC244" s="14">
        <f t="shared" ref="AC244:AC247" si="56">M244</f>
        <v>44066</v>
      </c>
      <c r="AD244" s="14">
        <f t="shared" ref="AD244:AD247" si="57">N244</f>
        <v>44113</v>
      </c>
      <c r="AE244" s="2"/>
      <c r="AF244" s="2"/>
    </row>
    <row r="245" spans="1:33" x14ac:dyDescent="0.2">
      <c r="A245" s="2" t="s">
        <v>427</v>
      </c>
      <c r="B245" s="3">
        <v>44068</v>
      </c>
      <c r="C245" s="2" t="s">
        <v>1499</v>
      </c>
      <c r="D245" s="2" t="s">
        <v>91</v>
      </c>
      <c r="E245" s="2" t="s">
        <v>350</v>
      </c>
      <c r="F245" s="2" t="s">
        <v>351</v>
      </c>
      <c r="G245" s="2" t="s">
        <v>1500</v>
      </c>
      <c r="H245" s="2" t="s">
        <v>1501</v>
      </c>
      <c r="I245" s="2" t="s">
        <v>1502</v>
      </c>
      <c r="J245" s="2" t="s">
        <v>58</v>
      </c>
      <c r="K245" s="2" t="s">
        <v>1415</v>
      </c>
      <c r="L245" s="2" t="s">
        <v>1269</v>
      </c>
      <c r="M245" s="3">
        <v>44066</v>
      </c>
      <c r="N245" s="3">
        <v>44096</v>
      </c>
      <c r="O245" s="4">
        <v>50.74</v>
      </c>
      <c r="P245" s="2" t="s">
        <v>48</v>
      </c>
      <c r="Q245" s="2" t="s">
        <v>100</v>
      </c>
      <c r="R245" s="2" t="s">
        <v>101</v>
      </c>
      <c r="S245" s="2" t="s">
        <v>449</v>
      </c>
      <c r="T245" s="2" t="s">
        <v>72</v>
      </c>
      <c r="U245" s="2" t="s">
        <v>1817</v>
      </c>
      <c r="V245" s="2" t="s">
        <v>65</v>
      </c>
      <c r="W245" s="2" t="s">
        <v>1503</v>
      </c>
      <c r="X245" s="2" t="s">
        <v>412</v>
      </c>
      <c r="Y245" s="2" t="s">
        <v>428</v>
      </c>
      <c r="Z245" s="2" t="s">
        <v>53</v>
      </c>
      <c r="AA245" s="2" t="s">
        <v>39</v>
      </c>
      <c r="AB245" s="2" t="s">
        <v>414</v>
      </c>
      <c r="AC245" s="14">
        <f t="shared" si="56"/>
        <v>44066</v>
      </c>
      <c r="AD245" s="14">
        <f t="shared" si="57"/>
        <v>44096</v>
      </c>
      <c r="AE245" s="2"/>
      <c r="AF245" s="2"/>
    </row>
    <row r="246" spans="1:33" x14ac:dyDescent="0.2">
      <c r="A246" s="2" t="s">
        <v>427</v>
      </c>
      <c r="B246" s="3">
        <v>44068</v>
      </c>
      <c r="C246" s="2" t="s">
        <v>1499</v>
      </c>
      <c r="D246" s="2" t="s">
        <v>91</v>
      </c>
      <c r="E246" s="2" t="s">
        <v>350</v>
      </c>
      <c r="F246" s="2" t="s">
        <v>351</v>
      </c>
      <c r="G246" s="2" t="s">
        <v>1504</v>
      </c>
      <c r="H246" s="2" t="s">
        <v>1505</v>
      </c>
      <c r="I246" s="2" t="s">
        <v>1506</v>
      </c>
      <c r="J246" s="2" t="s">
        <v>58</v>
      </c>
      <c r="K246" s="2" t="s">
        <v>1415</v>
      </c>
      <c r="L246" s="2" t="s">
        <v>1269</v>
      </c>
      <c r="M246" s="3">
        <v>44066</v>
      </c>
      <c r="N246" s="3">
        <v>44096</v>
      </c>
      <c r="O246" s="4">
        <v>51.061999999999998</v>
      </c>
      <c r="P246" s="2" t="s">
        <v>48</v>
      </c>
      <c r="Q246" s="2" t="s">
        <v>100</v>
      </c>
      <c r="R246" s="2" t="s">
        <v>101</v>
      </c>
      <c r="S246" s="2" t="s">
        <v>449</v>
      </c>
      <c r="T246" s="2" t="s">
        <v>72</v>
      </c>
      <c r="U246" s="2" t="s">
        <v>1817</v>
      </c>
      <c r="V246" s="2" t="s">
        <v>65</v>
      </c>
      <c r="W246" s="2" t="s">
        <v>1507</v>
      </c>
      <c r="X246" s="2" t="s">
        <v>412</v>
      </c>
      <c r="Y246" s="2" t="s">
        <v>443</v>
      </c>
      <c r="Z246" s="2" t="s">
        <v>53</v>
      </c>
      <c r="AA246" s="2" t="s">
        <v>39</v>
      </c>
      <c r="AB246" s="2" t="s">
        <v>414</v>
      </c>
      <c r="AC246" s="14">
        <f t="shared" si="56"/>
        <v>44066</v>
      </c>
      <c r="AD246" s="14">
        <f t="shared" si="57"/>
        <v>44096</v>
      </c>
      <c r="AE246" s="2"/>
      <c r="AF246" s="2"/>
    </row>
    <row r="247" spans="1:33" x14ac:dyDescent="0.2">
      <c r="A247" s="2" t="s">
        <v>427</v>
      </c>
      <c r="B247" s="3">
        <v>44068</v>
      </c>
      <c r="C247" s="2" t="s">
        <v>1513</v>
      </c>
      <c r="D247" s="2" t="s">
        <v>62</v>
      </c>
      <c r="E247" s="2" t="s">
        <v>217</v>
      </c>
      <c r="F247" s="2" t="s">
        <v>218</v>
      </c>
      <c r="G247" s="2" t="s">
        <v>1514</v>
      </c>
      <c r="H247" s="2" t="s">
        <v>1515</v>
      </c>
      <c r="I247" s="2" t="s">
        <v>77</v>
      </c>
      <c r="J247" s="2" t="s">
        <v>32</v>
      </c>
      <c r="K247" s="2" t="s">
        <v>574</v>
      </c>
      <c r="L247" s="2" t="s">
        <v>1516</v>
      </c>
      <c r="M247" s="3">
        <v>44067</v>
      </c>
      <c r="N247" s="3">
        <v>44101</v>
      </c>
      <c r="O247" s="4">
        <v>496.8</v>
      </c>
      <c r="P247" s="2" t="s">
        <v>48</v>
      </c>
      <c r="Q247" s="2" t="s">
        <v>34</v>
      </c>
      <c r="R247" s="2" t="s">
        <v>35</v>
      </c>
      <c r="S247" s="2" t="s">
        <v>428</v>
      </c>
      <c r="T247" s="2" t="s">
        <v>36</v>
      </c>
      <c r="U247" s="2" t="s">
        <v>1817</v>
      </c>
      <c r="V247" s="2" t="s">
        <v>52</v>
      </c>
      <c r="W247" s="2" t="s">
        <v>1517</v>
      </c>
      <c r="X247" s="2" t="s">
        <v>412</v>
      </c>
      <c r="Y247" s="2" t="s">
        <v>429</v>
      </c>
      <c r="Z247" s="2" t="s">
        <v>412</v>
      </c>
      <c r="AA247" s="2" t="s">
        <v>39</v>
      </c>
      <c r="AB247" s="2" t="s">
        <v>414</v>
      </c>
      <c r="AC247" s="14">
        <f t="shared" si="56"/>
        <v>44067</v>
      </c>
      <c r="AD247" s="14">
        <f t="shared" si="57"/>
        <v>44101</v>
      </c>
      <c r="AE247" s="2"/>
      <c r="AF247" s="2"/>
    </row>
    <row r="248" spans="1:33" x14ac:dyDescent="0.2">
      <c r="A248" s="2" t="s">
        <v>431</v>
      </c>
      <c r="B248" s="3">
        <v>44073</v>
      </c>
      <c r="C248" s="2" t="s">
        <v>1553</v>
      </c>
      <c r="D248" s="2" t="s">
        <v>28</v>
      </c>
      <c r="E248" s="2" t="s">
        <v>129</v>
      </c>
      <c r="F248" s="2" t="s">
        <v>358</v>
      </c>
      <c r="G248" s="2" t="s">
        <v>1554</v>
      </c>
      <c r="H248" s="2" t="s">
        <v>1555</v>
      </c>
      <c r="I248" s="2" t="s">
        <v>359</v>
      </c>
      <c r="J248" s="2" t="s">
        <v>58</v>
      </c>
      <c r="K248" s="2" t="s">
        <v>1556</v>
      </c>
      <c r="L248" s="2" t="s">
        <v>1557</v>
      </c>
      <c r="M248" s="3">
        <v>44068</v>
      </c>
      <c r="N248" s="3">
        <v>44098</v>
      </c>
      <c r="O248" s="4">
        <v>153.714</v>
      </c>
      <c r="P248" s="2" t="s">
        <v>33</v>
      </c>
      <c r="Q248" s="2" t="s">
        <v>263</v>
      </c>
      <c r="R248" s="2" t="s">
        <v>360</v>
      </c>
      <c r="S248" s="2" t="s">
        <v>465</v>
      </c>
      <c r="T248" s="2" t="s">
        <v>72</v>
      </c>
      <c r="U248" s="2" t="s">
        <v>290</v>
      </c>
      <c r="V248" s="2" t="s">
        <v>88</v>
      </c>
      <c r="W248" s="2" t="s">
        <v>1558</v>
      </c>
      <c r="X248" s="2" t="s">
        <v>412</v>
      </c>
      <c r="Y248" s="2" t="s">
        <v>475</v>
      </c>
      <c r="Z248" s="2" t="s">
        <v>1559</v>
      </c>
      <c r="AA248" s="2" t="s">
        <v>39</v>
      </c>
      <c r="AB248" s="2" t="s">
        <v>414</v>
      </c>
      <c r="AC248" s="14">
        <v>44070</v>
      </c>
      <c r="AD248" s="14">
        <f>N248</f>
        <v>44098</v>
      </c>
      <c r="AE248">
        <v>2</v>
      </c>
      <c r="AG248" t="s">
        <v>1791</v>
      </c>
    </row>
    <row r="249" spans="1:33" x14ac:dyDescent="0.2">
      <c r="A249" s="2" t="s">
        <v>427</v>
      </c>
      <c r="B249" s="3">
        <v>44073</v>
      </c>
      <c r="C249" s="2" t="s">
        <v>1545</v>
      </c>
      <c r="D249" s="2" t="s">
        <v>91</v>
      </c>
      <c r="E249" s="2" t="s">
        <v>728</v>
      </c>
      <c r="F249" s="2" t="s">
        <v>729</v>
      </c>
      <c r="G249" s="2" t="s">
        <v>1546</v>
      </c>
      <c r="H249" s="2" t="s">
        <v>1547</v>
      </c>
      <c r="I249" s="2" t="s">
        <v>730</v>
      </c>
      <c r="J249" s="2" t="s">
        <v>58</v>
      </c>
      <c r="K249" s="2" t="s">
        <v>133</v>
      </c>
      <c r="L249" s="2" t="s">
        <v>954</v>
      </c>
      <c r="M249" s="3">
        <v>44068</v>
      </c>
      <c r="N249" s="3">
        <v>44117</v>
      </c>
      <c r="O249" s="4">
        <v>257.18</v>
      </c>
      <c r="P249" s="2" t="s">
        <v>48</v>
      </c>
      <c r="Q249" s="2" t="s">
        <v>731</v>
      </c>
      <c r="R249" s="2" t="s">
        <v>732</v>
      </c>
      <c r="S249" s="2" t="s">
        <v>416</v>
      </c>
      <c r="T249" s="2" t="s">
        <v>72</v>
      </c>
      <c r="U249" s="2" t="s">
        <v>1817</v>
      </c>
      <c r="V249" s="2" t="s">
        <v>65</v>
      </c>
      <c r="W249" s="2" t="s">
        <v>1548</v>
      </c>
      <c r="X249" s="2" t="s">
        <v>412</v>
      </c>
      <c r="Y249" s="2" t="s">
        <v>595</v>
      </c>
      <c r="Z249" s="2" t="s">
        <v>412</v>
      </c>
      <c r="AA249" s="2" t="s">
        <v>733</v>
      </c>
      <c r="AB249" s="2" t="s">
        <v>414</v>
      </c>
      <c r="AC249" s="14">
        <f t="shared" ref="AC249:AC250" si="58">M249</f>
        <v>44068</v>
      </c>
      <c r="AD249" s="14">
        <f t="shared" ref="AD249:AD250" si="59">N249</f>
        <v>44117</v>
      </c>
      <c r="AE249" s="2"/>
      <c r="AF249" s="2"/>
    </row>
    <row r="250" spans="1:33" x14ac:dyDescent="0.2">
      <c r="A250" s="2" t="s">
        <v>427</v>
      </c>
      <c r="B250" s="3">
        <v>44073</v>
      </c>
      <c r="C250" s="2" t="s">
        <v>1545</v>
      </c>
      <c r="D250" s="2" t="s">
        <v>91</v>
      </c>
      <c r="E250" s="2" t="s">
        <v>728</v>
      </c>
      <c r="F250" s="2" t="s">
        <v>729</v>
      </c>
      <c r="G250" s="2" t="s">
        <v>1549</v>
      </c>
      <c r="H250" s="2" t="s">
        <v>1550</v>
      </c>
      <c r="I250" s="2" t="s">
        <v>1551</v>
      </c>
      <c r="J250" s="2" t="s">
        <v>58</v>
      </c>
      <c r="K250" s="2" t="s">
        <v>133</v>
      </c>
      <c r="L250" s="2" t="s">
        <v>954</v>
      </c>
      <c r="M250" s="3">
        <v>44068</v>
      </c>
      <c r="N250" s="3">
        <v>44117</v>
      </c>
      <c r="O250" s="4">
        <v>152.22</v>
      </c>
      <c r="P250" s="2" t="s">
        <v>48</v>
      </c>
      <c r="Q250" s="2" t="s">
        <v>731</v>
      </c>
      <c r="R250" s="2" t="s">
        <v>732</v>
      </c>
      <c r="S250" s="2" t="s">
        <v>465</v>
      </c>
      <c r="T250" s="2" t="s">
        <v>72</v>
      </c>
      <c r="U250" s="2" t="s">
        <v>1817</v>
      </c>
      <c r="V250" s="2" t="s">
        <v>65</v>
      </c>
      <c r="W250" s="2" t="s">
        <v>1552</v>
      </c>
      <c r="X250" s="2" t="s">
        <v>412</v>
      </c>
      <c r="Y250" s="2" t="s">
        <v>529</v>
      </c>
      <c r="Z250" s="2" t="s">
        <v>412</v>
      </c>
      <c r="AA250" s="2" t="s">
        <v>733</v>
      </c>
      <c r="AB250" s="2" t="s">
        <v>414</v>
      </c>
      <c r="AC250" s="14">
        <f t="shared" si="58"/>
        <v>44068</v>
      </c>
      <c r="AD250" s="14">
        <f t="shared" si="59"/>
        <v>44117</v>
      </c>
      <c r="AE250" s="2"/>
      <c r="AF250" s="2"/>
    </row>
    <row r="251" spans="1:33" x14ac:dyDescent="0.2">
      <c r="A251" s="2" t="s">
        <v>431</v>
      </c>
      <c r="B251" s="3">
        <v>44073</v>
      </c>
      <c r="C251" s="2" t="s">
        <v>1553</v>
      </c>
      <c r="D251" s="2" t="s">
        <v>28</v>
      </c>
      <c r="E251" s="2" t="s">
        <v>129</v>
      </c>
      <c r="F251" s="2" t="s">
        <v>358</v>
      </c>
      <c r="G251" s="2" t="s">
        <v>1560</v>
      </c>
      <c r="H251" s="2" t="s">
        <v>1561</v>
      </c>
      <c r="I251" s="2" t="s">
        <v>361</v>
      </c>
      <c r="J251" s="2" t="s">
        <v>58</v>
      </c>
      <c r="K251" s="2" t="s">
        <v>1556</v>
      </c>
      <c r="L251" s="2" t="s">
        <v>1557</v>
      </c>
      <c r="M251" s="3">
        <v>44068</v>
      </c>
      <c r="N251" s="3">
        <v>44098</v>
      </c>
      <c r="O251" s="4">
        <v>104.72</v>
      </c>
      <c r="P251" s="2" t="s">
        <v>33</v>
      </c>
      <c r="Q251" s="2" t="s">
        <v>263</v>
      </c>
      <c r="R251" s="2" t="s">
        <v>360</v>
      </c>
      <c r="S251" s="2" t="s">
        <v>419</v>
      </c>
      <c r="T251" s="2" t="s">
        <v>362</v>
      </c>
      <c r="U251" s="2" t="s">
        <v>290</v>
      </c>
      <c r="V251" s="2" t="s">
        <v>88</v>
      </c>
      <c r="W251" s="2" t="s">
        <v>1562</v>
      </c>
      <c r="X251" s="2" t="s">
        <v>412</v>
      </c>
      <c r="Y251" s="2" t="s">
        <v>454</v>
      </c>
      <c r="Z251" s="2" t="s">
        <v>1559</v>
      </c>
      <c r="AA251" s="2" t="s">
        <v>39</v>
      </c>
      <c r="AB251" s="2" t="s">
        <v>414</v>
      </c>
      <c r="AC251" s="14">
        <v>44070</v>
      </c>
      <c r="AD251" s="14">
        <f>N251</f>
        <v>44098</v>
      </c>
      <c r="AE251">
        <v>2</v>
      </c>
      <c r="AG251" s="2" t="s">
        <v>1791</v>
      </c>
    </row>
    <row r="252" spans="1:33" x14ac:dyDescent="0.2">
      <c r="A252" s="2" t="s">
        <v>431</v>
      </c>
      <c r="B252" s="3">
        <v>44073</v>
      </c>
      <c r="C252" s="2" t="s">
        <v>1553</v>
      </c>
      <c r="D252" s="2" t="s">
        <v>66</v>
      </c>
      <c r="E252" s="2" t="s">
        <v>261</v>
      </c>
      <c r="F252" s="2" t="s">
        <v>262</v>
      </c>
      <c r="G252" s="2" t="s">
        <v>1563</v>
      </c>
      <c r="H252" s="2" t="s">
        <v>1564</v>
      </c>
      <c r="I252" s="2" t="s">
        <v>520</v>
      </c>
      <c r="J252" s="2" t="s">
        <v>58</v>
      </c>
      <c r="K252" s="2" t="s">
        <v>1556</v>
      </c>
      <c r="L252" s="2" t="s">
        <v>1557</v>
      </c>
      <c r="M252" s="3">
        <v>44068</v>
      </c>
      <c r="N252" s="3">
        <v>44098</v>
      </c>
      <c r="O252" s="4">
        <v>52.514000000000003</v>
      </c>
      <c r="P252" s="2" t="s">
        <v>33</v>
      </c>
      <c r="Q252" s="2" t="s">
        <v>263</v>
      </c>
      <c r="R252" s="2" t="s">
        <v>264</v>
      </c>
      <c r="S252" s="2" t="s">
        <v>449</v>
      </c>
      <c r="T252" s="2" t="s">
        <v>362</v>
      </c>
      <c r="U252" s="2" t="s">
        <v>290</v>
      </c>
      <c r="V252" s="2" t="s">
        <v>88</v>
      </c>
      <c r="W252" s="2" t="s">
        <v>1565</v>
      </c>
      <c r="X252" s="2" t="s">
        <v>412</v>
      </c>
      <c r="Y252" s="2" t="s">
        <v>443</v>
      </c>
      <c r="Z252" s="2" t="s">
        <v>1566</v>
      </c>
      <c r="AA252" s="2" t="s">
        <v>39</v>
      </c>
      <c r="AB252" s="2" t="s">
        <v>414</v>
      </c>
      <c r="AC252" s="14">
        <v>44070</v>
      </c>
      <c r="AD252" s="14">
        <f>N252</f>
        <v>44098</v>
      </c>
      <c r="AE252">
        <v>2</v>
      </c>
      <c r="AG252" s="2" t="s">
        <v>1791</v>
      </c>
    </row>
    <row r="253" spans="1:33" x14ac:dyDescent="0.2">
      <c r="A253" s="2" t="s">
        <v>431</v>
      </c>
      <c r="B253" s="3">
        <v>44073</v>
      </c>
      <c r="C253" s="2" t="s">
        <v>1553</v>
      </c>
      <c r="D253" s="2" t="s">
        <v>66</v>
      </c>
      <c r="E253" s="2" t="s">
        <v>261</v>
      </c>
      <c r="F253" s="2" t="s">
        <v>262</v>
      </c>
      <c r="G253" s="2" t="s">
        <v>1818</v>
      </c>
      <c r="H253" s="2" t="s">
        <v>1819</v>
      </c>
      <c r="I253" s="2" t="s">
        <v>1820</v>
      </c>
      <c r="J253" s="2" t="s">
        <v>58</v>
      </c>
      <c r="K253" s="2" t="s">
        <v>1556</v>
      </c>
      <c r="L253" s="2" t="s">
        <v>1557</v>
      </c>
      <c r="M253" s="3">
        <v>44068</v>
      </c>
      <c r="N253" s="3">
        <v>44098</v>
      </c>
      <c r="O253" s="4">
        <v>51.436</v>
      </c>
      <c r="P253" s="2" t="s">
        <v>33</v>
      </c>
      <c r="Q253" s="2" t="s">
        <v>263</v>
      </c>
      <c r="R253" s="2" t="s">
        <v>264</v>
      </c>
      <c r="S253" s="2" t="s">
        <v>449</v>
      </c>
      <c r="T253" s="2" t="s">
        <v>72</v>
      </c>
      <c r="U253" s="2" t="s">
        <v>290</v>
      </c>
      <c r="V253" s="2" t="s">
        <v>88</v>
      </c>
      <c r="W253" s="2" t="s">
        <v>1821</v>
      </c>
      <c r="X253" s="2" t="s">
        <v>412</v>
      </c>
      <c r="Y253" s="2" t="s">
        <v>443</v>
      </c>
      <c r="Z253" s="2" t="s">
        <v>1822</v>
      </c>
      <c r="AA253" s="2" t="s">
        <v>39</v>
      </c>
      <c r="AB253" s="2" t="s">
        <v>414</v>
      </c>
      <c r="AC253" s="14">
        <v>44070</v>
      </c>
      <c r="AD253" s="14">
        <f>N253</f>
        <v>44098</v>
      </c>
      <c r="AE253">
        <v>2</v>
      </c>
      <c r="AG253" s="2" t="s">
        <v>1791</v>
      </c>
    </row>
    <row r="254" spans="1:33" x14ac:dyDescent="0.2">
      <c r="A254" s="2" t="s">
        <v>431</v>
      </c>
      <c r="B254" s="3">
        <v>44073</v>
      </c>
      <c r="C254" s="2" t="s">
        <v>1618</v>
      </c>
      <c r="D254" s="2" t="s">
        <v>28</v>
      </c>
      <c r="E254" s="2" t="s">
        <v>29</v>
      </c>
      <c r="F254" s="2" t="s">
        <v>397</v>
      </c>
      <c r="G254" s="2" t="s">
        <v>1619</v>
      </c>
      <c r="H254" s="2" t="s">
        <v>1620</v>
      </c>
      <c r="I254" s="2" t="s">
        <v>31</v>
      </c>
      <c r="J254" s="2" t="s">
        <v>32</v>
      </c>
      <c r="K254" s="2" t="s">
        <v>133</v>
      </c>
      <c r="L254" s="2" t="s">
        <v>954</v>
      </c>
      <c r="M254" s="3">
        <v>44071</v>
      </c>
      <c r="N254" s="3">
        <v>44089</v>
      </c>
      <c r="O254" s="4">
        <v>501.904</v>
      </c>
      <c r="P254" s="2" t="s">
        <v>33</v>
      </c>
      <c r="Q254" s="2" t="s">
        <v>153</v>
      </c>
      <c r="R254" s="2" t="s">
        <v>154</v>
      </c>
      <c r="S254" s="2" t="s">
        <v>477</v>
      </c>
      <c r="T254" s="2" t="s">
        <v>362</v>
      </c>
      <c r="U254" s="2" t="s">
        <v>290</v>
      </c>
      <c r="V254" s="2" t="s">
        <v>155</v>
      </c>
      <c r="W254" s="2" t="s">
        <v>1621</v>
      </c>
      <c r="X254" s="2" t="s">
        <v>412</v>
      </c>
      <c r="Y254" s="2" t="s">
        <v>448</v>
      </c>
      <c r="Z254" s="2" t="s">
        <v>412</v>
      </c>
      <c r="AA254" s="2" t="s">
        <v>39</v>
      </c>
      <c r="AB254" s="2" t="s">
        <v>414</v>
      </c>
      <c r="AC254" s="14">
        <f>M254</f>
        <v>44071</v>
      </c>
      <c r="AD254" s="14">
        <f>N254</f>
        <v>44089</v>
      </c>
      <c r="AE254">
        <v>0</v>
      </c>
    </row>
    <row r="255" spans="1:33" x14ac:dyDescent="0.2">
      <c r="A255" s="2" t="s">
        <v>470</v>
      </c>
      <c r="B255" s="3">
        <v>44073</v>
      </c>
      <c r="C255" s="2" t="s">
        <v>1567</v>
      </c>
      <c r="D255" s="2" t="s">
        <v>137</v>
      </c>
      <c r="E255" s="2" t="s">
        <v>138</v>
      </c>
      <c r="F255" s="2" t="s">
        <v>139</v>
      </c>
      <c r="G255" s="2" t="s">
        <v>1568</v>
      </c>
      <c r="H255" s="2" t="s">
        <v>1569</v>
      </c>
      <c r="I255" s="2" t="s">
        <v>846</v>
      </c>
      <c r="J255" s="2" t="s">
        <v>32</v>
      </c>
      <c r="K255" s="2" t="s">
        <v>409</v>
      </c>
      <c r="L255" s="2" t="s">
        <v>1570</v>
      </c>
      <c r="M255" s="3">
        <v>44069</v>
      </c>
      <c r="N255" s="3">
        <v>44100</v>
      </c>
      <c r="O255" s="4">
        <v>489.25</v>
      </c>
      <c r="P255" s="2" t="s">
        <v>224</v>
      </c>
      <c r="Q255" s="2" t="s">
        <v>34</v>
      </c>
      <c r="R255" s="2" t="s">
        <v>35</v>
      </c>
      <c r="S255" s="2" t="s">
        <v>432</v>
      </c>
      <c r="T255" s="2" t="s">
        <v>87</v>
      </c>
      <c r="U255" s="2" t="s">
        <v>290</v>
      </c>
      <c r="V255" s="2" t="s">
        <v>88</v>
      </c>
      <c r="W255" s="2" t="s">
        <v>1571</v>
      </c>
      <c r="X255" s="2" t="s">
        <v>412</v>
      </c>
      <c r="Y255" s="2" t="s">
        <v>478</v>
      </c>
      <c r="Z255" s="2" t="s">
        <v>412</v>
      </c>
      <c r="AA255" s="2" t="s">
        <v>39</v>
      </c>
      <c r="AB255" s="2" t="s">
        <v>414</v>
      </c>
      <c r="AC255" s="14">
        <f t="shared" ref="AC255:AC259" si="60">M255</f>
        <v>44069</v>
      </c>
      <c r="AD255" s="14">
        <f t="shared" ref="AD255:AD259" si="61">N255</f>
        <v>44100</v>
      </c>
    </row>
    <row r="256" spans="1:33" x14ac:dyDescent="0.2">
      <c r="A256" s="2" t="s">
        <v>470</v>
      </c>
      <c r="B256" s="3">
        <v>44073</v>
      </c>
      <c r="C256" s="2" t="s">
        <v>1567</v>
      </c>
      <c r="D256" s="2" t="s">
        <v>137</v>
      </c>
      <c r="E256" s="2" t="s">
        <v>138</v>
      </c>
      <c r="F256" s="2" t="s">
        <v>139</v>
      </c>
      <c r="G256" s="2" t="s">
        <v>1572</v>
      </c>
      <c r="H256" s="2" t="s">
        <v>1573</v>
      </c>
      <c r="I256" s="2" t="s">
        <v>846</v>
      </c>
      <c r="J256" s="2" t="s">
        <v>32</v>
      </c>
      <c r="K256" s="2" t="s">
        <v>409</v>
      </c>
      <c r="L256" s="2" t="s">
        <v>1570</v>
      </c>
      <c r="M256" s="3">
        <v>44069</v>
      </c>
      <c r="N256" s="3">
        <v>44100</v>
      </c>
      <c r="O256" s="4">
        <v>508.82</v>
      </c>
      <c r="P256" s="2" t="s">
        <v>224</v>
      </c>
      <c r="Q256" s="2" t="s">
        <v>34</v>
      </c>
      <c r="R256" s="2" t="s">
        <v>35</v>
      </c>
      <c r="S256" s="2" t="s">
        <v>447</v>
      </c>
      <c r="T256" s="2" t="s">
        <v>87</v>
      </c>
      <c r="U256" s="2" t="s">
        <v>290</v>
      </c>
      <c r="V256" s="2" t="s">
        <v>88</v>
      </c>
      <c r="W256" s="2" t="s">
        <v>1574</v>
      </c>
      <c r="X256" s="2" t="s">
        <v>412</v>
      </c>
      <c r="Y256" s="2" t="s">
        <v>448</v>
      </c>
      <c r="Z256" s="2" t="s">
        <v>412</v>
      </c>
      <c r="AA256" s="2" t="s">
        <v>39</v>
      </c>
      <c r="AB256" s="2" t="s">
        <v>414</v>
      </c>
      <c r="AC256" s="14">
        <f t="shared" si="60"/>
        <v>44069</v>
      </c>
      <c r="AD256" s="14">
        <f t="shared" si="61"/>
        <v>44100</v>
      </c>
    </row>
    <row r="257" spans="1:32" x14ac:dyDescent="0.2">
      <c r="A257" s="2" t="s">
        <v>470</v>
      </c>
      <c r="B257" s="3">
        <v>44079</v>
      </c>
      <c r="C257" s="2" t="s">
        <v>1567</v>
      </c>
      <c r="D257" s="2" t="s">
        <v>152</v>
      </c>
      <c r="E257" s="2" t="s">
        <v>138</v>
      </c>
      <c r="F257" s="2" t="s">
        <v>265</v>
      </c>
      <c r="G257" s="2" t="s">
        <v>1575</v>
      </c>
      <c r="H257" s="2" t="s">
        <v>1576</v>
      </c>
      <c r="I257" s="2" t="s">
        <v>501</v>
      </c>
      <c r="J257" s="2" t="s">
        <v>47</v>
      </c>
      <c r="K257" s="2" t="s">
        <v>409</v>
      </c>
      <c r="L257" s="2" t="s">
        <v>1570</v>
      </c>
      <c r="M257" s="3">
        <v>44069</v>
      </c>
      <c r="N257" s="3">
        <v>44100</v>
      </c>
      <c r="O257" s="4">
        <v>113.712</v>
      </c>
      <c r="P257" s="2" t="s">
        <v>224</v>
      </c>
      <c r="Q257" s="2" t="s">
        <v>34</v>
      </c>
      <c r="R257" s="2" t="s">
        <v>266</v>
      </c>
      <c r="S257" s="2" t="s">
        <v>465</v>
      </c>
      <c r="T257" s="2" t="s">
        <v>87</v>
      </c>
      <c r="U257" s="2" t="s">
        <v>290</v>
      </c>
      <c r="V257" s="2" t="s">
        <v>88</v>
      </c>
      <c r="W257" s="2" t="s">
        <v>1577</v>
      </c>
      <c r="X257" s="2" t="s">
        <v>412</v>
      </c>
      <c r="Y257" s="2" t="s">
        <v>425</v>
      </c>
      <c r="Z257" s="2" t="s">
        <v>412</v>
      </c>
      <c r="AA257" s="2" t="s">
        <v>39</v>
      </c>
      <c r="AB257" s="2" t="s">
        <v>414</v>
      </c>
      <c r="AC257" s="14">
        <f t="shared" si="60"/>
        <v>44069</v>
      </c>
      <c r="AD257" s="14">
        <f t="shared" si="61"/>
        <v>44100</v>
      </c>
    </row>
    <row r="258" spans="1:32" x14ac:dyDescent="0.2">
      <c r="A258" s="2" t="s">
        <v>470</v>
      </c>
      <c r="B258" s="3">
        <v>44073</v>
      </c>
      <c r="C258" s="2" t="s">
        <v>1567</v>
      </c>
      <c r="D258" s="2" t="s">
        <v>28</v>
      </c>
      <c r="E258" s="2" t="s">
        <v>110</v>
      </c>
      <c r="F258" s="2" t="s">
        <v>111</v>
      </c>
      <c r="G258" s="2" t="s">
        <v>1578</v>
      </c>
      <c r="H258" s="2" t="s">
        <v>1579</v>
      </c>
      <c r="I258" s="2" t="s">
        <v>31</v>
      </c>
      <c r="J258" s="2" t="s">
        <v>32</v>
      </c>
      <c r="K258" s="2" t="s">
        <v>409</v>
      </c>
      <c r="L258" s="2" t="s">
        <v>1570</v>
      </c>
      <c r="M258" s="3">
        <v>44069</v>
      </c>
      <c r="N258" s="3">
        <v>44100</v>
      </c>
      <c r="O258" s="4">
        <v>508.82</v>
      </c>
      <c r="P258" s="2" t="s">
        <v>224</v>
      </c>
      <c r="Q258" s="2" t="s">
        <v>34</v>
      </c>
      <c r="R258" s="2" t="s">
        <v>35</v>
      </c>
      <c r="S258" s="2" t="s">
        <v>447</v>
      </c>
      <c r="T258" s="2" t="s">
        <v>87</v>
      </c>
      <c r="U258" s="2" t="s">
        <v>290</v>
      </c>
      <c r="V258" s="2" t="s">
        <v>88</v>
      </c>
      <c r="W258" s="2" t="s">
        <v>1580</v>
      </c>
      <c r="X258" s="2" t="s">
        <v>412</v>
      </c>
      <c r="Y258" s="2" t="s">
        <v>448</v>
      </c>
      <c r="Z258" s="2" t="s">
        <v>996</v>
      </c>
      <c r="AA258" s="2" t="s">
        <v>39</v>
      </c>
      <c r="AB258" s="2" t="s">
        <v>414</v>
      </c>
      <c r="AC258" s="14">
        <f t="shared" si="60"/>
        <v>44069</v>
      </c>
      <c r="AD258" s="14">
        <f t="shared" si="61"/>
        <v>44100</v>
      </c>
    </row>
    <row r="259" spans="1:32" x14ac:dyDescent="0.2">
      <c r="A259" s="2" t="s">
        <v>470</v>
      </c>
      <c r="B259" s="3">
        <v>44073</v>
      </c>
      <c r="C259" s="2" t="s">
        <v>1567</v>
      </c>
      <c r="D259" s="2" t="s">
        <v>28</v>
      </c>
      <c r="E259" s="2" t="s">
        <v>110</v>
      </c>
      <c r="F259" s="2" t="s">
        <v>111</v>
      </c>
      <c r="G259" s="2" t="s">
        <v>1581</v>
      </c>
      <c r="H259" s="2" t="s">
        <v>1582</v>
      </c>
      <c r="I259" s="2" t="s">
        <v>31</v>
      </c>
      <c r="J259" s="2" t="s">
        <v>32</v>
      </c>
      <c r="K259" s="2" t="s">
        <v>409</v>
      </c>
      <c r="L259" s="2" t="s">
        <v>1570</v>
      </c>
      <c r="M259" s="3">
        <v>44069</v>
      </c>
      <c r="N259" s="3">
        <v>44100</v>
      </c>
      <c r="O259" s="4">
        <v>508.82</v>
      </c>
      <c r="P259" s="2" t="s">
        <v>224</v>
      </c>
      <c r="Q259" s="2" t="s">
        <v>34</v>
      </c>
      <c r="R259" s="2" t="s">
        <v>35</v>
      </c>
      <c r="S259" s="2" t="s">
        <v>447</v>
      </c>
      <c r="T259" s="2" t="s">
        <v>87</v>
      </c>
      <c r="U259" s="2" t="s">
        <v>290</v>
      </c>
      <c r="V259" s="2" t="s">
        <v>88</v>
      </c>
      <c r="W259" s="2" t="s">
        <v>1583</v>
      </c>
      <c r="X259" s="2" t="s">
        <v>412</v>
      </c>
      <c r="Y259" s="2" t="s">
        <v>448</v>
      </c>
      <c r="Z259" s="2" t="s">
        <v>996</v>
      </c>
      <c r="AA259" s="2" t="s">
        <v>39</v>
      </c>
      <c r="AB259" s="2" t="s">
        <v>414</v>
      </c>
      <c r="AC259" s="14">
        <f t="shared" si="60"/>
        <v>44069</v>
      </c>
      <c r="AD259" s="14">
        <f t="shared" si="61"/>
        <v>44100</v>
      </c>
    </row>
    <row r="260" spans="1:32" x14ac:dyDescent="0.2">
      <c r="A260" s="2" t="s">
        <v>427</v>
      </c>
      <c r="B260" s="3">
        <v>44073</v>
      </c>
      <c r="C260" s="2" t="s">
        <v>1584</v>
      </c>
      <c r="D260" s="2" t="s">
        <v>74</v>
      </c>
      <c r="E260" s="2" t="s">
        <v>75</v>
      </c>
      <c r="F260" s="2" t="s">
        <v>966</v>
      </c>
      <c r="G260" s="2" t="s">
        <v>1585</v>
      </c>
      <c r="H260" s="2" t="s">
        <v>1586</v>
      </c>
      <c r="I260" s="2" t="s">
        <v>77</v>
      </c>
      <c r="J260" s="2" t="s">
        <v>32</v>
      </c>
      <c r="K260" s="2" t="s">
        <v>1587</v>
      </c>
      <c r="L260" s="2" t="s">
        <v>1588</v>
      </c>
      <c r="M260" s="3">
        <v>44069</v>
      </c>
      <c r="N260" s="3">
        <v>44116</v>
      </c>
      <c r="O260" s="4">
        <v>496.8</v>
      </c>
      <c r="P260" s="2" t="s">
        <v>48</v>
      </c>
      <c r="Q260" s="2" t="s">
        <v>149</v>
      </c>
      <c r="R260" s="2" t="s">
        <v>150</v>
      </c>
      <c r="S260" s="2" t="s">
        <v>428</v>
      </c>
      <c r="T260" s="2" t="s">
        <v>36</v>
      </c>
      <c r="U260" s="2" t="s">
        <v>1817</v>
      </c>
      <c r="V260" s="2" t="s">
        <v>88</v>
      </c>
      <c r="W260" s="2" t="s">
        <v>1589</v>
      </c>
      <c r="X260" s="2" t="s">
        <v>412</v>
      </c>
      <c r="Y260" s="2" t="s">
        <v>429</v>
      </c>
      <c r="Z260" s="2" t="s">
        <v>412</v>
      </c>
      <c r="AA260" s="2" t="s">
        <v>39</v>
      </c>
      <c r="AB260" s="2" t="s">
        <v>414</v>
      </c>
      <c r="AC260" s="14">
        <f t="shared" ref="AC260:AC261" si="62">M260</f>
        <v>44069</v>
      </c>
      <c r="AD260" s="14">
        <f t="shared" ref="AD260:AD261" si="63">N260</f>
        <v>44116</v>
      </c>
      <c r="AE260" s="2"/>
      <c r="AF260" s="2"/>
    </row>
    <row r="261" spans="1:32" x14ac:dyDescent="0.2">
      <c r="A261" s="2" t="s">
        <v>427</v>
      </c>
      <c r="B261" s="3">
        <v>44073</v>
      </c>
      <c r="C261" s="2" t="s">
        <v>1584</v>
      </c>
      <c r="D261" s="2" t="s">
        <v>74</v>
      </c>
      <c r="E261" s="2" t="s">
        <v>75</v>
      </c>
      <c r="F261" s="2" t="s">
        <v>966</v>
      </c>
      <c r="G261" s="2" t="s">
        <v>1590</v>
      </c>
      <c r="H261" s="2" t="s">
        <v>1591</v>
      </c>
      <c r="I261" s="2" t="s">
        <v>77</v>
      </c>
      <c r="J261" s="2" t="s">
        <v>32</v>
      </c>
      <c r="K261" s="2" t="s">
        <v>1587</v>
      </c>
      <c r="L261" s="2" t="s">
        <v>1588</v>
      </c>
      <c r="M261" s="3">
        <v>44069</v>
      </c>
      <c r="N261" s="3">
        <v>44116</v>
      </c>
      <c r="O261" s="4">
        <v>496.8</v>
      </c>
      <c r="P261" s="2" t="s">
        <v>48</v>
      </c>
      <c r="Q261" s="2" t="s">
        <v>149</v>
      </c>
      <c r="R261" s="2" t="s">
        <v>150</v>
      </c>
      <c r="S261" s="2" t="s">
        <v>428</v>
      </c>
      <c r="T261" s="2" t="s">
        <v>36</v>
      </c>
      <c r="U261" s="2" t="s">
        <v>1817</v>
      </c>
      <c r="V261" s="2" t="s">
        <v>88</v>
      </c>
      <c r="W261" s="2" t="s">
        <v>1592</v>
      </c>
      <c r="X261" s="2" t="s">
        <v>412</v>
      </c>
      <c r="Y261" s="2" t="s">
        <v>429</v>
      </c>
      <c r="Z261" s="2" t="s">
        <v>412</v>
      </c>
      <c r="AA261" s="2" t="s">
        <v>39</v>
      </c>
      <c r="AB261" s="2" t="s">
        <v>414</v>
      </c>
      <c r="AC261" s="14">
        <f t="shared" si="62"/>
        <v>44069</v>
      </c>
      <c r="AD261" s="14">
        <f t="shared" si="63"/>
        <v>44116</v>
      </c>
      <c r="AE261" s="2"/>
      <c r="AF261" s="2"/>
    </row>
    <row r="262" spans="1:32" x14ac:dyDescent="0.2">
      <c r="A262" s="2" t="s">
        <v>431</v>
      </c>
      <c r="B262" s="3">
        <v>44063</v>
      </c>
      <c r="C262" s="2" t="s">
        <v>1518</v>
      </c>
      <c r="D262" s="2" t="s">
        <v>62</v>
      </c>
      <c r="E262" s="2" t="s">
        <v>217</v>
      </c>
      <c r="F262" s="2" t="s">
        <v>218</v>
      </c>
      <c r="G262" s="2" t="s">
        <v>1519</v>
      </c>
      <c r="H262" s="2" t="s">
        <v>1520</v>
      </c>
      <c r="I262" s="2" t="s">
        <v>31</v>
      </c>
      <c r="J262" s="2" t="s">
        <v>32</v>
      </c>
      <c r="K262" s="2" t="s">
        <v>1521</v>
      </c>
      <c r="L262" s="2" t="s">
        <v>1522</v>
      </c>
      <c r="M262" s="3">
        <v>44072</v>
      </c>
      <c r="N262" s="3">
        <v>44081</v>
      </c>
      <c r="O262" s="4">
        <v>487.68</v>
      </c>
      <c r="P262" s="2" t="s">
        <v>33</v>
      </c>
      <c r="Q262" s="2" t="s">
        <v>34</v>
      </c>
      <c r="R262" s="2" t="s">
        <v>35</v>
      </c>
      <c r="S262" s="2" t="s">
        <v>428</v>
      </c>
      <c r="T262" s="2" t="s">
        <v>36</v>
      </c>
      <c r="U262" s="2" t="s">
        <v>290</v>
      </c>
      <c r="V262" s="2" t="s">
        <v>43</v>
      </c>
      <c r="W262" s="2" t="s">
        <v>1523</v>
      </c>
      <c r="X262" s="2" t="s">
        <v>412</v>
      </c>
      <c r="Y262" s="2" t="s">
        <v>429</v>
      </c>
      <c r="Z262" s="2" t="s">
        <v>412</v>
      </c>
      <c r="AA262" s="2" t="s">
        <v>39</v>
      </c>
      <c r="AB262" s="2" t="s">
        <v>414</v>
      </c>
      <c r="AC262" s="14">
        <f t="shared" ref="AC262:AC289" si="64">M262</f>
        <v>44072</v>
      </c>
      <c r="AD262" s="14">
        <f t="shared" ref="AD262:AD289" si="65">N262</f>
        <v>44081</v>
      </c>
      <c r="AE262">
        <v>0</v>
      </c>
    </row>
    <row r="263" spans="1:32" x14ac:dyDescent="0.2">
      <c r="A263" s="2" t="s">
        <v>431</v>
      </c>
      <c r="B263" s="3">
        <v>44073</v>
      </c>
      <c r="C263" s="2" t="s">
        <v>1593</v>
      </c>
      <c r="D263" s="2" t="s">
        <v>28</v>
      </c>
      <c r="E263" s="2" t="s">
        <v>29</v>
      </c>
      <c r="F263" s="2" t="s">
        <v>41</v>
      </c>
      <c r="G263" s="2" t="s">
        <v>1594</v>
      </c>
      <c r="H263" s="2" t="s">
        <v>1595</v>
      </c>
      <c r="I263" s="2" t="s">
        <v>112</v>
      </c>
      <c r="J263" s="2" t="s">
        <v>32</v>
      </c>
      <c r="K263" s="2" t="s">
        <v>1300</v>
      </c>
      <c r="L263" s="2" t="s">
        <v>113</v>
      </c>
      <c r="M263" s="3">
        <v>44072</v>
      </c>
      <c r="N263" s="3">
        <v>44108</v>
      </c>
      <c r="O263" s="4">
        <v>500</v>
      </c>
      <c r="P263" s="2" t="s">
        <v>114</v>
      </c>
      <c r="Q263" s="2" t="s">
        <v>115</v>
      </c>
      <c r="R263" s="2" t="s">
        <v>116</v>
      </c>
      <c r="S263" s="2" t="s">
        <v>439</v>
      </c>
      <c r="T263" s="2" t="s">
        <v>117</v>
      </c>
      <c r="U263" s="2" t="s">
        <v>290</v>
      </c>
      <c r="V263" s="2" t="s">
        <v>118</v>
      </c>
      <c r="W263" s="2" t="s">
        <v>412</v>
      </c>
      <c r="X263" s="2" t="s">
        <v>412</v>
      </c>
      <c r="Y263" s="2" t="s">
        <v>440</v>
      </c>
      <c r="Z263" s="2" t="s">
        <v>412</v>
      </c>
      <c r="AA263" s="2" t="s">
        <v>39</v>
      </c>
      <c r="AB263" s="2" t="s">
        <v>441</v>
      </c>
      <c r="AC263" s="14">
        <f t="shared" si="64"/>
        <v>44072</v>
      </c>
      <c r="AD263" s="14">
        <f t="shared" si="65"/>
        <v>44108</v>
      </c>
      <c r="AE263">
        <v>0</v>
      </c>
    </row>
    <row r="264" spans="1:32" x14ac:dyDescent="0.2">
      <c r="A264" s="2" t="s">
        <v>431</v>
      </c>
      <c r="B264" s="3">
        <v>44048</v>
      </c>
      <c r="C264" s="2" t="s">
        <v>1593</v>
      </c>
      <c r="D264" s="2" t="s">
        <v>91</v>
      </c>
      <c r="E264" s="2" t="s">
        <v>191</v>
      </c>
      <c r="F264" s="2" t="s">
        <v>192</v>
      </c>
      <c r="G264" s="2" t="s">
        <v>1596</v>
      </c>
      <c r="H264" s="2" t="s">
        <v>1597</v>
      </c>
      <c r="I264" s="2" t="s">
        <v>112</v>
      </c>
      <c r="J264" s="2" t="s">
        <v>32</v>
      </c>
      <c r="K264" s="2" t="s">
        <v>1300</v>
      </c>
      <c r="L264" s="2" t="s">
        <v>113</v>
      </c>
      <c r="M264" s="3">
        <v>44072</v>
      </c>
      <c r="N264" s="3">
        <v>44093</v>
      </c>
      <c r="O264" s="4">
        <v>250</v>
      </c>
      <c r="P264" s="2" t="s">
        <v>114</v>
      </c>
      <c r="Q264" s="2" t="s">
        <v>182</v>
      </c>
      <c r="R264" s="2" t="s">
        <v>183</v>
      </c>
      <c r="S264" s="2" t="s">
        <v>439</v>
      </c>
      <c r="T264" s="2" t="s">
        <v>117</v>
      </c>
      <c r="U264" s="2" t="s">
        <v>290</v>
      </c>
      <c r="V264" s="2" t="s">
        <v>118</v>
      </c>
      <c r="W264" s="2" t="s">
        <v>412</v>
      </c>
      <c r="X264" s="2" t="s">
        <v>412</v>
      </c>
      <c r="Y264" s="2" t="s">
        <v>676</v>
      </c>
      <c r="Z264" s="2" t="s">
        <v>412</v>
      </c>
      <c r="AA264" s="2" t="s">
        <v>39</v>
      </c>
      <c r="AB264" s="2" t="s">
        <v>441</v>
      </c>
      <c r="AC264" s="14">
        <f t="shared" si="64"/>
        <v>44072</v>
      </c>
      <c r="AD264" s="14">
        <f t="shared" si="65"/>
        <v>44093</v>
      </c>
      <c r="AE264">
        <v>0</v>
      </c>
    </row>
    <row r="265" spans="1:32" x14ac:dyDescent="0.2">
      <c r="A265" s="2" t="s">
        <v>431</v>
      </c>
      <c r="B265" s="3">
        <v>44073</v>
      </c>
      <c r="C265" s="2" t="s">
        <v>1593</v>
      </c>
      <c r="D265" s="2" t="s">
        <v>28</v>
      </c>
      <c r="E265" s="2" t="s">
        <v>129</v>
      </c>
      <c r="F265" s="2" t="s">
        <v>346</v>
      </c>
      <c r="G265" s="2" t="s">
        <v>1598</v>
      </c>
      <c r="H265" s="2" t="s">
        <v>1599</v>
      </c>
      <c r="I265" s="2" t="s">
        <v>112</v>
      </c>
      <c r="J265" s="2" t="s">
        <v>32</v>
      </c>
      <c r="K265" s="2" t="s">
        <v>1300</v>
      </c>
      <c r="L265" s="2" t="s">
        <v>113</v>
      </c>
      <c r="M265" s="3">
        <v>44072</v>
      </c>
      <c r="N265" s="3">
        <v>44090</v>
      </c>
      <c r="O265" s="4">
        <v>500</v>
      </c>
      <c r="P265" s="2" t="s">
        <v>114</v>
      </c>
      <c r="Q265" s="2" t="s">
        <v>85</v>
      </c>
      <c r="R265" s="2" t="s">
        <v>86</v>
      </c>
      <c r="S265" s="2" t="s">
        <v>439</v>
      </c>
      <c r="T265" s="2" t="s">
        <v>117</v>
      </c>
      <c r="U265" s="2" t="s">
        <v>290</v>
      </c>
      <c r="V265" s="2" t="s">
        <v>118</v>
      </c>
      <c r="W265" s="2" t="s">
        <v>412</v>
      </c>
      <c r="X265" s="2" t="s">
        <v>412</v>
      </c>
      <c r="Y265" s="2" t="s">
        <v>440</v>
      </c>
      <c r="Z265" s="2" t="s">
        <v>412</v>
      </c>
      <c r="AA265" s="2" t="s">
        <v>39</v>
      </c>
      <c r="AB265" s="2" t="s">
        <v>441</v>
      </c>
      <c r="AC265" s="14">
        <f t="shared" si="64"/>
        <v>44072</v>
      </c>
      <c r="AD265" s="14">
        <f t="shared" si="65"/>
        <v>44090</v>
      </c>
      <c r="AE265">
        <v>0</v>
      </c>
    </row>
    <row r="266" spans="1:32" x14ac:dyDescent="0.2">
      <c r="A266" s="2" t="s">
        <v>431</v>
      </c>
      <c r="B266" s="3">
        <v>44073</v>
      </c>
      <c r="C266" s="2" t="s">
        <v>1593</v>
      </c>
      <c r="D266" s="2" t="s">
        <v>28</v>
      </c>
      <c r="E266" s="2" t="s">
        <v>129</v>
      </c>
      <c r="F266" s="2" t="s">
        <v>346</v>
      </c>
      <c r="G266" s="2" t="s">
        <v>1600</v>
      </c>
      <c r="H266" s="2" t="s">
        <v>1601</v>
      </c>
      <c r="I266" s="2" t="s">
        <v>112</v>
      </c>
      <c r="J266" s="2" t="s">
        <v>32</v>
      </c>
      <c r="K266" s="2" t="s">
        <v>1300</v>
      </c>
      <c r="L266" s="2" t="s">
        <v>113</v>
      </c>
      <c r="M266" s="3">
        <v>44072</v>
      </c>
      <c r="N266" s="3">
        <v>44090</v>
      </c>
      <c r="O266" s="4">
        <v>500</v>
      </c>
      <c r="P266" s="2" t="s">
        <v>114</v>
      </c>
      <c r="Q266" s="2" t="s">
        <v>85</v>
      </c>
      <c r="R266" s="2" t="s">
        <v>86</v>
      </c>
      <c r="S266" s="2" t="s">
        <v>439</v>
      </c>
      <c r="T266" s="2" t="s">
        <v>117</v>
      </c>
      <c r="U266" s="2" t="s">
        <v>290</v>
      </c>
      <c r="V266" s="2" t="s">
        <v>118</v>
      </c>
      <c r="W266" s="2" t="s">
        <v>412</v>
      </c>
      <c r="X266" s="2" t="s">
        <v>412</v>
      </c>
      <c r="Y266" s="2" t="s">
        <v>440</v>
      </c>
      <c r="Z266" s="2" t="s">
        <v>412</v>
      </c>
      <c r="AA266" s="2" t="s">
        <v>39</v>
      </c>
      <c r="AB266" s="2" t="s">
        <v>441</v>
      </c>
      <c r="AC266" s="14">
        <f t="shared" si="64"/>
        <v>44072</v>
      </c>
      <c r="AD266" s="14">
        <f t="shared" si="65"/>
        <v>44090</v>
      </c>
      <c r="AE266">
        <v>0</v>
      </c>
    </row>
    <row r="267" spans="1:32" x14ac:dyDescent="0.2">
      <c r="A267" s="2" t="s">
        <v>431</v>
      </c>
      <c r="B267" s="3">
        <v>44073</v>
      </c>
      <c r="C267" s="2" t="s">
        <v>1593</v>
      </c>
      <c r="D267" s="2" t="s">
        <v>28</v>
      </c>
      <c r="E267" s="2" t="s">
        <v>129</v>
      </c>
      <c r="F267" s="2" t="s">
        <v>346</v>
      </c>
      <c r="G267" s="2" t="s">
        <v>1602</v>
      </c>
      <c r="H267" s="2" t="s">
        <v>1603</v>
      </c>
      <c r="I267" s="2" t="s">
        <v>112</v>
      </c>
      <c r="J267" s="2" t="s">
        <v>32</v>
      </c>
      <c r="K267" s="2" t="s">
        <v>1300</v>
      </c>
      <c r="L267" s="2" t="s">
        <v>113</v>
      </c>
      <c r="M267" s="3">
        <v>44072</v>
      </c>
      <c r="N267" s="3">
        <v>44090</v>
      </c>
      <c r="O267" s="4">
        <v>500</v>
      </c>
      <c r="P267" s="2" t="s">
        <v>114</v>
      </c>
      <c r="Q267" s="2" t="s">
        <v>85</v>
      </c>
      <c r="R267" s="2" t="s">
        <v>86</v>
      </c>
      <c r="S267" s="2" t="s">
        <v>439</v>
      </c>
      <c r="T267" s="2" t="s">
        <v>117</v>
      </c>
      <c r="U267" s="2" t="s">
        <v>290</v>
      </c>
      <c r="V267" s="2" t="s">
        <v>118</v>
      </c>
      <c r="W267" s="2" t="s">
        <v>412</v>
      </c>
      <c r="X267" s="2" t="s">
        <v>412</v>
      </c>
      <c r="Y267" s="2" t="s">
        <v>440</v>
      </c>
      <c r="Z267" s="2" t="s">
        <v>412</v>
      </c>
      <c r="AA267" s="2" t="s">
        <v>39</v>
      </c>
      <c r="AB267" s="2" t="s">
        <v>441</v>
      </c>
      <c r="AC267" s="14">
        <f t="shared" si="64"/>
        <v>44072</v>
      </c>
      <c r="AD267" s="14">
        <f t="shared" si="65"/>
        <v>44090</v>
      </c>
      <c r="AE267">
        <v>0</v>
      </c>
    </row>
    <row r="268" spans="1:32" x14ac:dyDescent="0.2">
      <c r="A268" s="2" t="s">
        <v>431</v>
      </c>
      <c r="B268" s="3">
        <v>44073</v>
      </c>
      <c r="C268" s="2" t="s">
        <v>1593</v>
      </c>
      <c r="D268" s="2" t="s">
        <v>28</v>
      </c>
      <c r="E268" s="2" t="s">
        <v>129</v>
      </c>
      <c r="F268" s="2" t="s">
        <v>130</v>
      </c>
      <c r="G268" s="2" t="s">
        <v>1604</v>
      </c>
      <c r="H268" s="2" t="s">
        <v>1605</v>
      </c>
      <c r="I268" s="2" t="s">
        <v>112</v>
      </c>
      <c r="J268" s="2" t="s">
        <v>32</v>
      </c>
      <c r="K268" s="2" t="s">
        <v>1300</v>
      </c>
      <c r="L268" s="2" t="s">
        <v>113</v>
      </c>
      <c r="M268" s="3">
        <v>44072</v>
      </c>
      <c r="N268" s="3">
        <v>44090</v>
      </c>
      <c r="O268" s="4">
        <v>500</v>
      </c>
      <c r="P268" s="2" t="s">
        <v>114</v>
      </c>
      <c r="Q268" s="2" t="s">
        <v>85</v>
      </c>
      <c r="R268" s="2" t="s">
        <v>86</v>
      </c>
      <c r="S268" s="2" t="s">
        <v>439</v>
      </c>
      <c r="T268" s="2" t="s">
        <v>117</v>
      </c>
      <c r="U268" s="2" t="s">
        <v>290</v>
      </c>
      <c r="V268" s="2" t="s">
        <v>118</v>
      </c>
      <c r="W268" s="2" t="s">
        <v>412</v>
      </c>
      <c r="X268" s="2" t="s">
        <v>412</v>
      </c>
      <c r="Y268" s="2" t="s">
        <v>440</v>
      </c>
      <c r="Z268" s="2" t="s">
        <v>412</v>
      </c>
      <c r="AA268" s="2" t="s">
        <v>39</v>
      </c>
      <c r="AB268" s="2" t="s">
        <v>441</v>
      </c>
      <c r="AC268" s="14">
        <f t="shared" si="64"/>
        <v>44072</v>
      </c>
      <c r="AD268" s="14">
        <f t="shared" si="65"/>
        <v>44090</v>
      </c>
      <c r="AE268">
        <v>0</v>
      </c>
    </row>
    <row r="269" spans="1:32" x14ac:dyDescent="0.2">
      <c r="A269" s="2" t="s">
        <v>431</v>
      </c>
      <c r="B269" s="3">
        <v>44073</v>
      </c>
      <c r="C269" s="2" t="s">
        <v>1593</v>
      </c>
      <c r="D269" s="2" t="s">
        <v>28</v>
      </c>
      <c r="E269" s="2" t="s">
        <v>129</v>
      </c>
      <c r="F269" s="2" t="s">
        <v>130</v>
      </c>
      <c r="G269" s="2" t="s">
        <v>1606</v>
      </c>
      <c r="H269" s="2" t="s">
        <v>1607</v>
      </c>
      <c r="I269" s="2" t="s">
        <v>112</v>
      </c>
      <c r="J269" s="2" t="s">
        <v>32</v>
      </c>
      <c r="K269" s="2" t="s">
        <v>1300</v>
      </c>
      <c r="L269" s="2" t="s">
        <v>113</v>
      </c>
      <c r="M269" s="3">
        <v>44072</v>
      </c>
      <c r="N269" s="3">
        <v>44090</v>
      </c>
      <c r="O269" s="4">
        <v>500</v>
      </c>
      <c r="P269" s="2" t="s">
        <v>114</v>
      </c>
      <c r="Q269" s="2" t="s">
        <v>85</v>
      </c>
      <c r="R269" s="2" t="s">
        <v>86</v>
      </c>
      <c r="S269" s="2" t="s">
        <v>439</v>
      </c>
      <c r="T269" s="2" t="s">
        <v>117</v>
      </c>
      <c r="U269" s="2" t="s">
        <v>290</v>
      </c>
      <c r="V269" s="2" t="s">
        <v>118</v>
      </c>
      <c r="W269" s="2" t="s">
        <v>412</v>
      </c>
      <c r="X269" s="2" t="s">
        <v>412</v>
      </c>
      <c r="Y269" s="2" t="s">
        <v>440</v>
      </c>
      <c r="Z269" s="2" t="s">
        <v>412</v>
      </c>
      <c r="AA269" s="2" t="s">
        <v>39</v>
      </c>
      <c r="AB269" s="2" t="s">
        <v>441</v>
      </c>
      <c r="AC269" s="14">
        <f t="shared" si="64"/>
        <v>44072</v>
      </c>
      <c r="AD269" s="14">
        <f t="shared" si="65"/>
        <v>44090</v>
      </c>
      <c r="AE269">
        <v>0</v>
      </c>
    </row>
    <row r="270" spans="1:32" x14ac:dyDescent="0.2">
      <c r="A270" s="2" t="s">
        <v>431</v>
      </c>
      <c r="B270" s="3">
        <v>44073</v>
      </c>
      <c r="C270" s="2" t="s">
        <v>1593</v>
      </c>
      <c r="D270" s="2" t="s">
        <v>28</v>
      </c>
      <c r="E270" s="2" t="s">
        <v>129</v>
      </c>
      <c r="F270" s="2" t="s">
        <v>130</v>
      </c>
      <c r="G270" s="2" t="s">
        <v>1608</v>
      </c>
      <c r="H270" s="2" t="s">
        <v>1609</v>
      </c>
      <c r="I270" s="2" t="s">
        <v>112</v>
      </c>
      <c r="J270" s="2" t="s">
        <v>32</v>
      </c>
      <c r="K270" s="2" t="s">
        <v>1300</v>
      </c>
      <c r="L270" s="2" t="s">
        <v>113</v>
      </c>
      <c r="M270" s="3">
        <v>44072</v>
      </c>
      <c r="N270" s="3">
        <v>44087</v>
      </c>
      <c r="O270" s="4">
        <v>500</v>
      </c>
      <c r="P270" s="2" t="s">
        <v>114</v>
      </c>
      <c r="Q270" s="2" t="s">
        <v>131</v>
      </c>
      <c r="R270" s="2" t="s">
        <v>132</v>
      </c>
      <c r="S270" s="2" t="s">
        <v>439</v>
      </c>
      <c r="T270" s="2" t="s">
        <v>117</v>
      </c>
      <c r="U270" s="2" t="s">
        <v>290</v>
      </c>
      <c r="V270" s="2" t="s">
        <v>118</v>
      </c>
      <c r="W270" s="2" t="s">
        <v>412</v>
      </c>
      <c r="X270" s="2" t="s">
        <v>412</v>
      </c>
      <c r="Y270" s="2" t="s">
        <v>440</v>
      </c>
      <c r="Z270" s="2" t="s">
        <v>412</v>
      </c>
      <c r="AA270" s="2" t="s">
        <v>39</v>
      </c>
      <c r="AB270" s="2" t="s">
        <v>441</v>
      </c>
      <c r="AC270" s="14">
        <f t="shared" si="64"/>
        <v>44072</v>
      </c>
      <c r="AD270" s="14">
        <f t="shared" si="65"/>
        <v>44087</v>
      </c>
      <c r="AE270">
        <v>0</v>
      </c>
    </row>
    <row r="271" spans="1:32" x14ac:dyDescent="0.2">
      <c r="A271" s="2" t="s">
        <v>431</v>
      </c>
      <c r="B271" s="3">
        <v>44073</v>
      </c>
      <c r="C271" s="2" t="s">
        <v>1593</v>
      </c>
      <c r="D271" s="2" t="s">
        <v>28</v>
      </c>
      <c r="E271" s="2" t="s">
        <v>129</v>
      </c>
      <c r="F271" s="2" t="s">
        <v>130</v>
      </c>
      <c r="G271" s="2" t="s">
        <v>1610</v>
      </c>
      <c r="H271" s="2" t="s">
        <v>1611</v>
      </c>
      <c r="I271" s="2" t="s">
        <v>112</v>
      </c>
      <c r="J271" s="2" t="s">
        <v>32</v>
      </c>
      <c r="K271" s="2" t="s">
        <v>1300</v>
      </c>
      <c r="L271" s="2" t="s">
        <v>113</v>
      </c>
      <c r="M271" s="3">
        <v>44072</v>
      </c>
      <c r="N271" s="3">
        <v>44087</v>
      </c>
      <c r="O271" s="4">
        <v>500</v>
      </c>
      <c r="P271" s="2" t="s">
        <v>114</v>
      </c>
      <c r="Q271" s="2" t="s">
        <v>131</v>
      </c>
      <c r="R271" s="2" t="s">
        <v>132</v>
      </c>
      <c r="S271" s="2" t="s">
        <v>439</v>
      </c>
      <c r="T271" s="2" t="s">
        <v>117</v>
      </c>
      <c r="U271" s="2" t="s">
        <v>290</v>
      </c>
      <c r="V271" s="2" t="s">
        <v>118</v>
      </c>
      <c r="W271" s="2" t="s">
        <v>412</v>
      </c>
      <c r="X271" s="2" t="s">
        <v>412</v>
      </c>
      <c r="Y271" s="2" t="s">
        <v>440</v>
      </c>
      <c r="Z271" s="2" t="s">
        <v>412</v>
      </c>
      <c r="AA271" s="2" t="s">
        <v>39</v>
      </c>
      <c r="AB271" s="2" t="s">
        <v>441</v>
      </c>
      <c r="AC271" s="14">
        <f t="shared" si="64"/>
        <v>44072</v>
      </c>
      <c r="AD271" s="14">
        <f t="shared" si="65"/>
        <v>44087</v>
      </c>
      <c r="AE271">
        <v>0</v>
      </c>
    </row>
    <row r="272" spans="1:32" x14ac:dyDescent="0.2">
      <c r="A272" s="2" t="s">
        <v>431</v>
      </c>
      <c r="B272" s="3">
        <v>44073</v>
      </c>
      <c r="C272" s="2" t="s">
        <v>1593</v>
      </c>
      <c r="D272" s="2" t="s">
        <v>28</v>
      </c>
      <c r="E272" s="2" t="s">
        <v>129</v>
      </c>
      <c r="F272" s="2" t="s">
        <v>130</v>
      </c>
      <c r="G272" s="2" t="s">
        <v>1612</v>
      </c>
      <c r="H272" s="2" t="s">
        <v>1613</v>
      </c>
      <c r="I272" s="2" t="s">
        <v>112</v>
      </c>
      <c r="J272" s="2" t="s">
        <v>32</v>
      </c>
      <c r="K272" s="2" t="s">
        <v>1300</v>
      </c>
      <c r="L272" s="2" t="s">
        <v>113</v>
      </c>
      <c r="M272" s="3">
        <v>44072</v>
      </c>
      <c r="N272" s="3">
        <v>44087</v>
      </c>
      <c r="O272" s="4">
        <v>500</v>
      </c>
      <c r="P272" s="2" t="s">
        <v>114</v>
      </c>
      <c r="Q272" s="2" t="s">
        <v>131</v>
      </c>
      <c r="R272" s="2" t="s">
        <v>132</v>
      </c>
      <c r="S272" s="2" t="s">
        <v>439</v>
      </c>
      <c r="T272" s="2" t="s">
        <v>117</v>
      </c>
      <c r="U272" s="2" t="s">
        <v>290</v>
      </c>
      <c r="V272" s="2" t="s">
        <v>118</v>
      </c>
      <c r="W272" s="2" t="s">
        <v>412</v>
      </c>
      <c r="X272" s="2" t="s">
        <v>412</v>
      </c>
      <c r="Y272" s="2" t="s">
        <v>440</v>
      </c>
      <c r="Z272" s="2" t="s">
        <v>412</v>
      </c>
      <c r="AA272" s="2" t="s">
        <v>39</v>
      </c>
      <c r="AB272" s="2" t="s">
        <v>441</v>
      </c>
      <c r="AC272" s="14">
        <f t="shared" si="64"/>
        <v>44072</v>
      </c>
      <c r="AD272" s="14">
        <f t="shared" si="65"/>
        <v>44087</v>
      </c>
      <c r="AE272">
        <v>0</v>
      </c>
    </row>
    <row r="273" spans="1:32" x14ac:dyDescent="0.2">
      <c r="A273" s="2" t="s">
        <v>431</v>
      </c>
      <c r="B273" s="3">
        <v>44073</v>
      </c>
      <c r="C273" s="2" t="s">
        <v>1593</v>
      </c>
      <c r="D273" s="2" t="s">
        <v>28</v>
      </c>
      <c r="E273" s="2" t="s">
        <v>129</v>
      </c>
      <c r="F273" s="2" t="s">
        <v>130</v>
      </c>
      <c r="G273" s="2" t="s">
        <v>1614</v>
      </c>
      <c r="H273" s="2" t="s">
        <v>1615</v>
      </c>
      <c r="I273" s="2" t="s">
        <v>112</v>
      </c>
      <c r="J273" s="2" t="s">
        <v>32</v>
      </c>
      <c r="K273" s="2" t="s">
        <v>1300</v>
      </c>
      <c r="L273" s="2" t="s">
        <v>113</v>
      </c>
      <c r="M273" s="3">
        <v>44072</v>
      </c>
      <c r="N273" s="3">
        <v>44087</v>
      </c>
      <c r="O273" s="4">
        <v>500</v>
      </c>
      <c r="P273" s="2" t="s">
        <v>114</v>
      </c>
      <c r="Q273" s="2" t="s">
        <v>131</v>
      </c>
      <c r="R273" s="2" t="s">
        <v>132</v>
      </c>
      <c r="S273" s="2" t="s">
        <v>439</v>
      </c>
      <c r="T273" s="2" t="s">
        <v>117</v>
      </c>
      <c r="U273" s="2" t="s">
        <v>290</v>
      </c>
      <c r="V273" s="2" t="s">
        <v>118</v>
      </c>
      <c r="W273" s="2" t="s">
        <v>412</v>
      </c>
      <c r="X273" s="2" t="s">
        <v>412</v>
      </c>
      <c r="Y273" s="2" t="s">
        <v>440</v>
      </c>
      <c r="Z273" s="2" t="s">
        <v>412</v>
      </c>
      <c r="AA273" s="2" t="s">
        <v>39</v>
      </c>
      <c r="AB273" s="2" t="s">
        <v>441</v>
      </c>
      <c r="AC273" s="14">
        <f t="shared" si="64"/>
        <v>44072</v>
      </c>
      <c r="AD273" s="14">
        <f t="shared" si="65"/>
        <v>44087</v>
      </c>
      <c r="AE273">
        <v>0</v>
      </c>
    </row>
    <row r="274" spans="1:32" x14ac:dyDescent="0.2">
      <c r="A274" s="2" t="s">
        <v>431</v>
      </c>
      <c r="B274" s="3">
        <v>44073</v>
      </c>
      <c r="C274" s="2" t="s">
        <v>1593</v>
      </c>
      <c r="D274" s="2" t="s">
        <v>28</v>
      </c>
      <c r="E274" s="2" t="s">
        <v>129</v>
      </c>
      <c r="F274" s="2" t="s">
        <v>130</v>
      </c>
      <c r="G274" s="2" t="s">
        <v>1616</v>
      </c>
      <c r="H274" s="2" t="s">
        <v>1617</v>
      </c>
      <c r="I274" s="2" t="s">
        <v>112</v>
      </c>
      <c r="J274" s="2" t="s">
        <v>32</v>
      </c>
      <c r="K274" s="2" t="s">
        <v>1300</v>
      </c>
      <c r="L274" s="2" t="s">
        <v>113</v>
      </c>
      <c r="M274" s="3">
        <v>44072</v>
      </c>
      <c r="N274" s="3">
        <v>44087</v>
      </c>
      <c r="O274" s="4">
        <v>500</v>
      </c>
      <c r="P274" s="2" t="s">
        <v>114</v>
      </c>
      <c r="Q274" s="2" t="s">
        <v>131</v>
      </c>
      <c r="R274" s="2" t="s">
        <v>132</v>
      </c>
      <c r="S274" s="2" t="s">
        <v>439</v>
      </c>
      <c r="T274" s="2" t="s">
        <v>117</v>
      </c>
      <c r="U274" s="2" t="s">
        <v>290</v>
      </c>
      <c r="V274" s="2" t="s">
        <v>118</v>
      </c>
      <c r="W274" s="2" t="s">
        <v>412</v>
      </c>
      <c r="X274" s="2" t="s">
        <v>412</v>
      </c>
      <c r="Y274" s="2" t="s">
        <v>440</v>
      </c>
      <c r="Z274" s="2" t="s">
        <v>412</v>
      </c>
      <c r="AA274" s="2" t="s">
        <v>39</v>
      </c>
      <c r="AB274" s="2" t="s">
        <v>441</v>
      </c>
      <c r="AC274" s="14">
        <f t="shared" si="64"/>
        <v>44072</v>
      </c>
      <c r="AD274" s="14">
        <f t="shared" si="65"/>
        <v>44087</v>
      </c>
      <c r="AE274">
        <v>0</v>
      </c>
    </row>
    <row r="275" spans="1:32" x14ac:dyDescent="0.2">
      <c r="A275" s="2" t="s">
        <v>410</v>
      </c>
      <c r="B275" s="3">
        <v>44073</v>
      </c>
      <c r="C275" s="2" t="s">
        <v>1524</v>
      </c>
      <c r="D275" s="2" t="s">
        <v>54</v>
      </c>
      <c r="E275" s="2" t="s">
        <v>879</v>
      </c>
      <c r="F275" s="2" t="s">
        <v>880</v>
      </c>
      <c r="G275" s="2" t="s">
        <v>1394</v>
      </c>
      <c r="H275" s="2" t="s">
        <v>1395</v>
      </c>
      <c r="I275" s="2" t="s">
        <v>883</v>
      </c>
      <c r="J275" s="2" t="s">
        <v>83</v>
      </c>
      <c r="K275" s="2" t="s">
        <v>177</v>
      </c>
      <c r="L275" s="2" t="s">
        <v>1527</v>
      </c>
      <c r="M275" s="3">
        <v>44071</v>
      </c>
      <c r="N275" s="3">
        <v>44091</v>
      </c>
      <c r="O275" s="4">
        <v>161.28</v>
      </c>
      <c r="P275" s="2" t="s">
        <v>84</v>
      </c>
      <c r="Q275" s="2" t="s">
        <v>105</v>
      </c>
      <c r="R275" s="2" t="s">
        <v>106</v>
      </c>
      <c r="S275" s="2" t="s">
        <v>466</v>
      </c>
      <c r="T275" s="2" t="s">
        <v>87</v>
      </c>
      <c r="U275" s="2" t="s">
        <v>290</v>
      </c>
      <c r="V275" s="2" t="s">
        <v>88</v>
      </c>
      <c r="W275" s="2" t="s">
        <v>1823</v>
      </c>
      <c r="X275" s="2" t="s">
        <v>412</v>
      </c>
      <c r="Y275" s="2" t="s">
        <v>1240</v>
      </c>
      <c r="Z275" s="2" t="s">
        <v>1398</v>
      </c>
      <c r="AA275" s="2" t="s">
        <v>39</v>
      </c>
      <c r="AB275" s="2" t="s">
        <v>414</v>
      </c>
      <c r="AC275" s="14">
        <f t="shared" si="64"/>
        <v>44071</v>
      </c>
      <c r="AD275" s="14">
        <f t="shared" si="65"/>
        <v>44091</v>
      </c>
      <c r="AE275" s="2">
        <v>0</v>
      </c>
      <c r="AF275" s="2">
        <v>0</v>
      </c>
    </row>
    <row r="276" spans="1:32" x14ac:dyDescent="0.2">
      <c r="A276" s="2" t="s">
        <v>410</v>
      </c>
      <c r="B276" s="3">
        <v>44073</v>
      </c>
      <c r="C276" s="2" t="s">
        <v>1524</v>
      </c>
      <c r="D276" s="2" t="s">
        <v>54</v>
      </c>
      <c r="E276" s="2" t="s">
        <v>879</v>
      </c>
      <c r="F276" s="2" t="s">
        <v>880</v>
      </c>
      <c r="G276" s="2" t="s">
        <v>1509</v>
      </c>
      <c r="H276" s="2" t="s">
        <v>1510</v>
      </c>
      <c r="I276" s="2" t="s">
        <v>883</v>
      </c>
      <c r="J276" s="2" t="s">
        <v>83</v>
      </c>
      <c r="K276" s="2" t="s">
        <v>177</v>
      </c>
      <c r="L276" s="2" t="s">
        <v>1527</v>
      </c>
      <c r="M276" s="3">
        <v>44071</v>
      </c>
      <c r="N276" s="3">
        <v>44091</v>
      </c>
      <c r="O276" s="4">
        <v>161.28</v>
      </c>
      <c r="P276" s="2" t="s">
        <v>84</v>
      </c>
      <c r="Q276" s="2" t="s">
        <v>105</v>
      </c>
      <c r="R276" s="2" t="s">
        <v>106</v>
      </c>
      <c r="S276" s="2" t="s">
        <v>466</v>
      </c>
      <c r="T276" s="2" t="s">
        <v>87</v>
      </c>
      <c r="U276" s="2" t="s">
        <v>290</v>
      </c>
      <c r="V276" s="2" t="s">
        <v>88</v>
      </c>
      <c r="W276" s="2" t="s">
        <v>1824</v>
      </c>
      <c r="X276" s="2" t="s">
        <v>412</v>
      </c>
      <c r="Y276" s="2" t="s">
        <v>1240</v>
      </c>
      <c r="Z276" s="2" t="s">
        <v>1512</v>
      </c>
      <c r="AA276" s="2" t="s">
        <v>39</v>
      </c>
      <c r="AB276" s="2" t="s">
        <v>414</v>
      </c>
      <c r="AC276" s="14">
        <f t="shared" si="64"/>
        <v>44071</v>
      </c>
      <c r="AD276" s="14">
        <f t="shared" si="65"/>
        <v>44091</v>
      </c>
      <c r="AE276" s="2">
        <v>0</v>
      </c>
      <c r="AF276" s="2">
        <v>0</v>
      </c>
    </row>
    <row r="277" spans="1:32" x14ac:dyDescent="0.2">
      <c r="A277" s="2" t="s">
        <v>410</v>
      </c>
      <c r="B277" s="3">
        <v>44073</v>
      </c>
      <c r="C277" s="2" t="s">
        <v>1524</v>
      </c>
      <c r="D277" s="2" t="s">
        <v>91</v>
      </c>
      <c r="E277" s="2" t="s">
        <v>107</v>
      </c>
      <c r="F277" s="2" t="s">
        <v>108</v>
      </c>
      <c r="G277" s="2" t="s">
        <v>1525</v>
      </c>
      <c r="H277" s="2" t="s">
        <v>1526</v>
      </c>
      <c r="I277" s="2" t="s">
        <v>31</v>
      </c>
      <c r="J277" s="2" t="s">
        <v>32</v>
      </c>
      <c r="K277" s="2" t="s">
        <v>177</v>
      </c>
      <c r="L277" s="2" t="s">
        <v>1527</v>
      </c>
      <c r="M277" s="3">
        <v>44071</v>
      </c>
      <c r="N277" s="3">
        <v>44091</v>
      </c>
      <c r="O277" s="4">
        <v>202.86</v>
      </c>
      <c r="P277" s="2" t="s">
        <v>84</v>
      </c>
      <c r="Q277" s="2" t="s">
        <v>105</v>
      </c>
      <c r="R277" s="2" t="s">
        <v>106</v>
      </c>
      <c r="S277" s="2" t="s">
        <v>422</v>
      </c>
      <c r="T277" s="2" t="s">
        <v>87</v>
      </c>
      <c r="U277" s="2" t="s">
        <v>290</v>
      </c>
      <c r="V277" s="2" t="s">
        <v>88</v>
      </c>
      <c r="W277" s="2" t="s">
        <v>1528</v>
      </c>
      <c r="X277" s="2" t="s">
        <v>412</v>
      </c>
      <c r="Y277" s="2" t="s">
        <v>424</v>
      </c>
      <c r="Z277" s="2" t="s">
        <v>1529</v>
      </c>
      <c r="AA277" s="2" t="s">
        <v>109</v>
      </c>
      <c r="AB277" s="2" t="s">
        <v>414</v>
      </c>
      <c r="AC277" s="14">
        <f t="shared" si="64"/>
        <v>44071</v>
      </c>
      <c r="AD277" s="14">
        <f t="shared" si="65"/>
        <v>44091</v>
      </c>
      <c r="AE277" s="2">
        <v>0</v>
      </c>
      <c r="AF277" s="2">
        <v>0</v>
      </c>
    </row>
    <row r="278" spans="1:32" x14ac:dyDescent="0.2">
      <c r="A278" s="2" t="s">
        <v>410</v>
      </c>
      <c r="B278" s="3">
        <v>44073</v>
      </c>
      <c r="C278" s="2" t="s">
        <v>1524</v>
      </c>
      <c r="D278" s="2" t="s">
        <v>28</v>
      </c>
      <c r="E278" s="2" t="s">
        <v>98</v>
      </c>
      <c r="F278" s="2" t="s">
        <v>205</v>
      </c>
      <c r="G278" s="2" t="s">
        <v>1530</v>
      </c>
      <c r="H278" s="2" t="s">
        <v>1531</v>
      </c>
      <c r="I278" s="2" t="s">
        <v>99</v>
      </c>
      <c r="J278" s="2" t="s">
        <v>32</v>
      </c>
      <c r="K278" s="2" t="s">
        <v>177</v>
      </c>
      <c r="L278" s="2" t="s">
        <v>1527</v>
      </c>
      <c r="M278" s="3">
        <v>44071</v>
      </c>
      <c r="N278" s="3">
        <v>44102</v>
      </c>
      <c r="O278" s="4">
        <v>502.12799999999999</v>
      </c>
      <c r="P278" s="2" t="s">
        <v>84</v>
      </c>
      <c r="Q278" s="2" t="s">
        <v>34</v>
      </c>
      <c r="R278" s="2" t="s">
        <v>35</v>
      </c>
      <c r="S278" s="2" t="s">
        <v>443</v>
      </c>
      <c r="T278" s="2" t="s">
        <v>87</v>
      </c>
      <c r="U278" s="2" t="s">
        <v>290</v>
      </c>
      <c r="V278" s="2" t="s">
        <v>88</v>
      </c>
      <c r="W278" s="2" t="s">
        <v>1532</v>
      </c>
      <c r="X278" s="2" t="s">
        <v>412</v>
      </c>
      <c r="Y278" s="2" t="s">
        <v>463</v>
      </c>
      <c r="Z278" s="2" t="s">
        <v>412</v>
      </c>
      <c r="AA278" s="2" t="s">
        <v>39</v>
      </c>
      <c r="AB278" s="2" t="s">
        <v>414</v>
      </c>
      <c r="AC278" s="14">
        <f t="shared" si="64"/>
        <v>44071</v>
      </c>
      <c r="AD278" s="14">
        <f t="shared" si="65"/>
        <v>44102</v>
      </c>
      <c r="AE278" s="2">
        <v>0</v>
      </c>
      <c r="AF278" s="2">
        <v>0</v>
      </c>
    </row>
    <row r="279" spans="1:32" x14ac:dyDescent="0.2">
      <c r="A279" s="2" t="s">
        <v>410</v>
      </c>
      <c r="B279" s="3">
        <v>44073</v>
      </c>
      <c r="C279" s="2" t="s">
        <v>1524</v>
      </c>
      <c r="D279" s="2" t="s">
        <v>28</v>
      </c>
      <c r="E279" s="2" t="s">
        <v>29</v>
      </c>
      <c r="F279" s="2" t="s">
        <v>41</v>
      </c>
      <c r="G279" s="2" t="s">
        <v>1533</v>
      </c>
      <c r="H279" s="2" t="s">
        <v>1534</v>
      </c>
      <c r="I279" s="2" t="s">
        <v>31</v>
      </c>
      <c r="J279" s="2" t="s">
        <v>32</v>
      </c>
      <c r="K279" s="2" t="s">
        <v>177</v>
      </c>
      <c r="L279" s="2" t="s">
        <v>1527</v>
      </c>
      <c r="M279" s="3">
        <v>44071</v>
      </c>
      <c r="N279" s="3">
        <v>44102</v>
      </c>
      <c r="O279" s="4">
        <v>493.92</v>
      </c>
      <c r="P279" s="2" t="s">
        <v>84</v>
      </c>
      <c r="Q279" s="2" t="s">
        <v>34</v>
      </c>
      <c r="R279" s="2" t="s">
        <v>35</v>
      </c>
      <c r="S279" s="2" t="s">
        <v>435</v>
      </c>
      <c r="T279" s="2" t="s">
        <v>87</v>
      </c>
      <c r="U279" s="2" t="s">
        <v>290</v>
      </c>
      <c r="V279" s="2" t="s">
        <v>88</v>
      </c>
      <c r="W279" s="2" t="s">
        <v>1535</v>
      </c>
      <c r="X279" s="2" t="s">
        <v>412</v>
      </c>
      <c r="Y279" s="2" t="s">
        <v>436</v>
      </c>
      <c r="Z279" s="2" t="s">
        <v>412</v>
      </c>
      <c r="AA279" s="2" t="s">
        <v>39</v>
      </c>
      <c r="AB279" s="2" t="s">
        <v>414</v>
      </c>
      <c r="AC279" s="14">
        <f t="shared" si="64"/>
        <v>44071</v>
      </c>
      <c r="AD279" s="14">
        <f t="shared" si="65"/>
        <v>44102</v>
      </c>
      <c r="AE279" s="2">
        <v>0</v>
      </c>
      <c r="AF279" s="2">
        <v>0</v>
      </c>
    </row>
    <row r="280" spans="1:32" x14ac:dyDescent="0.2">
      <c r="A280" s="2" t="s">
        <v>484</v>
      </c>
      <c r="B280" s="3">
        <v>44063</v>
      </c>
      <c r="C280" s="2" t="s">
        <v>1524</v>
      </c>
      <c r="D280" s="2" t="s">
        <v>178</v>
      </c>
      <c r="E280" s="2" t="s">
        <v>186</v>
      </c>
      <c r="F280" s="2" t="s">
        <v>187</v>
      </c>
      <c r="G280" s="2" t="s">
        <v>1413</v>
      </c>
      <c r="H280" s="2" t="s">
        <v>1414</v>
      </c>
      <c r="I280" s="2" t="s">
        <v>188</v>
      </c>
      <c r="J280" s="2" t="s">
        <v>95</v>
      </c>
      <c r="K280" s="2" t="s">
        <v>177</v>
      </c>
      <c r="L280" s="2" t="s">
        <v>1527</v>
      </c>
      <c r="M280" s="3">
        <v>44071</v>
      </c>
      <c r="N280" s="3">
        <v>44098</v>
      </c>
      <c r="O280" s="4">
        <v>167.43299999999999</v>
      </c>
      <c r="P280" s="2" t="s">
        <v>84</v>
      </c>
      <c r="Q280" s="2" t="s">
        <v>131</v>
      </c>
      <c r="R280" s="2" t="s">
        <v>189</v>
      </c>
      <c r="S280" s="2" t="s">
        <v>466</v>
      </c>
      <c r="T280" s="2" t="s">
        <v>87</v>
      </c>
      <c r="U280" s="2" t="s">
        <v>290</v>
      </c>
      <c r="V280" s="2" t="s">
        <v>88</v>
      </c>
      <c r="W280" s="2" t="s">
        <v>1825</v>
      </c>
      <c r="X280" s="2" t="s">
        <v>412</v>
      </c>
      <c r="Y280" s="2" t="s">
        <v>991</v>
      </c>
      <c r="Z280" s="2" t="s">
        <v>412</v>
      </c>
      <c r="AA280" s="2" t="s">
        <v>190</v>
      </c>
      <c r="AB280" s="2" t="s">
        <v>414</v>
      </c>
      <c r="AC280" s="14">
        <f t="shared" si="64"/>
        <v>44071</v>
      </c>
      <c r="AD280" s="14">
        <f t="shared" si="65"/>
        <v>44098</v>
      </c>
      <c r="AE280" s="2">
        <v>0</v>
      </c>
      <c r="AF280" s="2">
        <v>0</v>
      </c>
    </row>
    <row r="281" spans="1:32" x14ac:dyDescent="0.2">
      <c r="A281" s="2" t="s">
        <v>410</v>
      </c>
      <c r="B281" s="3">
        <v>44053</v>
      </c>
      <c r="C281" s="2" t="s">
        <v>1524</v>
      </c>
      <c r="D281" s="2" t="s">
        <v>44</v>
      </c>
      <c r="E281" s="2" t="s">
        <v>273</v>
      </c>
      <c r="F281" s="2" t="s">
        <v>274</v>
      </c>
      <c r="G281" s="2" t="s">
        <v>1237</v>
      </c>
      <c r="H281" s="2" t="s">
        <v>1238</v>
      </c>
      <c r="I281" s="2" t="s">
        <v>275</v>
      </c>
      <c r="J281" s="2" t="s">
        <v>95</v>
      </c>
      <c r="K281" s="2" t="s">
        <v>177</v>
      </c>
      <c r="L281" s="2" t="s">
        <v>1527</v>
      </c>
      <c r="M281" s="3">
        <v>44071</v>
      </c>
      <c r="N281" s="3">
        <v>44098</v>
      </c>
      <c r="O281" s="4">
        <v>182.11199999999999</v>
      </c>
      <c r="P281" s="2" t="s">
        <v>84</v>
      </c>
      <c r="Q281" s="2" t="s">
        <v>131</v>
      </c>
      <c r="R281" s="2" t="s">
        <v>185</v>
      </c>
      <c r="S281" s="2" t="s">
        <v>420</v>
      </c>
      <c r="T281" s="2" t="s">
        <v>87</v>
      </c>
      <c r="U281" s="2" t="s">
        <v>290</v>
      </c>
      <c r="V281" s="2" t="s">
        <v>88</v>
      </c>
      <c r="W281" s="2" t="s">
        <v>1239</v>
      </c>
      <c r="X281" s="2" t="s">
        <v>412</v>
      </c>
      <c r="Y281" s="2" t="s">
        <v>1240</v>
      </c>
      <c r="Z281" s="2" t="s">
        <v>412</v>
      </c>
      <c r="AA281" s="2" t="s">
        <v>39</v>
      </c>
      <c r="AB281" s="2" t="s">
        <v>414</v>
      </c>
      <c r="AC281" s="14">
        <f t="shared" si="64"/>
        <v>44071</v>
      </c>
      <c r="AD281" s="14">
        <f t="shared" si="65"/>
        <v>44098</v>
      </c>
      <c r="AE281" s="2">
        <v>0</v>
      </c>
      <c r="AF281" s="2">
        <v>0</v>
      </c>
    </row>
    <row r="282" spans="1:32" x14ac:dyDescent="0.2">
      <c r="A282" s="2" t="s">
        <v>410</v>
      </c>
      <c r="B282" s="3">
        <v>44053</v>
      </c>
      <c r="C282" s="2" t="s">
        <v>1524</v>
      </c>
      <c r="D282" s="2" t="s">
        <v>44</v>
      </c>
      <c r="E282" s="2" t="s">
        <v>273</v>
      </c>
      <c r="F282" s="2" t="s">
        <v>274</v>
      </c>
      <c r="G282" s="2" t="s">
        <v>1241</v>
      </c>
      <c r="H282" s="2" t="s">
        <v>1242</v>
      </c>
      <c r="I282" s="2" t="s">
        <v>275</v>
      </c>
      <c r="J282" s="2" t="s">
        <v>95</v>
      </c>
      <c r="K282" s="2" t="s">
        <v>177</v>
      </c>
      <c r="L282" s="2" t="s">
        <v>1527</v>
      </c>
      <c r="M282" s="3">
        <v>44071</v>
      </c>
      <c r="N282" s="3">
        <v>44100</v>
      </c>
      <c r="O282" s="4">
        <v>68.292000000000002</v>
      </c>
      <c r="P282" s="2" t="s">
        <v>84</v>
      </c>
      <c r="Q282" s="2" t="s">
        <v>182</v>
      </c>
      <c r="R282" s="2" t="s">
        <v>183</v>
      </c>
      <c r="S282" s="2" t="s">
        <v>446</v>
      </c>
      <c r="T282" s="2" t="s">
        <v>87</v>
      </c>
      <c r="U282" s="2" t="s">
        <v>290</v>
      </c>
      <c r="V282" s="2" t="s">
        <v>88</v>
      </c>
      <c r="W282" s="2" t="s">
        <v>1243</v>
      </c>
      <c r="X282" s="2" t="s">
        <v>412</v>
      </c>
      <c r="Y282" s="2" t="s">
        <v>1244</v>
      </c>
      <c r="Z282" s="2" t="s">
        <v>412</v>
      </c>
      <c r="AA282" s="2" t="s">
        <v>39</v>
      </c>
      <c r="AB282" s="2" t="s">
        <v>414</v>
      </c>
      <c r="AC282" s="14">
        <f t="shared" si="64"/>
        <v>44071</v>
      </c>
      <c r="AD282" s="14">
        <f t="shared" si="65"/>
        <v>44100</v>
      </c>
      <c r="AE282" s="2">
        <v>0</v>
      </c>
      <c r="AF282" s="2">
        <v>0</v>
      </c>
    </row>
    <row r="283" spans="1:32" x14ac:dyDescent="0.2">
      <c r="A283" s="2" t="s">
        <v>484</v>
      </c>
      <c r="B283" s="3">
        <v>44058</v>
      </c>
      <c r="C283" s="2" t="s">
        <v>1524</v>
      </c>
      <c r="D283" s="2" t="s">
        <v>178</v>
      </c>
      <c r="E283" s="2" t="s">
        <v>179</v>
      </c>
      <c r="F283" s="2" t="s">
        <v>180</v>
      </c>
      <c r="G283" s="2" t="s">
        <v>1417</v>
      </c>
      <c r="H283" s="2" t="s">
        <v>1418</v>
      </c>
      <c r="I283" s="2" t="s">
        <v>181</v>
      </c>
      <c r="J283" s="2" t="s">
        <v>95</v>
      </c>
      <c r="K283" s="2" t="s">
        <v>177</v>
      </c>
      <c r="L283" s="2" t="s">
        <v>1527</v>
      </c>
      <c r="M283" s="3">
        <v>44071</v>
      </c>
      <c r="N283" s="3">
        <v>44100</v>
      </c>
      <c r="O283" s="4">
        <v>263.72500000000002</v>
      </c>
      <c r="P283" s="2" t="s">
        <v>84</v>
      </c>
      <c r="Q283" s="2" t="s">
        <v>182</v>
      </c>
      <c r="R283" s="2" t="s">
        <v>183</v>
      </c>
      <c r="S283" s="2" t="s">
        <v>456</v>
      </c>
      <c r="T283" s="2" t="s">
        <v>87</v>
      </c>
      <c r="U283" s="2" t="s">
        <v>290</v>
      </c>
      <c r="V283" s="2" t="s">
        <v>88</v>
      </c>
      <c r="W283" s="2" t="s">
        <v>1826</v>
      </c>
      <c r="X283" s="2" t="s">
        <v>412</v>
      </c>
      <c r="Y283" s="2" t="s">
        <v>485</v>
      </c>
      <c r="Z283" s="2" t="s">
        <v>412</v>
      </c>
      <c r="AA283" s="2" t="s">
        <v>184</v>
      </c>
      <c r="AB283" s="2" t="s">
        <v>414</v>
      </c>
      <c r="AC283" s="14">
        <f t="shared" si="64"/>
        <v>44071</v>
      </c>
      <c r="AD283" s="14">
        <f t="shared" si="65"/>
        <v>44100</v>
      </c>
      <c r="AE283" s="2">
        <v>0</v>
      </c>
      <c r="AF283" s="2">
        <v>0</v>
      </c>
    </row>
    <row r="284" spans="1:32" x14ac:dyDescent="0.2">
      <c r="A284" s="2" t="s">
        <v>484</v>
      </c>
      <c r="B284" s="3">
        <v>44058</v>
      </c>
      <c r="C284" s="2" t="s">
        <v>1524</v>
      </c>
      <c r="D284" s="2" t="s">
        <v>178</v>
      </c>
      <c r="E284" s="2" t="s">
        <v>179</v>
      </c>
      <c r="F284" s="2" t="s">
        <v>180</v>
      </c>
      <c r="G284" s="2" t="s">
        <v>1420</v>
      </c>
      <c r="H284" s="2" t="s">
        <v>1421</v>
      </c>
      <c r="I284" s="2" t="s">
        <v>181</v>
      </c>
      <c r="J284" s="2" t="s">
        <v>95</v>
      </c>
      <c r="K284" s="2" t="s">
        <v>177</v>
      </c>
      <c r="L284" s="2" t="s">
        <v>1527</v>
      </c>
      <c r="M284" s="3">
        <v>44071</v>
      </c>
      <c r="N284" s="3">
        <v>44098</v>
      </c>
      <c r="O284" s="4">
        <v>119.875</v>
      </c>
      <c r="P284" s="2" t="s">
        <v>84</v>
      </c>
      <c r="Q284" s="2" t="s">
        <v>131</v>
      </c>
      <c r="R284" s="2" t="s">
        <v>185</v>
      </c>
      <c r="S284" s="2" t="s">
        <v>415</v>
      </c>
      <c r="T284" s="2" t="s">
        <v>87</v>
      </c>
      <c r="U284" s="2" t="s">
        <v>290</v>
      </c>
      <c r="V284" s="2" t="s">
        <v>88</v>
      </c>
      <c r="W284" s="2" t="s">
        <v>412</v>
      </c>
      <c r="X284" s="2" t="s">
        <v>412</v>
      </c>
      <c r="Y284" s="2" t="s">
        <v>840</v>
      </c>
      <c r="Z284" s="2" t="s">
        <v>412</v>
      </c>
      <c r="AA284" s="2" t="s">
        <v>184</v>
      </c>
      <c r="AB284" s="2" t="s">
        <v>414</v>
      </c>
      <c r="AC284" s="14">
        <f t="shared" si="64"/>
        <v>44071</v>
      </c>
      <c r="AD284" s="14">
        <f t="shared" si="65"/>
        <v>44098</v>
      </c>
      <c r="AE284" s="2">
        <v>0</v>
      </c>
      <c r="AF284" s="2">
        <v>0</v>
      </c>
    </row>
    <row r="285" spans="1:32" x14ac:dyDescent="0.2">
      <c r="A285" s="2" t="s">
        <v>410</v>
      </c>
      <c r="B285" s="3">
        <v>44073</v>
      </c>
      <c r="C285" s="2" t="s">
        <v>1524</v>
      </c>
      <c r="D285" s="2" t="s">
        <v>152</v>
      </c>
      <c r="E285" s="2" t="s">
        <v>508</v>
      </c>
      <c r="F285" s="2" t="s">
        <v>509</v>
      </c>
      <c r="G285" s="2" t="s">
        <v>1536</v>
      </c>
      <c r="H285" s="2" t="s">
        <v>1537</v>
      </c>
      <c r="I285" s="2" t="s">
        <v>94</v>
      </c>
      <c r="J285" s="2" t="s">
        <v>95</v>
      </c>
      <c r="K285" s="2" t="s">
        <v>177</v>
      </c>
      <c r="L285" s="2" t="s">
        <v>1527</v>
      </c>
      <c r="M285" s="3">
        <v>44071</v>
      </c>
      <c r="N285" s="3">
        <v>44101</v>
      </c>
      <c r="O285" s="4">
        <v>191.21600000000001</v>
      </c>
      <c r="P285" s="2" t="s">
        <v>84</v>
      </c>
      <c r="Q285" s="2" t="s">
        <v>49</v>
      </c>
      <c r="R285" s="2" t="s">
        <v>50</v>
      </c>
      <c r="S285" s="2" t="s">
        <v>420</v>
      </c>
      <c r="T285" s="2" t="s">
        <v>87</v>
      </c>
      <c r="U285" s="2" t="s">
        <v>290</v>
      </c>
      <c r="V285" s="2" t="s">
        <v>88</v>
      </c>
      <c r="W285" s="2" t="s">
        <v>1538</v>
      </c>
      <c r="X285" s="2" t="s">
        <v>412</v>
      </c>
      <c r="Y285" s="2" t="s">
        <v>464</v>
      </c>
      <c r="Z285" s="2" t="s">
        <v>996</v>
      </c>
      <c r="AA285" s="2" t="s">
        <v>39</v>
      </c>
      <c r="AB285" s="2" t="s">
        <v>414</v>
      </c>
      <c r="AC285" s="14">
        <f t="shared" si="64"/>
        <v>44071</v>
      </c>
      <c r="AD285" s="14">
        <f t="shared" si="65"/>
        <v>44101</v>
      </c>
      <c r="AE285" s="2">
        <v>0</v>
      </c>
      <c r="AF285" s="2">
        <v>0</v>
      </c>
    </row>
    <row r="286" spans="1:32" x14ac:dyDescent="0.2">
      <c r="A286" s="2" t="s">
        <v>410</v>
      </c>
      <c r="B286" s="3">
        <v>44073</v>
      </c>
      <c r="C286" s="2" t="s">
        <v>1524</v>
      </c>
      <c r="D286" s="2" t="s">
        <v>91</v>
      </c>
      <c r="E286" s="2" t="s">
        <v>92</v>
      </c>
      <c r="F286" s="2" t="s">
        <v>93</v>
      </c>
      <c r="G286" s="2" t="s">
        <v>1539</v>
      </c>
      <c r="H286" s="2" t="s">
        <v>1540</v>
      </c>
      <c r="I286" s="2" t="s">
        <v>714</v>
      </c>
      <c r="J286" s="2" t="s">
        <v>95</v>
      </c>
      <c r="K286" s="2" t="s">
        <v>177</v>
      </c>
      <c r="L286" s="2" t="s">
        <v>1527</v>
      </c>
      <c r="M286" s="3">
        <v>44071</v>
      </c>
      <c r="N286" s="3">
        <v>44099</v>
      </c>
      <c r="O286" s="4">
        <v>196</v>
      </c>
      <c r="P286" s="2" t="s">
        <v>84</v>
      </c>
      <c r="Q286" s="2" t="s">
        <v>96</v>
      </c>
      <c r="R286" s="2" t="s">
        <v>97</v>
      </c>
      <c r="S286" s="2" t="s">
        <v>420</v>
      </c>
      <c r="T286" s="2" t="s">
        <v>87</v>
      </c>
      <c r="U286" s="2" t="s">
        <v>290</v>
      </c>
      <c r="V286" s="2" t="s">
        <v>88</v>
      </c>
      <c r="W286" s="2" t="s">
        <v>1541</v>
      </c>
      <c r="X286" s="2" t="s">
        <v>412</v>
      </c>
      <c r="Y286" s="2" t="s">
        <v>479</v>
      </c>
      <c r="Z286" s="2" t="s">
        <v>412</v>
      </c>
      <c r="AA286" s="2" t="s">
        <v>39</v>
      </c>
      <c r="AB286" s="2" t="s">
        <v>414</v>
      </c>
      <c r="AC286" s="14">
        <f t="shared" si="64"/>
        <v>44071</v>
      </c>
      <c r="AD286" s="14">
        <f t="shared" si="65"/>
        <v>44099</v>
      </c>
      <c r="AE286" s="2">
        <v>0</v>
      </c>
      <c r="AF286" s="2">
        <v>0</v>
      </c>
    </row>
    <row r="287" spans="1:32" x14ac:dyDescent="0.2">
      <c r="A287" s="2" t="s">
        <v>410</v>
      </c>
      <c r="B287" s="3">
        <v>44073</v>
      </c>
      <c r="C287" s="2" t="s">
        <v>1524</v>
      </c>
      <c r="D287" s="2" t="s">
        <v>91</v>
      </c>
      <c r="E287" s="2" t="s">
        <v>92</v>
      </c>
      <c r="F287" s="2" t="s">
        <v>93</v>
      </c>
      <c r="G287" s="2" t="s">
        <v>1542</v>
      </c>
      <c r="H287" s="2" t="s">
        <v>1543</v>
      </c>
      <c r="I287" s="2" t="s">
        <v>714</v>
      </c>
      <c r="J287" s="2" t="s">
        <v>95</v>
      </c>
      <c r="K287" s="2" t="s">
        <v>177</v>
      </c>
      <c r="L287" s="2" t="s">
        <v>1527</v>
      </c>
      <c r="M287" s="3">
        <v>44071</v>
      </c>
      <c r="N287" s="3">
        <v>44099</v>
      </c>
      <c r="O287" s="4">
        <v>196</v>
      </c>
      <c r="P287" s="2" t="s">
        <v>84</v>
      </c>
      <c r="Q287" s="2" t="s">
        <v>96</v>
      </c>
      <c r="R287" s="2" t="s">
        <v>97</v>
      </c>
      <c r="S287" s="2" t="s">
        <v>420</v>
      </c>
      <c r="T287" s="2" t="s">
        <v>87</v>
      </c>
      <c r="U287" s="2" t="s">
        <v>290</v>
      </c>
      <c r="V287" s="2" t="s">
        <v>88</v>
      </c>
      <c r="W287" s="2" t="s">
        <v>1544</v>
      </c>
      <c r="X287" s="2" t="s">
        <v>412</v>
      </c>
      <c r="Y287" s="2" t="s">
        <v>479</v>
      </c>
      <c r="Z287" s="2" t="s">
        <v>412</v>
      </c>
      <c r="AA287" s="2" t="s">
        <v>39</v>
      </c>
      <c r="AB287" s="2" t="s">
        <v>414</v>
      </c>
      <c r="AC287" s="14">
        <f t="shared" si="64"/>
        <v>44071</v>
      </c>
      <c r="AD287" s="14">
        <f t="shared" si="65"/>
        <v>44099</v>
      </c>
      <c r="AE287" s="2">
        <v>0</v>
      </c>
      <c r="AF287" s="2">
        <v>0</v>
      </c>
    </row>
    <row r="288" spans="1:32" x14ac:dyDescent="0.2">
      <c r="A288" s="2" t="s">
        <v>410</v>
      </c>
      <c r="B288" s="3">
        <v>44073</v>
      </c>
      <c r="C288" s="2" t="s">
        <v>1524</v>
      </c>
      <c r="D288" s="2" t="s">
        <v>54</v>
      </c>
      <c r="E288" s="2" t="s">
        <v>879</v>
      </c>
      <c r="F288" s="2" t="s">
        <v>880</v>
      </c>
      <c r="G288" s="2" t="s">
        <v>1827</v>
      </c>
      <c r="H288" s="2" t="s">
        <v>1828</v>
      </c>
      <c r="I288" s="2" t="s">
        <v>883</v>
      </c>
      <c r="J288" s="2" t="s">
        <v>83</v>
      </c>
      <c r="K288" s="2" t="s">
        <v>177</v>
      </c>
      <c r="L288" s="2" t="s">
        <v>1527</v>
      </c>
      <c r="M288" s="3">
        <v>44071</v>
      </c>
      <c r="N288" s="3">
        <v>44091</v>
      </c>
      <c r="O288" s="4">
        <v>253.44</v>
      </c>
      <c r="P288" s="2" t="s">
        <v>84</v>
      </c>
      <c r="Q288" s="2" t="s">
        <v>105</v>
      </c>
      <c r="R288" s="2" t="s">
        <v>106</v>
      </c>
      <c r="S288" s="2" t="s">
        <v>456</v>
      </c>
      <c r="T288" s="2" t="s">
        <v>87</v>
      </c>
      <c r="U288" s="2" t="s">
        <v>290</v>
      </c>
      <c r="V288" s="2" t="s">
        <v>88</v>
      </c>
      <c r="W288" s="2" t="s">
        <v>1829</v>
      </c>
      <c r="X288" s="2" t="s">
        <v>412</v>
      </c>
      <c r="Y288" s="2" t="s">
        <v>1830</v>
      </c>
      <c r="Z288" s="2" t="s">
        <v>1512</v>
      </c>
      <c r="AA288" s="2" t="s">
        <v>39</v>
      </c>
      <c r="AB288" s="2" t="s">
        <v>414</v>
      </c>
      <c r="AC288" s="14">
        <f t="shared" si="64"/>
        <v>44071</v>
      </c>
      <c r="AD288" s="14">
        <f t="shared" si="65"/>
        <v>44091</v>
      </c>
      <c r="AE288" s="2">
        <v>0</v>
      </c>
      <c r="AF288" s="2">
        <v>0</v>
      </c>
    </row>
    <row r="289" spans="1:32" x14ac:dyDescent="0.2">
      <c r="A289" s="2" t="s">
        <v>410</v>
      </c>
      <c r="B289" s="3">
        <v>44073</v>
      </c>
      <c r="C289" s="2" t="s">
        <v>1524</v>
      </c>
      <c r="D289" s="2" t="s">
        <v>28</v>
      </c>
      <c r="E289" s="2" t="s">
        <v>129</v>
      </c>
      <c r="F289" s="2" t="s">
        <v>507</v>
      </c>
      <c r="G289" s="2" t="s">
        <v>1831</v>
      </c>
      <c r="H289" s="2" t="s">
        <v>1832</v>
      </c>
      <c r="I289" s="2" t="s">
        <v>31</v>
      </c>
      <c r="J289" s="2" t="s">
        <v>32</v>
      </c>
      <c r="K289" s="2" t="s">
        <v>177</v>
      </c>
      <c r="L289" s="2" t="s">
        <v>1527</v>
      </c>
      <c r="M289" s="3">
        <v>44071</v>
      </c>
      <c r="N289" s="3">
        <v>44102</v>
      </c>
      <c r="O289" s="4">
        <v>258.72000000000003</v>
      </c>
      <c r="P289" s="2" t="s">
        <v>84</v>
      </c>
      <c r="Q289" s="2" t="s">
        <v>405</v>
      </c>
      <c r="R289" s="2" t="s">
        <v>406</v>
      </c>
      <c r="S289" s="2" t="s">
        <v>456</v>
      </c>
      <c r="T289" s="2" t="s">
        <v>87</v>
      </c>
      <c r="U289" s="2" t="s">
        <v>290</v>
      </c>
      <c r="V289" s="2" t="s">
        <v>88</v>
      </c>
      <c r="W289" s="2" t="s">
        <v>1833</v>
      </c>
      <c r="X289" s="2" t="s">
        <v>412</v>
      </c>
      <c r="Y289" s="2" t="s">
        <v>1830</v>
      </c>
      <c r="Z289" s="2" t="s">
        <v>412</v>
      </c>
      <c r="AA289" s="2" t="s">
        <v>39</v>
      </c>
      <c r="AB289" s="2" t="s">
        <v>414</v>
      </c>
      <c r="AC289" s="14">
        <f t="shared" si="64"/>
        <v>44071</v>
      </c>
      <c r="AD289" s="14">
        <f t="shared" si="65"/>
        <v>44102</v>
      </c>
      <c r="AE289" s="2">
        <v>0</v>
      </c>
      <c r="AF289" s="2">
        <v>0</v>
      </c>
    </row>
    <row r="290" spans="1:32" x14ac:dyDescent="0.2">
      <c r="A290" s="2" t="s">
        <v>427</v>
      </c>
      <c r="B290" s="3">
        <v>44074</v>
      </c>
      <c r="C290" s="2" t="s">
        <v>1622</v>
      </c>
      <c r="D290" s="2" t="s">
        <v>62</v>
      </c>
      <c r="E290" s="2" t="s">
        <v>296</v>
      </c>
      <c r="F290" s="2" t="s">
        <v>297</v>
      </c>
      <c r="G290" s="2" t="s">
        <v>1623</v>
      </c>
      <c r="H290" s="2" t="s">
        <v>1624</v>
      </c>
      <c r="I290" s="2" t="s">
        <v>298</v>
      </c>
      <c r="J290" s="2" t="s">
        <v>58</v>
      </c>
      <c r="K290" s="2" t="s">
        <v>1625</v>
      </c>
      <c r="L290" s="2" t="s">
        <v>547</v>
      </c>
      <c r="M290" s="3">
        <v>44071</v>
      </c>
      <c r="N290" s="3">
        <v>44093</v>
      </c>
      <c r="O290" s="4">
        <v>70.334999999999994</v>
      </c>
      <c r="P290" s="2" t="s">
        <v>48</v>
      </c>
      <c r="Q290" s="2" t="s">
        <v>59</v>
      </c>
      <c r="R290" s="2" t="s">
        <v>60</v>
      </c>
      <c r="S290" s="2" t="s">
        <v>446</v>
      </c>
      <c r="T290" s="2" t="s">
        <v>61</v>
      </c>
      <c r="U290" s="2" t="s">
        <v>1817</v>
      </c>
      <c r="V290" s="2" t="s">
        <v>52</v>
      </c>
      <c r="W290" s="2" t="s">
        <v>1626</v>
      </c>
      <c r="X290" s="2" t="s">
        <v>412</v>
      </c>
      <c r="Y290" s="2" t="s">
        <v>502</v>
      </c>
      <c r="Z290" s="2" t="s">
        <v>1627</v>
      </c>
      <c r="AA290" s="2" t="s">
        <v>39</v>
      </c>
      <c r="AB290" s="2" t="s">
        <v>414</v>
      </c>
      <c r="AC290" s="14">
        <f t="shared" ref="AC290:AC294" si="66">M290</f>
        <v>44071</v>
      </c>
      <c r="AD290" s="14">
        <f t="shared" ref="AD290:AD294" si="67">N290</f>
        <v>44093</v>
      </c>
      <c r="AE290" s="2"/>
      <c r="AF290" s="2"/>
    </row>
    <row r="291" spans="1:32" x14ac:dyDescent="0.2">
      <c r="A291" s="2" t="s">
        <v>427</v>
      </c>
      <c r="B291" s="3">
        <v>44074</v>
      </c>
      <c r="C291" s="2" t="s">
        <v>1622</v>
      </c>
      <c r="D291" s="2" t="s">
        <v>62</v>
      </c>
      <c r="E291" s="2" t="s">
        <v>294</v>
      </c>
      <c r="F291" s="2" t="s">
        <v>295</v>
      </c>
      <c r="G291" s="2" t="s">
        <v>1628</v>
      </c>
      <c r="H291" s="2" t="s">
        <v>1629</v>
      </c>
      <c r="I291" s="2" t="s">
        <v>77</v>
      </c>
      <c r="J291" s="2" t="s">
        <v>32</v>
      </c>
      <c r="K291" s="2" t="s">
        <v>1625</v>
      </c>
      <c r="L291" s="2" t="s">
        <v>547</v>
      </c>
      <c r="M291" s="3">
        <v>44071</v>
      </c>
      <c r="N291" s="3">
        <v>44093</v>
      </c>
      <c r="O291" s="4">
        <v>99.36</v>
      </c>
      <c r="P291" s="2" t="s">
        <v>48</v>
      </c>
      <c r="Q291" s="2" t="s">
        <v>59</v>
      </c>
      <c r="R291" s="2" t="s">
        <v>60</v>
      </c>
      <c r="S291" s="2" t="s">
        <v>419</v>
      </c>
      <c r="T291" s="2" t="s">
        <v>36</v>
      </c>
      <c r="U291" s="2" t="s">
        <v>1817</v>
      </c>
      <c r="V291" s="2" t="s">
        <v>52</v>
      </c>
      <c r="W291" s="2" t="s">
        <v>1630</v>
      </c>
      <c r="X291" s="2" t="s">
        <v>412</v>
      </c>
      <c r="Y291" s="2" t="s">
        <v>437</v>
      </c>
      <c r="Z291" s="2" t="s">
        <v>1492</v>
      </c>
      <c r="AA291" s="2" t="s">
        <v>39</v>
      </c>
      <c r="AB291" s="2" t="s">
        <v>414</v>
      </c>
      <c r="AC291" s="14">
        <f t="shared" si="66"/>
        <v>44071</v>
      </c>
      <c r="AD291" s="14">
        <f t="shared" si="67"/>
        <v>44093</v>
      </c>
      <c r="AE291" s="2"/>
      <c r="AF291" s="2"/>
    </row>
    <row r="292" spans="1:32" x14ac:dyDescent="0.2">
      <c r="A292" s="2" t="s">
        <v>427</v>
      </c>
      <c r="B292" s="3">
        <v>44068</v>
      </c>
      <c r="C292" s="2" t="s">
        <v>1631</v>
      </c>
      <c r="D292" s="2" t="s">
        <v>91</v>
      </c>
      <c r="E292" s="2" t="s">
        <v>258</v>
      </c>
      <c r="F292" s="2" t="s">
        <v>259</v>
      </c>
      <c r="G292" s="2" t="s">
        <v>1632</v>
      </c>
      <c r="H292" s="2" t="s">
        <v>1633</v>
      </c>
      <c r="I292" s="2" t="s">
        <v>77</v>
      </c>
      <c r="J292" s="2" t="s">
        <v>32</v>
      </c>
      <c r="K292" s="2" t="s">
        <v>581</v>
      </c>
      <c r="L292" s="2" t="s">
        <v>1634</v>
      </c>
      <c r="M292" s="3">
        <v>44071</v>
      </c>
      <c r="N292" s="3">
        <v>44094</v>
      </c>
      <c r="O292" s="4">
        <v>198.72</v>
      </c>
      <c r="P292" s="2" t="s">
        <v>48</v>
      </c>
      <c r="Q292" s="2" t="s">
        <v>134</v>
      </c>
      <c r="R292" s="2" t="s">
        <v>135</v>
      </c>
      <c r="S292" s="2" t="s">
        <v>420</v>
      </c>
      <c r="T292" s="2" t="s">
        <v>36</v>
      </c>
      <c r="U292" s="2" t="s">
        <v>1817</v>
      </c>
      <c r="V292" s="2" t="s">
        <v>52</v>
      </c>
      <c r="W292" s="2" t="s">
        <v>1635</v>
      </c>
      <c r="X292" s="2" t="s">
        <v>412</v>
      </c>
      <c r="Y292" s="2" t="s">
        <v>421</v>
      </c>
      <c r="Z292" s="2" t="s">
        <v>412</v>
      </c>
      <c r="AA292" s="2" t="s">
        <v>39</v>
      </c>
      <c r="AB292" s="2" t="s">
        <v>414</v>
      </c>
      <c r="AC292" s="14">
        <f t="shared" si="66"/>
        <v>44071</v>
      </c>
      <c r="AD292" s="14">
        <f t="shared" si="67"/>
        <v>44094</v>
      </c>
      <c r="AE292" s="2"/>
      <c r="AF292" s="2"/>
    </row>
    <row r="293" spans="1:32" x14ac:dyDescent="0.2">
      <c r="A293" s="2" t="s">
        <v>427</v>
      </c>
      <c r="B293" s="3">
        <v>44073</v>
      </c>
      <c r="C293" s="2" t="s">
        <v>1636</v>
      </c>
      <c r="D293" s="2" t="s">
        <v>74</v>
      </c>
      <c r="E293" s="2" t="s">
        <v>75</v>
      </c>
      <c r="F293" s="2" t="s">
        <v>966</v>
      </c>
      <c r="G293" s="2" t="s">
        <v>1637</v>
      </c>
      <c r="H293" s="2" t="s">
        <v>1638</v>
      </c>
      <c r="I293" s="2" t="s">
        <v>77</v>
      </c>
      <c r="J293" s="2" t="s">
        <v>32</v>
      </c>
      <c r="K293" s="2" t="s">
        <v>1695</v>
      </c>
      <c r="L293" s="2" t="s">
        <v>1640</v>
      </c>
      <c r="M293" s="3">
        <v>44071</v>
      </c>
      <c r="N293" s="3">
        <v>44131</v>
      </c>
      <c r="O293" s="4">
        <v>496.8</v>
      </c>
      <c r="P293" s="2" t="s">
        <v>48</v>
      </c>
      <c r="Q293" s="2" t="s">
        <v>149</v>
      </c>
      <c r="R293" s="2" t="s">
        <v>150</v>
      </c>
      <c r="S293" s="2" t="s">
        <v>428</v>
      </c>
      <c r="T293" s="2" t="s">
        <v>36</v>
      </c>
      <c r="U293" s="2" t="s">
        <v>1817</v>
      </c>
      <c r="V293" s="2" t="s">
        <v>73</v>
      </c>
      <c r="W293" s="2" t="s">
        <v>1641</v>
      </c>
      <c r="X293" s="2" t="s">
        <v>412</v>
      </c>
      <c r="Y293" s="2" t="s">
        <v>429</v>
      </c>
      <c r="Z293" s="2" t="s">
        <v>412</v>
      </c>
      <c r="AA293" s="2" t="s">
        <v>39</v>
      </c>
      <c r="AB293" s="2" t="s">
        <v>414</v>
      </c>
      <c r="AC293" s="14">
        <f t="shared" si="66"/>
        <v>44071</v>
      </c>
      <c r="AD293" s="14">
        <f t="shared" si="67"/>
        <v>44131</v>
      </c>
      <c r="AE293" s="2"/>
      <c r="AF293" s="2"/>
    </row>
    <row r="294" spans="1:32" x14ac:dyDescent="0.2">
      <c r="A294" s="2" t="s">
        <v>427</v>
      </c>
      <c r="B294" s="3">
        <v>44074</v>
      </c>
      <c r="C294" s="2" t="s">
        <v>1642</v>
      </c>
      <c r="D294" s="2" t="s">
        <v>137</v>
      </c>
      <c r="E294" s="2" t="s">
        <v>392</v>
      </c>
      <c r="F294" s="2" t="s">
        <v>393</v>
      </c>
      <c r="G294" s="2" t="s">
        <v>1643</v>
      </c>
      <c r="H294" s="2" t="s">
        <v>1644</v>
      </c>
      <c r="I294" s="2" t="s">
        <v>394</v>
      </c>
      <c r="J294" s="2" t="s">
        <v>58</v>
      </c>
      <c r="K294" s="2" t="s">
        <v>245</v>
      </c>
      <c r="L294" s="2" t="s">
        <v>1645</v>
      </c>
      <c r="M294" s="3">
        <v>44072</v>
      </c>
      <c r="N294" s="3">
        <v>44102</v>
      </c>
      <c r="O294" s="4">
        <v>145.29599999999999</v>
      </c>
      <c r="P294" s="2" t="s">
        <v>48</v>
      </c>
      <c r="Q294" s="2" t="s">
        <v>166</v>
      </c>
      <c r="R294" s="2" t="s">
        <v>395</v>
      </c>
      <c r="S294" s="2" t="s">
        <v>465</v>
      </c>
      <c r="T294" s="2" t="s">
        <v>36</v>
      </c>
      <c r="U294" s="2" t="s">
        <v>290</v>
      </c>
      <c r="V294" s="2" t="s">
        <v>52</v>
      </c>
      <c r="W294" s="2" t="s">
        <v>1646</v>
      </c>
      <c r="X294" s="2" t="s">
        <v>412</v>
      </c>
      <c r="Y294" s="2" t="s">
        <v>471</v>
      </c>
      <c r="Z294" s="2" t="s">
        <v>1647</v>
      </c>
      <c r="AA294" s="2" t="s">
        <v>39</v>
      </c>
      <c r="AB294" s="2" t="s">
        <v>414</v>
      </c>
      <c r="AC294" s="14">
        <f t="shared" si="66"/>
        <v>44072</v>
      </c>
      <c r="AD294" s="14">
        <f t="shared" si="67"/>
        <v>44102</v>
      </c>
      <c r="AE294" s="2"/>
      <c r="AF294" s="2"/>
    </row>
    <row r="295" spans="1:32" x14ac:dyDescent="0.2">
      <c r="A295" s="2" t="s">
        <v>431</v>
      </c>
      <c r="B295" s="3">
        <v>44073</v>
      </c>
      <c r="C295" s="2" t="s">
        <v>1648</v>
      </c>
      <c r="D295" s="2" t="s">
        <v>74</v>
      </c>
      <c r="E295" s="2" t="s">
        <v>207</v>
      </c>
      <c r="F295" s="2" t="s">
        <v>208</v>
      </c>
      <c r="G295" s="2" t="s">
        <v>1649</v>
      </c>
      <c r="H295" s="2" t="s">
        <v>1650</v>
      </c>
      <c r="I295" s="2" t="s">
        <v>291</v>
      </c>
      <c r="J295" s="2" t="s">
        <v>58</v>
      </c>
      <c r="K295" s="2" t="s">
        <v>573</v>
      </c>
      <c r="L295" s="2" t="s">
        <v>1588</v>
      </c>
      <c r="M295" s="3">
        <v>44073</v>
      </c>
      <c r="N295" s="3">
        <v>44125</v>
      </c>
      <c r="O295" s="4">
        <v>51.28</v>
      </c>
      <c r="P295" s="2" t="s">
        <v>33</v>
      </c>
      <c r="Q295" s="2" t="s">
        <v>210</v>
      </c>
      <c r="R295" s="2" t="s">
        <v>364</v>
      </c>
      <c r="S295" s="2" t="s">
        <v>449</v>
      </c>
      <c r="T295" s="2" t="s">
        <v>72</v>
      </c>
      <c r="U295" s="2" t="s">
        <v>290</v>
      </c>
      <c r="V295" s="2" t="s">
        <v>65</v>
      </c>
      <c r="W295" s="2" t="s">
        <v>1651</v>
      </c>
      <c r="X295" s="2" t="s">
        <v>412</v>
      </c>
      <c r="Y295" s="2" t="s">
        <v>428</v>
      </c>
      <c r="Z295" s="2" t="s">
        <v>1466</v>
      </c>
      <c r="AA295" s="2" t="s">
        <v>39</v>
      </c>
      <c r="AB295" s="2" t="s">
        <v>414</v>
      </c>
      <c r="AC295" s="14">
        <f>M295</f>
        <v>44073</v>
      </c>
      <c r="AD295" s="14">
        <f>N295</f>
        <v>44125</v>
      </c>
      <c r="AE295">
        <v>0</v>
      </c>
    </row>
    <row r="296" spans="1:32" x14ac:dyDescent="0.2">
      <c r="A296" s="2" t="s">
        <v>427</v>
      </c>
      <c r="B296" s="3">
        <v>44073</v>
      </c>
      <c r="C296" s="2" t="s">
        <v>1175</v>
      </c>
      <c r="D296" s="2" t="s">
        <v>365</v>
      </c>
      <c r="E296" s="2" t="s">
        <v>543</v>
      </c>
      <c r="F296" s="2" t="s">
        <v>575</v>
      </c>
      <c r="G296" s="2" t="s">
        <v>1176</v>
      </c>
      <c r="H296" s="2" t="s">
        <v>1177</v>
      </c>
      <c r="I296" s="2" t="s">
        <v>77</v>
      </c>
      <c r="J296" s="2" t="s">
        <v>32</v>
      </c>
      <c r="K296" s="2" t="s">
        <v>1696</v>
      </c>
      <c r="L296" s="2" t="s">
        <v>1588</v>
      </c>
      <c r="M296" s="3">
        <v>44073</v>
      </c>
      <c r="N296" s="3">
        <v>44091</v>
      </c>
      <c r="O296" s="4">
        <v>496.8</v>
      </c>
      <c r="P296" s="2" t="s">
        <v>48</v>
      </c>
      <c r="Q296" s="2" t="s">
        <v>576</v>
      </c>
      <c r="R296" s="2" t="s">
        <v>577</v>
      </c>
      <c r="S296" s="2" t="s">
        <v>455</v>
      </c>
      <c r="T296" s="2" t="s">
        <v>42</v>
      </c>
      <c r="U296" s="2" t="s">
        <v>1694</v>
      </c>
      <c r="V296" s="2" t="s">
        <v>241</v>
      </c>
      <c r="W296" s="2" t="s">
        <v>1178</v>
      </c>
      <c r="X296" s="2" t="s">
        <v>412</v>
      </c>
      <c r="Y296" s="2" t="s">
        <v>429</v>
      </c>
      <c r="Z296" s="2" t="s">
        <v>412</v>
      </c>
      <c r="AA296" s="2" t="s">
        <v>39</v>
      </c>
      <c r="AB296" s="2" t="s">
        <v>414</v>
      </c>
      <c r="AC296" s="14">
        <f t="shared" ref="AC296:AC297" si="68">M296</f>
        <v>44073</v>
      </c>
      <c r="AD296" s="14">
        <f t="shared" ref="AD296:AD297" si="69">N296</f>
        <v>44091</v>
      </c>
      <c r="AE296" s="2"/>
      <c r="AF296" s="2"/>
    </row>
    <row r="297" spans="1:32" x14ac:dyDescent="0.2">
      <c r="A297" s="2" t="s">
        <v>486</v>
      </c>
      <c r="B297" s="3">
        <v>44063</v>
      </c>
      <c r="C297" s="2" t="s">
        <v>1834</v>
      </c>
      <c r="D297" s="2" t="s">
        <v>178</v>
      </c>
      <c r="E297" s="2" t="s">
        <v>186</v>
      </c>
      <c r="F297" s="2" t="s">
        <v>187</v>
      </c>
      <c r="G297" s="2" t="s">
        <v>1446</v>
      </c>
      <c r="H297" s="2" t="s">
        <v>1447</v>
      </c>
      <c r="I297" s="2" t="s">
        <v>389</v>
      </c>
      <c r="J297" s="2" t="s">
        <v>47</v>
      </c>
      <c r="K297" s="2" t="s">
        <v>1696</v>
      </c>
      <c r="L297" s="2" t="s">
        <v>1588</v>
      </c>
      <c r="M297" s="3">
        <v>44073</v>
      </c>
      <c r="N297" s="3">
        <v>44097</v>
      </c>
      <c r="O297" s="4">
        <v>147.24</v>
      </c>
      <c r="P297" s="2" t="s">
        <v>48</v>
      </c>
      <c r="Q297" s="2" t="s">
        <v>182</v>
      </c>
      <c r="R297" s="2" t="s">
        <v>391</v>
      </c>
      <c r="S297" s="2" t="s">
        <v>465</v>
      </c>
      <c r="T297" s="2" t="s">
        <v>36</v>
      </c>
      <c r="U297" s="2" t="s">
        <v>290</v>
      </c>
      <c r="V297" s="2" t="s">
        <v>65</v>
      </c>
      <c r="W297" s="2" t="s">
        <v>1835</v>
      </c>
      <c r="X297" s="2" t="s">
        <v>412</v>
      </c>
      <c r="Y297" s="2" t="s">
        <v>469</v>
      </c>
      <c r="Z297" s="2" t="s">
        <v>53</v>
      </c>
      <c r="AA297" s="2" t="s">
        <v>190</v>
      </c>
      <c r="AB297" s="2" t="s">
        <v>414</v>
      </c>
      <c r="AC297" s="14">
        <f t="shared" si="68"/>
        <v>44073</v>
      </c>
      <c r="AD297" s="14">
        <f t="shared" si="69"/>
        <v>44097</v>
      </c>
      <c r="AE297" s="2"/>
      <c r="AF297" s="2"/>
    </row>
    <row r="298" spans="1:32" x14ac:dyDescent="0.2">
      <c r="A298" s="2" t="s">
        <v>431</v>
      </c>
      <c r="B298" s="3">
        <v>44073</v>
      </c>
      <c r="C298" s="2" t="s">
        <v>1652</v>
      </c>
      <c r="D298" s="2" t="s">
        <v>28</v>
      </c>
      <c r="E298" s="2" t="s">
        <v>29</v>
      </c>
      <c r="F298" s="2" t="s">
        <v>41</v>
      </c>
      <c r="G298" s="2" t="s">
        <v>1653</v>
      </c>
      <c r="H298" s="2" t="s">
        <v>1654</v>
      </c>
      <c r="I298" s="2" t="s">
        <v>31</v>
      </c>
      <c r="J298" s="2" t="s">
        <v>32</v>
      </c>
      <c r="K298" s="2" t="s">
        <v>574</v>
      </c>
      <c r="L298" s="2" t="s">
        <v>1516</v>
      </c>
      <c r="M298" s="3">
        <v>44074</v>
      </c>
      <c r="N298" s="3">
        <v>44090</v>
      </c>
      <c r="O298" s="4">
        <v>501.904</v>
      </c>
      <c r="P298" s="2" t="s">
        <v>33</v>
      </c>
      <c r="Q298" s="2" t="s">
        <v>115</v>
      </c>
      <c r="R298" s="2" t="s">
        <v>116</v>
      </c>
      <c r="S298" s="2" t="s">
        <v>447</v>
      </c>
      <c r="T298" s="2" t="s">
        <v>140</v>
      </c>
      <c r="U298" s="2" t="s">
        <v>290</v>
      </c>
      <c r="V298" s="2" t="s">
        <v>52</v>
      </c>
      <c r="W298" s="2" t="s">
        <v>1655</v>
      </c>
      <c r="X298" s="2" t="s">
        <v>412</v>
      </c>
      <c r="Y298" s="2" t="s">
        <v>448</v>
      </c>
      <c r="Z298" s="2" t="s">
        <v>412</v>
      </c>
      <c r="AA298" s="2" t="s">
        <v>39</v>
      </c>
      <c r="AB298" s="2" t="s">
        <v>414</v>
      </c>
      <c r="AC298" s="14">
        <f>M298</f>
        <v>44074</v>
      </c>
      <c r="AD298" s="14">
        <f>N298</f>
        <v>44090</v>
      </c>
      <c r="AE298">
        <v>0</v>
      </c>
    </row>
    <row r="299" spans="1:32" x14ac:dyDescent="0.2">
      <c r="A299" s="2" t="s">
        <v>431</v>
      </c>
      <c r="B299" s="3">
        <v>44073</v>
      </c>
      <c r="C299" s="2" t="s">
        <v>1652</v>
      </c>
      <c r="D299" s="2" t="s">
        <v>28</v>
      </c>
      <c r="E299" s="2" t="s">
        <v>29</v>
      </c>
      <c r="F299" s="2" t="s">
        <v>41</v>
      </c>
      <c r="G299" s="2" t="s">
        <v>1656</v>
      </c>
      <c r="H299" s="2" t="s">
        <v>1657</v>
      </c>
      <c r="I299" s="2" t="s">
        <v>31</v>
      </c>
      <c r="J299" s="2" t="s">
        <v>32</v>
      </c>
      <c r="K299" s="2" t="s">
        <v>574</v>
      </c>
      <c r="L299" s="2" t="s">
        <v>1516</v>
      </c>
      <c r="M299" s="3">
        <v>44074</v>
      </c>
      <c r="N299" s="3">
        <v>44090</v>
      </c>
      <c r="O299" s="4">
        <v>501.904</v>
      </c>
      <c r="P299" s="2" t="s">
        <v>33</v>
      </c>
      <c r="Q299" s="2" t="s">
        <v>115</v>
      </c>
      <c r="R299" s="2" t="s">
        <v>116</v>
      </c>
      <c r="S299" s="2" t="s">
        <v>447</v>
      </c>
      <c r="T299" s="2" t="s">
        <v>140</v>
      </c>
      <c r="U299" s="2" t="s">
        <v>290</v>
      </c>
      <c r="V299" s="2" t="s">
        <v>52</v>
      </c>
      <c r="W299" s="2" t="s">
        <v>1658</v>
      </c>
      <c r="X299" s="2" t="s">
        <v>412</v>
      </c>
      <c r="Y299" s="2" t="s">
        <v>448</v>
      </c>
      <c r="Z299" s="2" t="s">
        <v>412</v>
      </c>
      <c r="AA299" s="2" t="s">
        <v>39</v>
      </c>
      <c r="AB299" s="2" t="s">
        <v>414</v>
      </c>
      <c r="AC299" s="14">
        <f>M299</f>
        <v>44074</v>
      </c>
      <c r="AD299" s="14">
        <f>N299</f>
        <v>44090</v>
      </c>
      <c r="AE299">
        <v>0</v>
      </c>
    </row>
    <row r="300" spans="1:32" x14ac:dyDescent="0.2">
      <c r="A300" s="2" t="s">
        <v>427</v>
      </c>
      <c r="B300" s="3">
        <v>44073</v>
      </c>
      <c r="C300" s="2" t="s">
        <v>1659</v>
      </c>
      <c r="D300" s="2" t="s">
        <v>365</v>
      </c>
      <c r="E300" s="2" t="s">
        <v>543</v>
      </c>
      <c r="F300" s="2" t="s">
        <v>575</v>
      </c>
      <c r="G300" s="2" t="s">
        <v>1660</v>
      </c>
      <c r="H300" s="2" t="s">
        <v>1661</v>
      </c>
      <c r="I300" s="2" t="s">
        <v>77</v>
      </c>
      <c r="J300" s="2" t="s">
        <v>32</v>
      </c>
      <c r="K300" s="2" t="s">
        <v>403</v>
      </c>
      <c r="L300" s="2" t="s">
        <v>490</v>
      </c>
      <c r="M300" s="3">
        <v>44074</v>
      </c>
      <c r="N300" s="3">
        <v>44095</v>
      </c>
      <c r="O300" s="4">
        <v>496.8</v>
      </c>
      <c r="P300" s="2" t="s">
        <v>48</v>
      </c>
      <c r="Q300" s="2" t="s">
        <v>576</v>
      </c>
      <c r="R300" s="2" t="s">
        <v>577</v>
      </c>
      <c r="S300" s="2" t="s">
        <v>455</v>
      </c>
      <c r="T300" s="2" t="s">
        <v>42</v>
      </c>
      <c r="U300" s="2" t="s">
        <v>1694</v>
      </c>
      <c r="V300" s="2" t="s">
        <v>52</v>
      </c>
      <c r="W300" s="2" t="s">
        <v>1662</v>
      </c>
      <c r="X300" s="2" t="s">
        <v>412</v>
      </c>
      <c r="Y300" s="2" t="s">
        <v>429</v>
      </c>
      <c r="Z300" s="2" t="s">
        <v>412</v>
      </c>
      <c r="AA300" s="2" t="s">
        <v>39</v>
      </c>
      <c r="AB300" s="2" t="s">
        <v>414</v>
      </c>
      <c r="AC300" s="14">
        <f t="shared" ref="AC300:AC301" si="70">M300</f>
        <v>44074</v>
      </c>
      <c r="AD300" s="14">
        <f t="shared" ref="AD300:AD301" si="71">N300</f>
        <v>44095</v>
      </c>
      <c r="AE300" s="2"/>
      <c r="AF300" s="2"/>
    </row>
    <row r="301" spans="1:32" s="2" customFormat="1" x14ac:dyDescent="0.2">
      <c r="A301" s="2" t="s">
        <v>427</v>
      </c>
      <c r="B301" s="3">
        <v>44073</v>
      </c>
      <c r="C301" s="2" t="s">
        <v>1669</v>
      </c>
      <c r="D301" s="2" t="s">
        <v>91</v>
      </c>
      <c r="E301" s="2" t="s">
        <v>728</v>
      </c>
      <c r="F301" s="2" t="s">
        <v>729</v>
      </c>
      <c r="G301" s="2" t="s">
        <v>1670</v>
      </c>
      <c r="H301" s="2" t="s">
        <v>1671</v>
      </c>
      <c r="I301" s="2" t="s">
        <v>730</v>
      </c>
      <c r="J301" s="2" t="s">
        <v>58</v>
      </c>
      <c r="K301" s="2" t="s">
        <v>579</v>
      </c>
      <c r="L301" s="2" t="s">
        <v>1152</v>
      </c>
      <c r="M301" s="3">
        <v>44075</v>
      </c>
      <c r="N301" s="3">
        <v>44124</v>
      </c>
      <c r="O301" s="4">
        <v>205.744</v>
      </c>
      <c r="P301" s="2" t="s">
        <v>48</v>
      </c>
      <c r="Q301" s="2" t="s">
        <v>731</v>
      </c>
      <c r="R301" s="2" t="s">
        <v>732</v>
      </c>
      <c r="S301" s="2" t="s">
        <v>420</v>
      </c>
      <c r="T301" s="2" t="s">
        <v>72</v>
      </c>
      <c r="U301" s="2" t="s">
        <v>290</v>
      </c>
      <c r="V301" s="2" t="s">
        <v>65</v>
      </c>
      <c r="W301" s="2" t="s">
        <v>1672</v>
      </c>
      <c r="X301" s="2" t="s">
        <v>412</v>
      </c>
      <c r="Y301" s="2" t="s">
        <v>1372</v>
      </c>
      <c r="Z301" s="2" t="s">
        <v>412</v>
      </c>
      <c r="AA301" s="2" t="s">
        <v>733</v>
      </c>
      <c r="AB301" s="2" t="s">
        <v>414</v>
      </c>
      <c r="AC301" s="14">
        <f t="shared" si="70"/>
        <v>44075</v>
      </c>
      <c r="AD301" s="14">
        <f t="shared" si="71"/>
        <v>44124</v>
      </c>
    </row>
  </sheetData>
  <autoFilter ref="A1:AG301" xr:uid="{28FC3B60-DAE8-43EC-BB32-183B8B1C10C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F1AF-6EDC-4881-8FF6-95ABF5840245}">
  <sheetPr filterMode="1"/>
  <dimension ref="A1:AG303"/>
  <sheetViews>
    <sheetView workbookViewId="0">
      <pane ySplit="1" topLeftCell="A2" activePane="bottomLeft" state="frozen"/>
      <selection pane="bottomLeft" activeCell="W84" sqref="W84"/>
    </sheetView>
  </sheetViews>
  <sheetFormatPr defaultRowHeight="12.75" outlineLevelCol="1" x14ac:dyDescent="0.2"/>
  <cols>
    <col min="1" max="1" width="5" bestFit="1" customWidth="1"/>
    <col min="2" max="2" width="18.140625" hidden="1" customWidth="1" outlineLevel="1"/>
    <col min="3" max="3" width="9.5703125" bestFit="1" customWidth="1" collapsed="1"/>
    <col min="4" max="4" width="5.5703125" bestFit="1" customWidth="1"/>
    <col min="5" max="5" width="42.140625" hidden="1" customWidth="1" outlineLevel="1"/>
    <col min="6" max="6" width="14.28515625" bestFit="1" customWidth="1" collapsed="1"/>
    <col min="7" max="7" width="9.85546875" bestFit="1" customWidth="1"/>
    <col min="8" max="8" width="10" bestFit="1" customWidth="1"/>
    <col min="9" max="9" width="43" hidden="1" customWidth="1" outlineLevel="1"/>
    <col min="10" max="10" width="12.5703125" hidden="1" customWidth="1" outlineLevel="1"/>
    <col min="11" max="11" width="21.85546875" bestFit="1" customWidth="1" collapsed="1"/>
    <col min="12" max="12" width="8.140625" bestFit="1" customWidth="1"/>
    <col min="13" max="13" width="10.140625" bestFit="1" customWidth="1"/>
    <col min="14" max="14" width="11.140625" bestFit="1" customWidth="1"/>
    <col min="15" max="15" width="13.140625" hidden="1" customWidth="1" outlineLevel="1"/>
    <col min="16" max="16" width="14.42578125" bestFit="1" customWidth="1" collapsed="1"/>
    <col min="17" max="17" width="16" bestFit="1" customWidth="1"/>
    <col min="18" max="18" width="34.42578125" hidden="1" customWidth="1" outlineLevel="1"/>
    <col min="19" max="19" width="16.5703125" bestFit="1" customWidth="1" collapsed="1"/>
    <col min="20" max="20" width="14.5703125" hidden="1" customWidth="1" outlineLevel="1"/>
    <col min="21" max="21" width="19.5703125" hidden="1" customWidth="1" outlineLevel="1"/>
    <col min="22" max="22" width="12.7109375" bestFit="1" customWidth="1" collapsed="1"/>
    <col min="23" max="23" width="14.42578125" style="30" bestFit="1" customWidth="1"/>
    <col min="24" max="24" width="30" style="30" hidden="1" customWidth="1" outlineLevel="1"/>
    <col min="25" max="25" width="14.140625" style="30" hidden="1" customWidth="1" outlineLevel="1"/>
    <col min="26" max="26" width="22.42578125" style="30" hidden="1" customWidth="1" outlineLevel="1"/>
    <col min="27" max="27" width="15" style="30" hidden="1" customWidth="1" outlineLevel="1"/>
    <col min="28" max="28" width="13.85546875" style="30" hidden="1" customWidth="1" outlineLevel="1"/>
    <col min="29" max="29" width="12.42578125" style="27" bestFit="1" customWidth="1" collapsed="1"/>
    <col min="30" max="30" width="12.28515625" style="27" bestFit="1" customWidth="1"/>
    <col min="31" max="32" width="16.85546875" customWidth="1"/>
    <col min="33" max="33" width="15.28515625" bestFit="1" customWidth="1"/>
  </cols>
  <sheetData>
    <row r="1" spans="1:33" ht="15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5" t="s">
        <v>1673</v>
      </c>
      <c r="AD1" s="25" t="s">
        <v>1674</v>
      </c>
      <c r="AE1" s="24" t="s">
        <v>1675</v>
      </c>
      <c r="AF1" s="24" t="s">
        <v>1676</v>
      </c>
      <c r="AG1" s="24" t="s">
        <v>1677</v>
      </c>
    </row>
    <row r="2" spans="1:33" x14ac:dyDescent="0.2">
      <c r="A2" s="8">
        <v>2501</v>
      </c>
      <c r="B2" s="16">
        <v>44073</v>
      </c>
      <c r="C2" s="8">
        <v>30012778</v>
      </c>
      <c r="D2" s="8" t="s">
        <v>28</v>
      </c>
      <c r="E2" s="8" t="s">
        <v>129</v>
      </c>
      <c r="F2" s="8" t="s">
        <v>363</v>
      </c>
      <c r="G2" s="8">
        <v>15018329</v>
      </c>
      <c r="H2" s="8">
        <v>802094894</v>
      </c>
      <c r="I2" s="8" t="s">
        <v>357</v>
      </c>
      <c r="J2" s="8" t="s">
        <v>58</v>
      </c>
      <c r="K2" s="8" t="s">
        <v>790</v>
      </c>
      <c r="L2" s="8" t="s">
        <v>791</v>
      </c>
      <c r="M2" s="8" t="s">
        <v>1716</v>
      </c>
      <c r="N2" s="8" t="s">
        <v>1723</v>
      </c>
      <c r="O2" s="8">
        <v>257.58600000000001</v>
      </c>
      <c r="P2" s="8" t="s">
        <v>33</v>
      </c>
      <c r="Q2" s="8" t="s">
        <v>263</v>
      </c>
      <c r="R2" s="8" t="s">
        <v>360</v>
      </c>
      <c r="S2" s="8">
        <v>10</v>
      </c>
      <c r="T2" s="8" t="s">
        <v>72</v>
      </c>
      <c r="U2" s="8" t="s">
        <v>37</v>
      </c>
      <c r="V2" s="8" t="s">
        <v>88</v>
      </c>
      <c r="W2" s="29" t="s">
        <v>792</v>
      </c>
      <c r="X2" s="29"/>
      <c r="Y2" s="29">
        <v>110</v>
      </c>
      <c r="Z2" s="29" t="s">
        <v>596</v>
      </c>
      <c r="AA2" s="29" t="s">
        <v>39</v>
      </c>
      <c r="AB2" s="29">
        <v>31</v>
      </c>
      <c r="AC2" s="23" t="str">
        <f>M2</f>
        <v>03/08/2020</v>
      </c>
      <c r="AD2" s="23" t="str">
        <f>N2</f>
        <v>03/09/2020</v>
      </c>
      <c r="AE2" s="8">
        <v>0</v>
      </c>
      <c r="AF2" s="8"/>
      <c r="AG2" s="8"/>
    </row>
    <row r="3" spans="1:33" x14ac:dyDescent="0.2">
      <c r="A3" s="8">
        <v>2501</v>
      </c>
      <c r="B3" s="16">
        <v>44048</v>
      </c>
      <c r="C3" s="8">
        <v>30012768</v>
      </c>
      <c r="D3" s="8" t="s">
        <v>170</v>
      </c>
      <c r="E3" s="8" t="s">
        <v>171</v>
      </c>
      <c r="F3" s="8" t="s">
        <v>172</v>
      </c>
      <c r="G3" s="8">
        <v>15018180</v>
      </c>
      <c r="H3" s="8">
        <v>802094824</v>
      </c>
      <c r="I3" s="8" t="s">
        <v>176</v>
      </c>
      <c r="J3" s="8" t="s">
        <v>58</v>
      </c>
      <c r="K3" s="8" t="s">
        <v>784</v>
      </c>
      <c r="L3" s="8" t="s">
        <v>785</v>
      </c>
      <c r="M3" s="8" t="s">
        <v>1716</v>
      </c>
      <c r="N3" s="8" t="s">
        <v>1728</v>
      </c>
      <c r="O3" s="8">
        <v>135.16</v>
      </c>
      <c r="P3" s="8" t="s">
        <v>33</v>
      </c>
      <c r="Q3" s="8" t="s">
        <v>173</v>
      </c>
      <c r="R3" s="8" t="s">
        <v>174</v>
      </c>
      <c r="S3" s="8">
        <v>6</v>
      </c>
      <c r="T3" s="8" t="s">
        <v>61</v>
      </c>
      <c r="U3" s="8" t="s">
        <v>37</v>
      </c>
      <c r="V3" s="8" t="s">
        <v>65</v>
      </c>
      <c r="W3" s="29" t="s">
        <v>786</v>
      </c>
      <c r="X3" s="29"/>
      <c r="Y3" s="29">
        <v>42</v>
      </c>
      <c r="Z3" s="29"/>
      <c r="AA3" s="29" t="s">
        <v>175</v>
      </c>
      <c r="AB3" s="29">
        <v>31</v>
      </c>
      <c r="AC3" s="23">
        <v>44047</v>
      </c>
      <c r="AD3" s="23" t="str">
        <f t="shared" ref="AD3:AD33" si="0">N3</f>
        <v>09/08/2020</v>
      </c>
      <c r="AE3" s="8">
        <v>1</v>
      </c>
      <c r="AF3" s="8"/>
      <c r="AG3" s="8" t="s">
        <v>1791</v>
      </c>
    </row>
    <row r="4" spans="1:33" hidden="1" x14ac:dyDescent="0.2">
      <c r="A4" s="8">
        <v>2522</v>
      </c>
      <c r="B4" s="16">
        <v>44027</v>
      </c>
      <c r="C4" s="8">
        <v>30012647</v>
      </c>
      <c r="D4" s="8" t="s">
        <v>178</v>
      </c>
      <c r="E4" s="8" t="s">
        <v>179</v>
      </c>
      <c r="F4" s="8" t="s">
        <v>180</v>
      </c>
      <c r="G4" s="8">
        <v>15017964</v>
      </c>
      <c r="H4" s="8">
        <v>802093833</v>
      </c>
      <c r="I4" s="8" t="s">
        <v>181</v>
      </c>
      <c r="J4" s="8" t="s">
        <v>95</v>
      </c>
      <c r="K4" s="8" t="s">
        <v>1782</v>
      </c>
      <c r="L4" s="8" t="s">
        <v>1783</v>
      </c>
      <c r="M4" s="8" t="s">
        <v>1724</v>
      </c>
      <c r="N4" s="8" t="s">
        <v>1727</v>
      </c>
      <c r="O4" s="8">
        <v>262.52300000000002</v>
      </c>
      <c r="P4" s="8" t="s">
        <v>492</v>
      </c>
      <c r="Q4" s="8" t="s">
        <v>182</v>
      </c>
      <c r="R4" s="8" t="s">
        <v>183</v>
      </c>
      <c r="S4" s="8">
        <v>11</v>
      </c>
      <c r="T4" s="8" t="s">
        <v>87</v>
      </c>
      <c r="U4" s="8" t="s">
        <v>37</v>
      </c>
      <c r="V4" s="8" t="s">
        <v>155</v>
      </c>
      <c r="W4" s="29" t="s">
        <v>1784</v>
      </c>
      <c r="X4" s="29"/>
      <c r="Y4" s="29">
        <v>275</v>
      </c>
      <c r="Z4" s="29"/>
      <c r="AA4" s="29" t="s">
        <v>184</v>
      </c>
      <c r="AB4" s="29">
        <v>31</v>
      </c>
      <c r="AC4" s="23" t="str">
        <f t="shared" ref="AC4:AC45" si="1">M4</f>
        <v>01/08/2020</v>
      </c>
      <c r="AD4" s="23" t="str">
        <f t="shared" si="0"/>
        <v>20/08/2020</v>
      </c>
      <c r="AE4" s="8"/>
      <c r="AF4" s="8"/>
      <c r="AG4" s="8"/>
    </row>
    <row r="5" spans="1:33" hidden="1" x14ac:dyDescent="0.2">
      <c r="A5" s="8">
        <v>2522</v>
      </c>
      <c r="B5" s="16">
        <v>44027</v>
      </c>
      <c r="C5" s="8">
        <v>30012647</v>
      </c>
      <c r="D5" s="8" t="s">
        <v>178</v>
      </c>
      <c r="E5" s="8" t="s">
        <v>179</v>
      </c>
      <c r="F5" s="8" t="s">
        <v>180</v>
      </c>
      <c r="G5" s="8">
        <v>15017965</v>
      </c>
      <c r="H5" s="8">
        <v>802093834</v>
      </c>
      <c r="I5" s="8" t="s">
        <v>181</v>
      </c>
      <c r="J5" s="8" t="s">
        <v>95</v>
      </c>
      <c r="K5" s="8" t="s">
        <v>1782</v>
      </c>
      <c r="L5" s="8" t="s">
        <v>1783</v>
      </c>
      <c r="M5" s="8" t="s">
        <v>1724</v>
      </c>
      <c r="N5" s="8" t="s">
        <v>1740</v>
      </c>
      <c r="O5" s="8">
        <v>214.673</v>
      </c>
      <c r="P5" s="8" t="s">
        <v>492</v>
      </c>
      <c r="Q5" s="8" t="s">
        <v>131</v>
      </c>
      <c r="R5" s="8" t="s">
        <v>185</v>
      </c>
      <c r="S5" s="8">
        <v>9</v>
      </c>
      <c r="T5" s="8" t="s">
        <v>87</v>
      </c>
      <c r="U5" s="8" t="s">
        <v>37</v>
      </c>
      <c r="V5" s="8" t="s">
        <v>155</v>
      </c>
      <c r="W5" s="29" t="s">
        <v>1785</v>
      </c>
      <c r="X5" s="29"/>
      <c r="Y5" s="29">
        <v>225</v>
      </c>
      <c r="Z5" s="29"/>
      <c r="AA5" s="29" t="s">
        <v>184</v>
      </c>
      <c r="AB5" s="29">
        <v>31</v>
      </c>
      <c r="AC5" s="23" t="str">
        <f t="shared" si="1"/>
        <v>01/08/2020</v>
      </c>
      <c r="AD5" s="23" t="str">
        <f t="shared" si="0"/>
        <v>18/08/2020</v>
      </c>
      <c r="AE5" s="8"/>
      <c r="AF5" s="8"/>
      <c r="AG5" s="8"/>
    </row>
    <row r="6" spans="1:33" x14ac:dyDescent="0.2">
      <c r="A6" s="8">
        <v>2501</v>
      </c>
      <c r="B6" s="16">
        <v>44027</v>
      </c>
      <c r="C6" s="8">
        <v>30012665</v>
      </c>
      <c r="D6" s="8" t="s">
        <v>102</v>
      </c>
      <c r="E6" s="8" t="s">
        <v>662</v>
      </c>
      <c r="F6" s="8" t="s">
        <v>663</v>
      </c>
      <c r="G6" s="8">
        <v>15017882</v>
      </c>
      <c r="H6" s="8">
        <v>802093910</v>
      </c>
      <c r="I6" s="8" t="s">
        <v>112</v>
      </c>
      <c r="J6" s="8" t="s">
        <v>32</v>
      </c>
      <c r="K6" s="8" t="s">
        <v>526</v>
      </c>
      <c r="L6" s="8" t="s">
        <v>527</v>
      </c>
      <c r="M6" s="8" t="s">
        <v>1703</v>
      </c>
      <c r="N6" s="8" t="s">
        <v>1722</v>
      </c>
      <c r="O6" s="8">
        <v>400.12299999999999</v>
      </c>
      <c r="P6" s="8" t="s">
        <v>114</v>
      </c>
      <c r="Q6" s="8" t="s">
        <v>131</v>
      </c>
      <c r="R6" s="8" t="s">
        <v>132</v>
      </c>
      <c r="S6" s="8">
        <v>0</v>
      </c>
      <c r="T6" s="8" t="s">
        <v>117</v>
      </c>
      <c r="U6" s="8" t="s">
        <v>37</v>
      </c>
      <c r="V6" s="8" t="s">
        <v>118</v>
      </c>
      <c r="W6" s="29"/>
      <c r="X6" s="29"/>
      <c r="Y6" s="29">
        <v>394</v>
      </c>
      <c r="Z6" s="29"/>
      <c r="AA6" s="29" t="s">
        <v>39</v>
      </c>
      <c r="AB6" s="29">
        <v>32</v>
      </c>
      <c r="AC6" s="23" t="str">
        <f t="shared" si="1"/>
        <v>04/08/2020</v>
      </c>
      <c r="AD6" s="23" t="str">
        <f t="shared" si="0"/>
        <v>11/08/2020</v>
      </c>
      <c r="AE6" s="8">
        <v>0</v>
      </c>
      <c r="AF6" s="8"/>
      <c r="AG6" s="8"/>
    </row>
    <row r="7" spans="1:33" x14ac:dyDescent="0.2">
      <c r="A7" s="8">
        <v>2501</v>
      </c>
      <c r="B7" s="16">
        <v>44042</v>
      </c>
      <c r="C7" s="8">
        <v>30012665</v>
      </c>
      <c r="D7" s="8" t="s">
        <v>28</v>
      </c>
      <c r="E7" s="8" t="s">
        <v>29</v>
      </c>
      <c r="F7" s="8" t="s">
        <v>30</v>
      </c>
      <c r="G7" s="8">
        <v>15017943</v>
      </c>
      <c r="H7" s="8">
        <v>802093921</v>
      </c>
      <c r="I7" s="8" t="s">
        <v>112</v>
      </c>
      <c r="J7" s="8" t="s">
        <v>32</v>
      </c>
      <c r="K7" s="8" t="s">
        <v>526</v>
      </c>
      <c r="L7" s="8" t="s">
        <v>527</v>
      </c>
      <c r="M7" s="8" t="s">
        <v>1703</v>
      </c>
      <c r="N7" s="8" t="s">
        <v>1723</v>
      </c>
      <c r="O7" s="8">
        <v>498.71499999999997</v>
      </c>
      <c r="P7" s="8" t="s">
        <v>114</v>
      </c>
      <c r="Q7" s="8" t="s">
        <v>115</v>
      </c>
      <c r="R7" s="8" t="s">
        <v>332</v>
      </c>
      <c r="S7" s="8">
        <v>0</v>
      </c>
      <c r="T7" s="8" t="s">
        <v>117</v>
      </c>
      <c r="U7" s="8" t="s">
        <v>37</v>
      </c>
      <c r="V7" s="8" t="s">
        <v>118</v>
      </c>
      <c r="W7" s="29"/>
      <c r="X7" s="29"/>
      <c r="Y7" s="29">
        <v>492</v>
      </c>
      <c r="Z7" s="29"/>
      <c r="AA7" s="29" t="s">
        <v>39</v>
      </c>
      <c r="AB7" s="29">
        <v>32</v>
      </c>
      <c r="AC7" s="23" t="str">
        <f t="shared" si="1"/>
        <v>04/08/2020</v>
      </c>
      <c r="AD7" s="23" t="str">
        <f t="shared" si="0"/>
        <v>03/09/2020</v>
      </c>
      <c r="AE7" s="8">
        <v>0</v>
      </c>
      <c r="AF7" s="8"/>
      <c r="AG7" s="8"/>
    </row>
    <row r="8" spans="1:33" x14ac:dyDescent="0.2">
      <c r="A8" s="8">
        <v>2501</v>
      </c>
      <c r="B8" s="16">
        <v>44042</v>
      </c>
      <c r="C8" s="8">
        <v>30012665</v>
      </c>
      <c r="D8" s="8" t="s">
        <v>28</v>
      </c>
      <c r="E8" s="8" t="s">
        <v>29</v>
      </c>
      <c r="F8" s="8" t="s">
        <v>30</v>
      </c>
      <c r="G8" s="8">
        <v>15017944</v>
      </c>
      <c r="H8" s="8">
        <v>802093922</v>
      </c>
      <c r="I8" s="8" t="s">
        <v>112</v>
      </c>
      <c r="J8" s="8" t="s">
        <v>32</v>
      </c>
      <c r="K8" s="8" t="s">
        <v>526</v>
      </c>
      <c r="L8" s="8" t="s">
        <v>527</v>
      </c>
      <c r="M8" s="8" t="s">
        <v>1703</v>
      </c>
      <c r="N8" s="8" t="s">
        <v>1723</v>
      </c>
      <c r="O8" s="8">
        <v>501.11</v>
      </c>
      <c r="P8" s="8" t="s">
        <v>114</v>
      </c>
      <c r="Q8" s="8" t="s">
        <v>115</v>
      </c>
      <c r="R8" s="8" t="s">
        <v>332</v>
      </c>
      <c r="S8" s="8">
        <v>0</v>
      </c>
      <c r="T8" s="8" t="s">
        <v>117</v>
      </c>
      <c r="U8" s="8" t="s">
        <v>37</v>
      </c>
      <c r="V8" s="8" t="s">
        <v>118</v>
      </c>
      <c r="W8" s="29"/>
      <c r="X8" s="29"/>
      <c r="Y8" s="29">
        <v>492</v>
      </c>
      <c r="Z8" s="29"/>
      <c r="AA8" s="29" t="s">
        <v>39</v>
      </c>
      <c r="AB8" s="29">
        <v>32</v>
      </c>
      <c r="AC8" s="23" t="str">
        <f t="shared" si="1"/>
        <v>04/08/2020</v>
      </c>
      <c r="AD8" s="23" t="str">
        <f t="shared" si="0"/>
        <v>03/09/2020</v>
      </c>
      <c r="AE8" s="8">
        <v>0</v>
      </c>
      <c r="AF8" s="8"/>
      <c r="AG8" s="8"/>
    </row>
    <row r="9" spans="1:33" x14ac:dyDescent="0.2">
      <c r="A9" s="8">
        <v>2501</v>
      </c>
      <c r="B9" s="16">
        <v>44042</v>
      </c>
      <c r="C9" s="8">
        <v>30012665</v>
      </c>
      <c r="D9" s="8" t="s">
        <v>28</v>
      </c>
      <c r="E9" s="8" t="s">
        <v>29</v>
      </c>
      <c r="F9" s="8" t="s">
        <v>30</v>
      </c>
      <c r="G9" s="8">
        <v>15017945</v>
      </c>
      <c r="H9" s="8">
        <v>802093923</v>
      </c>
      <c r="I9" s="8" t="s">
        <v>112</v>
      </c>
      <c r="J9" s="8" t="s">
        <v>32</v>
      </c>
      <c r="K9" s="8" t="s">
        <v>526</v>
      </c>
      <c r="L9" s="8" t="s">
        <v>527</v>
      </c>
      <c r="M9" s="8" t="s">
        <v>1703</v>
      </c>
      <c r="N9" s="8" t="s">
        <v>1723</v>
      </c>
      <c r="O9" s="8">
        <v>501.09300000000002</v>
      </c>
      <c r="P9" s="8" t="s">
        <v>114</v>
      </c>
      <c r="Q9" s="8" t="s">
        <v>115</v>
      </c>
      <c r="R9" s="8" t="s">
        <v>332</v>
      </c>
      <c r="S9" s="8">
        <v>0</v>
      </c>
      <c r="T9" s="8" t="s">
        <v>117</v>
      </c>
      <c r="U9" s="8" t="s">
        <v>37</v>
      </c>
      <c r="V9" s="8" t="s">
        <v>118</v>
      </c>
      <c r="W9" s="29"/>
      <c r="X9" s="29"/>
      <c r="Y9" s="29">
        <v>492</v>
      </c>
      <c r="Z9" s="29"/>
      <c r="AA9" s="29" t="s">
        <v>39</v>
      </c>
      <c r="AB9" s="29">
        <v>32</v>
      </c>
      <c r="AC9" s="23" t="str">
        <f t="shared" si="1"/>
        <v>04/08/2020</v>
      </c>
      <c r="AD9" s="23" t="str">
        <f t="shared" si="0"/>
        <v>03/09/2020</v>
      </c>
      <c r="AE9" s="8">
        <v>0</v>
      </c>
      <c r="AF9" s="8"/>
      <c r="AG9" s="8"/>
    </row>
    <row r="10" spans="1:33" hidden="1" x14ac:dyDescent="0.2">
      <c r="A10" s="8">
        <v>2504</v>
      </c>
      <c r="B10" s="16">
        <v>44073</v>
      </c>
      <c r="C10" s="8">
        <v>30012843</v>
      </c>
      <c r="D10" s="8" t="s">
        <v>91</v>
      </c>
      <c r="E10" s="8" t="s">
        <v>728</v>
      </c>
      <c r="F10" s="8" t="s">
        <v>729</v>
      </c>
      <c r="G10" s="8">
        <v>15018471</v>
      </c>
      <c r="H10" s="8">
        <v>802095161</v>
      </c>
      <c r="I10" s="8" t="s">
        <v>730</v>
      </c>
      <c r="J10" s="8" t="s">
        <v>58</v>
      </c>
      <c r="K10" s="8" t="s">
        <v>579</v>
      </c>
      <c r="L10" s="8" t="s">
        <v>1152</v>
      </c>
      <c r="M10" s="8" t="s">
        <v>1731</v>
      </c>
      <c r="N10" s="8" t="s">
        <v>1768</v>
      </c>
      <c r="O10" s="8">
        <v>205.744</v>
      </c>
      <c r="P10" s="8" t="s">
        <v>48</v>
      </c>
      <c r="Q10" s="8" t="s">
        <v>731</v>
      </c>
      <c r="R10" s="8" t="s">
        <v>732</v>
      </c>
      <c r="S10" s="8">
        <v>8</v>
      </c>
      <c r="T10" s="8" t="s">
        <v>72</v>
      </c>
      <c r="U10" s="8" t="s">
        <v>290</v>
      </c>
      <c r="V10" s="8" t="s">
        <v>65</v>
      </c>
      <c r="W10" s="29" t="s">
        <v>1672</v>
      </c>
      <c r="X10" s="29"/>
      <c r="Y10" s="29">
        <v>88</v>
      </c>
      <c r="Z10" s="29"/>
      <c r="AA10" s="29" t="s">
        <v>733</v>
      </c>
      <c r="AB10" s="29">
        <v>31</v>
      </c>
      <c r="AC10" s="23" t="str">
        <f t="shared" si="1"/>
        <v>01/09/2020</v>
      </c>
      <c r="AD10" s="23" t="str">
        <f t="shared" si="0"/>
        <v>20/10/2020</v>
      </c>
      <c r="AE10" s="8"/>
      <c r="AF10" s="8"/>
      <c r="AG10" s="8"/>
    </row>
    <row r="11" spans="1:33" hidden="1" x14ac:dyDescent="0.2">
      <c r="A11" s="8">
        <v>2504</v>
      </c>
      <c r="B11" s="16">
        <v>44027</v>
      </c>
      <c r="C11" s="8">
        <v>30012754</v>
      </c>
      <c r="D11" s="8" t="s">
        <v>91</v>
      </c>
      <c r="E11" s="8" t="s">
        <v>258</v>
      </c>
      <c r="F11" s="8" t="s">
        <v>1687</v>
      </c>
      <c r="G11" s="8">
        <v>15018197</v>
      </c>
      <c r="H11" s="8">
        <v>802094709</v>
      </c>
      <c r="I11" s="8" t="s">
        <v>77</v>
      </c>
      <c r="J11" s="8" t="s">
        <v>32</v>
      </c>
      <c r="K11" s="8" t="s">
        <v>743</v>
      </c>
      <c r="L11" s="8" t="s">
        <v>744</v>
      </c>
      <c r="M11" s="8" t="s">
        <v>1708</v>
      </c>
      <c r="N11" s="8" t="s">
        <v>1709</v>
      </c>
      <c r="O11" s="8">
        <v>498.36099999999999</v>
      </c>
      <c r="P11" s="8" t="s">
        <v>48</v>
      </c>
      <c r="Q11" s="8" t="s">
        <v>100</v>
      </c>
      <c r="R11" s="8" t="s">
        <v>1688</v>
      </c>
      <c r="S11" s="8">
        <v>20</v>
      </c>
      <c r="T11" s="8" t="s">
        <v>36</v>
      </c>
      <c r="U11" s="8" t="s">
        <v>37</v>
      </c>
      <c r="V11" s="8" t="s">
        <v>1710</v>
      </c>
      <c r="W11" s="29" t="s">
        <v>1689</v>
      </c>
      <c r="X11" s="29"/>
      <c r="Y11" s="29">
        <v>480</v>
      </c>
      <c r="Z11" s="29"/>
      <c r="AA11" s="29" t="s">
        <v>39</v>
      </c>
      <c r="AB11" s="29">
        <v>31</v>
      </c>
      <c r="AC11" s="23" t="str">
        <f t="shared" si="1"/>
        <v>02/08/2020</v>
      </c>
      <c r="AD11" s="23" t="str">
        <f t="shared" si="0"/>
        <v>21/08/2020</v>
      </c>
      <c r="AE11" s="8"/>
      <c r="AF11" s="8"/>
      <c r="AG11" s="8"/>
    </row>
    <row r="12" spans="1:33" hidden="1" x14ac:dyDescent="0.2">
      <c r="A12" s="8">
        <v>2504</v>
      </c>
      <c r="B12" s="16">
        <v>44027</v>
      </c>
      <c r="C12" s="8">
        <v>30012754</v>
      </c>
      <c r="D12" s="8" t="s">
        <v>91</v>
      </c>
      <c r="E12" s="8" t="s">
        <v>258</v>
      </c>
      <c r="F12" s="8" t="s">
        <v>1687</v>
      </c>
      <c r="G12" s="8">
        <v>15018198</v>
      </c>
      <c r="H12" s="8">
        <v>802094710</v>
      </c>
      <c r="I12" s="8" t="s">
        <v>77</v>
      </c>
      <c r="J12" s="8" t="s">
        <v>32</v>
      </c>
      <c r="K12" s="8" t="s">
        <v>743</v>
      </c>
      <c r="L12" s="8" t="s">
        <v>744</v>
      </c>
      <c r="M12" s="8" t="s">
        <v>1708</v>
      </c>
      <c r="N12" s="8" t="s">
        <v>1709</v>
      </c>
      <c r="O12" s="8">
        <v>497.79500000000002</v>
      </c>
      <c r="P12" s="8" t="s">
        <v>48</v>
      </c>
      <c r="Q12" s="8" t="s">
        <v>100</v>
      </c>
      <c r="R12" s="8" t="s">
        <v>1690</v>
      </c>
      <c r="S12" s="8">
        <v>20</v>
      </c>
      <c r="T12" s="8" t="s">
        <v>36</v>
      </c>
      <c r="U12" s="8" t="s">
        <v>37</v>
      </c>
      <c r="V12" s="8" t="s">
        <v>1710</v>
      </c>
      <c r="W12" s="29" t="s">
        <v>1691</v>
      </c>
      <c r="X12" s="29"/>
      <c r="Y12" s="29">
        <v>480</v>
      </c>
      <c r="Z12" s="29"/>
      <c r="AA12" s="29" t="s">
        <v>39</v>
      </c>
      <c r="AB12" s="29">
        <v>31</v>
      </c>
      <c r="AC12" s="23" t="str">
        <f t="shared" si="1"/>
        <v>02/08/2020</v>
      </c>
      <c r="AD12" s="23" t="str">
        <f t="shared" si="0"/>
        <v>21/08/2020</v>
      </c>
      <c r="AE12" s="8"/>
      <c r="AF12" s="8"/>
      <c r="AG12" s="8"/>
    </row>
    <row r="13" spans="1:33" hidden="1" x14ac:dyDescent="0.2">
      <c r="A13" s="8">
        <v>2504</v>
      </c>
      <c r="B13" s="16">
        <v>44043</v>
      </c>
      <c r="C13" s="8">
        <v>30012704</v>
      </c>
      <c r="D13" s="8" t="s">
        <v>62</v>
      </c>
      <c r="E13" s="8" t="s">
        <v>294</v>
      </c>
      <c r="F13" s="8" t="s">
        <v>295</v>
      </c>
      <c r="G13" s="8">
        <v>15017991</v>
      </c>
      <c r="H13" s="8">
        <v>802094010</v>
      </c>
      <c r="I13" s="8" t="s">
        <v>77</v>
      </c>
      <c r="J13" s="8" t="s">
        <v>32</v>
      </c>
      <c r="K13" s="8" t="s">
        <v>293</v>
      </c>
      <c r="L13" s="8" t="s">
        <v>512</v>
      </c>
      <c r="M13" s="8" t="s">
        <v>1708</v>
      </c>
      <c r="N13" s="8" t="s">
        <v>1727</v>
      </c>
      <c r="O13" s="8">
        <v>99.563999999999993</v>
      </c>
      <c r="P13" s="8" t="s">
        <v>48</v>
      </c>
      <c r="Q13" s="8" t="s">
        <v>1705</v>
      </c>
      <c r="R13" s="8" t="s">
        <v>60</v>
      </c>
      <c r="S13" s="8">
        <v>4</v>
      </c>
      <c r="T13" s="8" t="s">
        <v>36</v>
      </c>
      <c r="U13" s="8" t="s">
        <v>37</v>
      </c>
      <c r="V13" s="8" t="s">
        <v>1706</v>
      </c>
      <c r="W13" s="29" t="s">
        <v>614</v>
      </c>
      <c r="X13" s="29"/>
      <c r="Y13" s="29">
        <v>96</v>
      </c>
      <c r="Z13" s="29" t="s">
        <v>615</v>
      </c>
      <c r="AA13" s="29" t="s">
        <v>39</v>
      </c>
      <c r="AB13" s="29">
        <v>31</v>
      </c>
      <c r="AC13" s="23" t="str">
        <f t="shared" si="1"/>
        <v>02/08/2020</v>
      </c>
      <c r="AD13" s="23" t="str">
        <f t="shared" si="0"/>
        <v>20/08/2020</v>
      </c>
      <c r="AE13" s="8"/>
      <c r="AF13" s="8"/>
      <c r="AG13" s="8"/>
    </row>
    <row r="14" spans="1:33" x14ac:dyDescent="0.2">
      <c r="A14" s="8">
        <v>2501</v>
      </c>
      <c r="B14" s="16">
        <v>44042</v>
      </c>
      <c r="C14" s="8">
        <v>30012665</v>
      </c>
      <c r="D14" s="8" t="s">
        <v>28</v>
      </c>
      <c r="E14" s="8" t="s">
        <v>29</v>
      </c>
      <c r="F14" s="8" t="s">
        <v>30</v>
      </c>
      <c r="G14" s="8">
        <v>15017946</v>
      </c>
      <c r="H14" s="8">
        <v>802093924</v>
      </c>
      <c r="I14" s="8" t="s">
        <v>112</v>
      </c>
      <c r="J14" s="8" t="s">
        <v>32</v>
      </c>
      <c r="K14" s="8" t="s">
        <v>526</v>
      </c>
      <c r="L14" s="8" t="s">
        <v>527</v>
      </c>
      <c r="M14" s="8" t="s">
        <v>1703</v>
      </c>
      <c r="N14" s="8" t="s">
        <v>1723</v>
      </c>
      <c r="O14" s="8">
        <v>501.178</v>
      </c>
      <c r="P14" s="8" t="s">
        <v>114</v>
      </c>
      <c r="Q14" s="8" t="s">
        <v>115</v>
      </c>
      <c r="R14" s="8" t="s">
        <v>332</v>
      </c>
      <c r="S14" s="8">
        <v>0</v>
      </c>
      <c r="T14" s="8" t="s">
        <v>117</v>
      </c>
      <c r="U14" s="8" t="s">
        <v>37</v>
      </c>
      <c r="V14" s="8" t="s">
        <v>118</v>
      </c>
      <c r="W14" s="29"/>
      <c r="X14" s="29"/>
      <c r="Y14" s="29">
        <v>492</v>
      </c>
      <c r="Z14" s="29"/>
      <c r="AA14" s="29" t="s">
        <v>39</v>
      </c>
      <c r="AB14" s="29">
        <v>32</v>
      </c>
      <c r="AC14" s="23" t="str">
        <f t="shared" si="1"/>
        <v>04/08/2020</v>
      </c>
      <c r="AD14" s="23" t="str">
        <f t="shared" si="0"/>
        <v>03/09/2020</v>
      </c>
      <c r="AE14" s="8">
        <v>0</v>
      </c>
      <c r="AF14" s="8"/>
      <c r="AG14" s="8"/>
    </row>
    <row r="15" spans="1:33" hidden="1" x14ac:dyDescent="0.2">
      <c r="A15" s="8">
        <v>2504</v>
      </c>
      <c r="B15" s="16">
        <v>44043</v>
      </c>
      <c r="C15" s="8">
        <v>30012704</v>
      </c>
      <c r="D15" s="8" t="s">
        <v>62</v>
      </c>
      <c r="E15" s="8" t="s">
        <v>296</v>
      </c>
      <c r="F15" s="8" t="s">
        <v>297</v>
      </c>
      <c r="G15" s="8">
        <v>15018013</v>
      </c>
      <c r="H15" s="8">
        <v>802094011</v>
      </c>
      <c r="I15" s="8" t="s">
        <v>298</v>
      </c>
      <c r="J15" s="8" t="s">
        <v>58</v>
      </c>
      <c r="K15" s="8" t="s">
        <v>293</v>
      </c>
      <c r="L15" s="8" t="s">
        <v>512</v>
      </c>
      <c r="M15" s="8" t="s">
        <v>1708</v>
      </c>
      <c r="N15" s="8" t="s">
        <v>1727</v>
      </c>
      <c r="O15" s="8">
        <v>47.188000000000002</v>
      </c>
      <c r="P15" s="8" t="s">
        <v>48</v>
      </c>
      <c r="Q15" s="8" t="s">
        <v>1705</v>
      </c>
      <c r="R15" s="8" t="s">
        <v>60</v>
      </c>
      <c r="S15" s="8">
        <v>2</v>
      </c>
      <c r="T15" s="8" t="s">
        <v>61</v>
      </c>
      <c r="U15" s="8" t="s">
        <v>37</v>
      </c>
      <c r="V15" s="8" t="s">
        <v>1706</v>
      </c>
      <c r="W15" s="29" t="s">
        <v>618</v>
      </c>
      <c r="X15" s="29"/>
      <c r="Y15" s="29">
        <v>18</v>
      </c>
      <c r="Z15" s="29" t="s">
        <v>619</v>
      </c>
      <c r="AA15" s="29" t="s">
        <v>39</v>
      </c>
      <c r="AB15" s="29">
        <v>31</v>
      </c>
      <c r="AC15" s="23" t="str">
        <f t="shared" si="1"/>
        <v>02/08/2020</v>
      </c>
      <c r="AD15" s="23" t="str">
        <f t="shared" si="0"/>
        <v>20/08/2020</v>
      </c>
      <c r="AE15" s="8"/>
      <c r="AF15" s="8"/>
      <c r="AG15" s="8"/>
    </row>
    <row r="16" spans="1:33" hidden="1" x14ac:dyDescent="0.2">
      <c r="A16" s="8">
        <v>2504</v>
      </c>
      <c r="B16" s="16">
        <v>44042</v>
      </c>
      <c r="C16" s="8">
        <v>30012622</v>
      </c>
      <c r="D16" s="8" t="s">
        <v>74</v>
      </c>
      <c r="E16" s="8" t="s">
        <v>75</v>
      </c>
      <c r="F16" s="8" t="s">
        <v>76</v>
      </c>
      <c r="G16" s="8">
        <v>15017813</v>
      </c>
      <c r="H16" s="8">
        <v>802093686</v>
      </c>
      <c r="I16" s="8" t="s">
        <v>77</v>
      </c>
      <c r="J16" s="8" t="s">
        <v>32</v>
      </c>
      <c r="K16" s="8" t="s">
        <v>761</v>
      </c>
      <c r="L16" s="8" t="s">
        <v>762</v>
      </c>
      <c r="M16" s="8" t="s">
        <v>1716</v>
      </c>
      <c r="N16" s="8" t="s">
        <v>1717</v>
      </c>
      <c r="O16" s="8">
        <v>299.22000000000003</v>
      </c>
      <c r="P16" s="8" t="s">
        <v>48</v>
      </c>
      <c r="Q16" s="8" t="s">
        <v>78</v>
      </c>
      <c r="R16" s="8" t="s">
        <v>79</v>
      </c>
      <c r="S16" s="8">
        <v>12</v>
      </c>
      <c r="T16" s="8" t="s">
        <v>36</v>
      </c>
      <c r="U16" s="8" t="s">
        <v>37</v>
      </c>
      <c r="V16" s="8" t="s">
        <v>1718</v>
      </c>
      <c r="W16" s="29" t="s">
        <v>633</v>
      </c>
      <c r="X16" s="29"/>
      <c r="Y16" s="29">
        <v>288</v>
      </c>
      <c r="Z16" s="29"/>
      <c r="AA16" s="29" t="s">
        <v>39</v>
      </c>
      <c r="AB16" s="29">
        <v>31</v>
      </c>
      <c r="AC16" s="23" t="str">
        <f t="shared" si="1"/>
        <v>03/08/2020</v>
      </c>
      <c r="AD16" s="23" t="str">
        <f t="shared" si="0"/>
        <v>11/09/2020</v>
      </c>
      <c r="AE16" s="8"/>
      <c r="AF16" s="8"/>
      <c r="AG16" s="8"/>
    </row>
    <row r="17" spans="1:33" hidden="1" x14ac:dyDescent="0.2">
      <c r="A17" s="8">
        <v>2504</v>
      </c>
      <c r="B17" s="16">
        <v>44042</v>
      </c>
      <c r="C17" s="8">
        <v>30012622</v>
      </c>
      <c r="D17" s="8" t="s">
        <v>74</v>
      </c>
      <c r="E17" s="8" t="s">
        <v>75</v>
      </c>
      <c r="F17" s="8" t="s">
        <v>76</v>
      </c>
      <c r="G17" s="8">
        <v>15017814</v>
      </c>
      <c r="H17" s="8">
        <v>802093687</v>
      </c>
      <c r="I17" s="8" t="s">
        <v>77</v>
      </c>
      <c r="J17" s="8" t="s">
        <v>32</v>
      </c>
      <c r="K17" s="8" t="s">
        <v>761</v>
      </c>
      <c r="L17" s="8" t="s">
        <v>762</v>
      </c>
      <c r="M17" s="8" t="s">
        <v>1716</v>
      </c>
      <c r="N17" s="8" t="s">
        <v>1717</v>
      </c>
      <c r="O17" s="8">
        <v>223.82599999999999</v>
      </c>
      <c r="P17" s="8" t="s">
        <v>48</v>
      </c>
      <c r="Q17" s="8" t="s">
        <v>78</v>
      </c>
      <c r="R17" s="8" t="s">
        <v>79</v>
      </c>
      <c r="S17" s="8">
        <v>9</v>
      </c>
      <c r="T17" s="8" t="s">
        <v>36</v>
      </c>
      <c r="U17" s="8" t="s">
        <v>37</v>
      </c>
      <c r="V17" s="8" t="s">
        <v>1718</v>
      </c>
      <c r="W17" s="29" t="s">
        <v>636</v>
      </c>
      <c r="X17" s="29"/>
      <c r="Y17" s="29">
        <v>216</v>
      </c>
      <c r="Z17" s="29"/>
      <c r="AA17" s="29" t="s">
        <v>39</v>
      </c>
      <c r="AB17" s="29">
        <v>31</v>
      </c>
      <c r="AC17" s="23" t="str">
        <f t="shared" si="1"/>
        <v>03/08/2020</v>
      </c>
      <c r="AD17" s="23" t="str">
        <f t="shared" si="0"/>
        <v>11/09/2020</v>
      </c>
      <c r="AE17" s="8"/>
      <c r="AF17" s="8"/>
      <c r="AG17" s="8"/>
    </row>
    <row r="18" spans="1:33" hidden="1" x14ac:dyDescent="0.2">
      <c r="A18" s="8">
        <v>2504</v>
      </c>
      <c r="B18" s="16">
        <v>44042</v>
      </c>
      <c r="C18" s="8">
        <v>30012658</v>
      </c>
      <c r="D18" s="8" t="s">
        <v>91</v>
      </c>
      <c r="E18" s="8" t="s">
        <v>347</v>
      </c>
      <c r="F18" s="8" t="s">
        <v>348</v>
      </c>
      <c r="G18" s="8">
        <v>15017736</v>
      </c>
      <c r="H18" s="8">
        <v>802093675</v>
      </c>
      <c r="I18" s="8" t="s">
        <v>349</v>
      </c>
      <c r="J18" s="8" t="s">
        <v>58</v>
      </c>
      <c r="K18" s="8" t="s">
        <v>245</v>
      </c>
      <c r="L18" s="8" t="s">
        <v>547</v>
      </c>
      <c r="M18" s="8" t="s">
        <v>1716</v>
      </c>
      <c r="N18" s="8" t="s">
        <v>1719</v>
      </c>
      <c r="O18" s="8">
        <v>103.4</v>
      </c>
      <c r="P18" s="8" t="s">
        <v>48</v>
      </c>
      <c r="Q18" s="8" t="s">
        <v>100</v>
      </c>
      <c r="R18" s="8" t="s">
        <v>101</v>
      </c>
      <c r="S18" s="8">
        <v>4</v>
      </c>
      <c r="T18" s="8" t="s">
        <v>72</v>
      </c>
      <c r="U18" s="8" t="s">
        <v>37</v>
      </c>
      <c r="V18" s="8" t="s">
        <v>155</v>
      </c>
      <c r="W18" s="29" t="s">
        <v>548</v>
      </c>
      <c r="X18" s="29"/>
      <c r="Y18" s="29">
        <v>44</v>
      </c>
      <c r="Z18" s="29" t="s">
        <v>549</v>
      </c>
      <c r="AA18" s="29" t="s">
        <v>39</v>
      </c>
      <c r="AB18" s="29">
        <v>31</v>
      </c>
      <c r="AC18" s="23" t="str">
        <f t="shared" si="1"/>
        <v>03/08/2020</v>
      </c>
      <c r="AD18" s="23" t="str">
        <f t="shared" si="0"/>
        <v>14/08/2020</v>
      </c>
      <c r="AE18" s="8"/>
      <c r="AF18" s="8"/>
      <c r="AG18" s="8"/>
    </row>
    <row r="19" spans="1:33" hidden="1" x14ac:dyDescent="0.2">
      <c r="A19" s="8">
        <v>2504</v>
      </c>
      <c r="B19" s="16">
        <v>44027</v>
      </c>
      <c r="C19" s="8">
        <v>30012658</v>
      </c>
      <c r="D19" s="8" t="s">
        <v>91</v>
      </c>
      <c r="E19" s="8" t="s">
        <v>350</v>
      </c>
      <c r="F19" s="8" t="s">
        <v>351</v>
      </c>
      <c r="G19" s="8">
        <v>15017809</v>
      </c>
      <c r="H19" s="8">
        <v>802093684</v>
      </c>
      <c r="I19" s="8" t="s">
        <v>77</v>
      </c>
      <c r="J19" s="8" t="s">
        <v>32</v>
      </c>
      <c r="K19" s="8" t="s">
        <v>245</v>
      </c>
      <c r="L19" s="8" t="s">
        <v>547</v>
      </c>
      <c r="M19" s="8" t="s">
        <v>1716</v>
      </c>
      <c r="N19" s="8" t="s">
        <v>1719</v>
      </c>
      <c r="O19" s="8">
        <v>99.679000000000002</v>
      </c>
      <c r="P19" s="8" t="s">
        <v>48</v>
      </c>
      <c r="Q19" s="8" t="s">
        <v>100</v>
      </c>
      <c r="R19" s="8" t="s">
        <v>101</v>
      </c>
      <c r="S19" s="8">
        <v>4</v>
      </c>
      <c r="T19" s="8" t="s">
        <v>36</v>
      </c>
      <c r="U19" s="8" t="s">
        <v>37</v>
      </c>
      <c r="V19" s="8" t="s">
        <v>155</v>
      </c>
      <c r="W19" s="29" t="s">
        <v>552</v>
      </c>
      <c r="X19" s="29"/>
      <c r="Y19" s="29">
        <v>96</v>
      </c>
      <c r="Z19" s="29"/>
      <c r="AA19" s="29" t="s">
        <v>39</v>
      </c>
      <c r="AB19" s="29">
        <v>31</v>
      </c>
      <c r="AC19" s="23" t="str">
        <f t="shared" si="1"/>
        <v>03/08/2020</v>
      </c>
      <c r="AD19" s="23" t="str">
        <f t="shared" si="0"/>
        <v>14/08/2020</v>
      </c>
      <c r="AE19" s="8"/>
      <c r="AF19" s="8"/>
      <c r="AG19" s="8"/>
    </row>
    <row r="20" spans="1:33" hidden="1" x14ac:dyDescent="0.2">
      <c r="A20" s="8">
        <v>2504</v>
      </c>
      <c r="B20" s="16">
        <v>44032</v>
      </c>
      <c r="C20" s="8">
        <v>30012658</v>
      </c>
      <c r="D20" s="8" t="s">
        <v>91</v>
      </c>
      <c r="E20" s="8" t="s">
        <v>553</v>
      </c>
      <c r="F20" s="8" t="s">
        <v>554</v>
      </c>
      <c r="G20" s="8">
        <v>15017811</v>
      </c>
      <c r="H20" s="8">
        <v>802093685</v>
      </c>
      <c r="I20" s="8" t="s">
        <v>77</v>
      </c>
      <c r="J20" s="8" t="s">
        <v>32</v>
      </c>
      <c r="K20" s="8" t="s">
        <v>245</v>
      </c>
      <c r="L20" s="8" t="s">
        <v>547</v>
      </c>
      <c r="M20" s="8" t="s">
        <v>1716</v>
      </c>
      <c r="N20" s="8" t="s">
        <v>1719</v>
      </c>
      <c r="O20" s="8">
        <v>299.24599999999998</v>
      </c>
      <c r="P20" s="8" t="s">
        <v>48</v>
      </c>
      <c r="Q20" s="8" t="s">
        <v>100</v>
      </c>
      <c r="R20" s="8" t="s">
        <v>101</v>
      </c>
      <c r="S20" s="8">
        <v>12</v>
      </c>
      <c r="T20" s="8" t="s">
        <v>36</v>
      </c>
      <c r="U20" s="8" t="s">
        <v>37</v>
      </c>
      <c r="V20" s="8" t="s">
        <v>155</v>
      </c>
      <c r="W20" s="29" t="s">
        <v>557</v>
      </c>
      <c r="X20" s="29"/>
      <c r="Y20" s="29">
        <v>288</v>
      </c>
      <c r="Z20" s="29"/>
      <c r="AA20" s="29" t="s">
        <v>39</v>
      </c>
      <c r="AB20" s="29">
        <v>31</v>
      </c>
      <c r="AC20" s="23" t="str">
        <f t="shared" si="1"/>
        <v>03/08/2020</v>
      </c>
      <c r="AD20" s="23" t="str">
        <f t="shared" si="0"/>
        <v>14/08/2020</v>
      </c>
      <c r="AE20" s="8"/>
      <c r="AF20" s="8"/>
      <c r="AG20" s="8"/>
    </row>
    <row r="21" spans="1:33" hidden="1" x14ac:dyDescent="0.2">
      <c r="A21" s="8">
        <v>2504</v>
      </c>
      <c r="B21" s="16">
        <v>44032</v>
      </c>
      <c r="C21" s="8">
        <v>30012658</v>
      </c>
      <c r="D21" s="8" t="s">
        <v>102</v>
      </c>
      <c r="E21" s="8" t="s">
        <v>398</v>
      </c>
      <c r="F21" s="8" t="s">
        <v>399</v>
      </c>
      <c r="G21" s="8">
        <v>15017886</v>
      </c>
      <c r="H21" s="8">
        <v>802093854</v>
      </c>
      <c r="I21" s="8" t="s">
        <v>400</v>
      </c>
      <c r="J21" s="8" t="s">
        <v>58</v>
      </c>
      <c r="K21" s="8" t="s">
        <v>245</v>
      </c>
      <c r="L21" s="8" t="s">
        <v>547</v>
      </c>
      <c r="M21" s="8" t="s">
        <v>1716</v>
      </c>
      <c r="N21" s="8" t="s">
        <v>1720</v>
      </c>
      <c r="O21" s="8">
        <v>76.841999999999999</v>
      </c>
      <c r="P21" s="8" t="s">
        <v>48</v>
      </c>
      <c r="Q21" s="8" t="s">
        <v>401</v>
      </c>
      <c r="R21" s="8" t="s">
        <v>402</v>
      </c>
      <c r="S21" s="8">
        <v>4</v>
      </c>
      <c r="T21" s="8" t="s">
        <v>140</v>
      </c>
      <c r="U21" s="8" t="s">
        <v>37</v>
      </c>
      <c r="V21" s="8" t="s">
        <v>155</v>
      </c>
      <c r="W21" s="29" t="s">
        <v>560</v>
      </c>
      <c r="X21" s="29"/>
      <c r="Y21" s="29">
        <v>40</v>
      </c>
      <c r="Z21" s="29" t="s">
        <v>561</v>
      </c>
      <c r="AA21" s="29" t="s">
        <v>39</v>
      </c>
      <c r="AB21" s="29">
        <v>31</v>
      </c>
      <c r="AC21" s="23" t="str">
        <f t="shared" si="1"/>
        <v>03/08/2020</v>
      </c>
      <c r="AD21" s="23" t="str">
        <f t="shared" si="0"/>
        <v>22/08/2020</v>
      </c>
      <c r="AE21" s="8"/>
      <c r="AF21" s="8"/>
      <c r="AG21" s="8"/>
    </row>
    <row r="22" spans="1:33" hidden="1" x14ac:dyDescent="0.2">
      <c r="A22" s="8">
        <v>2504</v>
      </c>
      <c r="B22" s="16">
        <v>44017</v>
      </c>
      <c r="C22" s="8">
        <v>30012658</v>
      </c>
      <c r="D22" s="8" t="s">
        <v>44</v>
      </c>
      <c r="E22" s="8" t="s">
        <v>45</v>
      </c>
      <c r="F22" s="8" t="s">
        <v>299</v>
      </c>
      <c r="G22" s="8">
        <v>15017894</v>
      </c>
      <c r="H22" s="8">
        <v>802093855</v>
      </c>
      <c r="I22" s="8" t="s">
        <v>300</v>
      </c>
      <c r="J22" s="8" t="s">
        <v>58</v>
      </c>
      <c r="K22" s="8" t="s">
        <v>245</v>
      </c>
      <c r="L22" s="8" t="s">
        <v>547</v>
      </c>
      <c r="M22" s="8" t="s">
        <v>1716</v>
      </c>
      <c r="N22" s="8" t="s">
        <v>1721</v>
      </c>
      <c r="O22" s="8">
        <v>20.347999999999999</v>
      </c>
      <c r="P22" s="8" t="s">
        <v>48</v>
      </c>
      <c r="Q22" s="8" t="s">
        <v>85</v>
      </c>
      <c r="R22" s="8" t="s">
        <v>301</v>
      </c>
      <c r="S22" s="8">
        <v>1</v>
      </c>
      <c r="T22" s="8" t="s">
        <v>42</v>
      </c>
      <c r="U22" s="8" t="s">
        <v>37</v>
      </c>
      <c r="V22" s="8" t="s">
        <v>155</v>
      </c>
      <c r="W22" s="29" t="s">
        <v>564</v>
      </c>
      <c r="X22" s="29"/>
      <c r="Y22" s="29">
        <v>8</v>
      </c>
      <c r="Z22" s="29" t="s">
        <v>53</v>
      </c>
      <c r="AA22" s="29" t="s">
        <v>39</v>
      </c>
      <c r="AB22" s="29">
        <v>31</v>
      </c>
      <c r="AC22" s="23" t="str">
        <f t="shared" si="1"/>
        <v>03/08/2020</v>
      </c>
      <c r="AD22" s="23" t="str">
        <f t="shared" si="0"/>
        <v>25/08/2020</v>
      </c>
      <c r="AE22" s="8"/>
      <c r="AF22" s="8"/>
      <c r="AG22" s="8"/>
    </row>
    <row r="23" spans="1:33" x14ac:dyDescent="0.2">
      <c r="A23" s="8">
        <v>2501</v>
      </c>
      <c r="B23" s="16">
        <v>44017</v>
      </c>
      <c r="C23" s="8">
        <v>30012665</v>
      </c>
      <c r="D23" s="8" t="s">
        <v>91</v>
      </c>
      <c r="E23" s="8" t="s">
        <v>191</v>
      </c>
      <c r="F23" s="8" t="s">
        <v>192</v>
      </c>
      <c r="G23" s="8">
        <v>15018015</v>
      </c>
      <c r="H23" s="8">
        <v>802093995</v>
      </c>
      <c r="I23" s="8" t="s">
        <v>112</v>
      </c>
      <c r="J23" s="8" t="s">
        <v>32</v>
      </c>
      <c r="K23" s="8" t="s">
        <v>526</v>
      </c>
      <c r="L23" s="8" t="s">
        <v>527</v>
      </c>
      <c r="M23" s="8" t="s">
        <v>1703</v>
      </c>
      <c r="N23" s="8" t="s">
        <v>1714</v>
      </c>
      <c r="O23" s="8">
        <v>259.34500000000003</v>
      </c>
      <c r="P23" s="8" t="s">
        <v>114</v>
      </c>
      <c r="Q23" s="8" t="s">
        <v>182</v>
      </c>
      <c r="R23" s="8" t="s">
        <v>183</v>
      </c>
      <c r="S23" s="8">
        <v>0</v>
      </c>
      <c r="T23" s="8" t="s">
        <v>117</v>
      </c>
      <c r="U23" s="8" t="s">
        <v>37</v>
      </c>
      <c r="V23" s="8" t="s">
        <v>118</v>
      </c>
      <c r="W23" s="29"/>
      <c r="X23" s="29"/>
      <c r="Y23" s="29">
        <v>256</v>
      </c>
      <c r="Z23" s="29"/>
      <c r="AA23" s="29" t="s">
        <v>39</v>
      </c>
      <c r="AB23" s="29">
        <v>32</v>
      </c>
      <c r="AC23" s="23" t="str">
        <f t="shared" si="1"/>
        <v>04/08/2020</v>
      </c>
      <c r="AD23" s="23" t="str">
        <f t="shared" si="0"/>
        <v>15/08/2020</v>
      </c>
      <c r="AE23" s="8">
        <v>0</v>
      </c>
      <c r="AF23" s="8"/>
      <c r="AG23" s="8"/>
    </row>
    <row r="24" spans="1:33" x14ac:dyDescent="0.2">
      <c r="A24" s="8">
        <v>2501</v>
      </c>
      <c r="B24" s="16">
        <v>44027</v>
      </c>
      <c r="C24" s="8">
        <v>30012665</v>
      </c>
      <c r="D24" s="8" t="s">
        <v>102</v>
      </c>
      <c r="E24" s="8" t="s">
        <v>322</v>
      </c>
      <c r="F24" s="8" t="s">
        <v>331</v>
      </c>
      <c r="G24" s="8">
        <v>15018035</v>
      </c>
      <c r="H24" s="8">
        <v>802094029</v>
      </c>
      <c r="I24" s="8" t="s">
        <v>112</v>
      </c>
      <c r="J24" s="8" t="s">
        <v>32</v>
      </c>
      <c r="K24" s="8" t="s">
        <v>526</v>
      </c>
      <c r="L24" s="8" t="s">
        <v>527</v>
      </c>
      <c r="M24" s="8" t="s">
        <v>1703</v>
      </c>
      <c r="N24" s="8" t="s">
        <v>1722</v>
      </c>
      <c r="O24" s="8">
        <v>48.584000000000003</v>
      </c>
      <c r="P24" s="8" t="s">
        <v>114</v>
      </c>
      <c r="Q24" s="8" t="s">
        <v>131</v>
      </c>
      <c r="R24" s="8" t="s">
        <v>132</v>
      </c>
      <c r="S24" s="8">
        <v>0</v>
      </c>
      <c r="T24" s="8" t="s">
        <v>117</v>
      </c>
      <c r="U24" s="8" t="s">
        <v>37</v>
      </c>
      <c r="V24" s="8" t="s">
        <v>118</v>
      </c>
      <c r="W24" s="29"/>
      <c r="X24" s="29"/>
      <c r="Y24" s="29">
        <v>48</v>
      </c>
      <c r="Z24" s="29"/>
      <c r="AA24" s="29" t="s">
        <v>39</v>
      </c>
      <c r="AB24" s="29">
        <v>32</v>
      </c>
      <c r="AC24" s="23" t="str">
        <f t="shared" si="1"/>
        <v>04/08/2020</v>
      </c>
      <c r="AD24" s="23" t="str">
        <f t="shared" si="0"/>
        <v>11/08/2020</v>
      </c>
      <c r="AE24" s="8">
        <v>0</v>
      </c>
      <c r="AF24" s="8"/>
      <c r="AG24" s="8"/>
    </row>
    <row r="25" spans="1:33" x14ac:dyDescent="0.2">
      <c r="A25" s="8">
        <v>2501</v>
      </c>
      <c r="B25" s="16">
        <v>44042</v>
      </c>
      <c r="C25" s="8">
        <v>30012665</v>
      </c>
      <c r="D25" s="8" t="s">
        <v>28</v>
      </c>
      <c r="E25" s="8" t="s">
        <v>129</v>
      </c>
      <c r="F25" s="8" t="s">
        <v>130</v>
      </c>
      <c r="G25" s="8">
        <v>15018038</v>
      </c>
      <c r="H25" s="8">
        <v>802094043</v>
      </c>
      <c r="I25" s="8" t="s">
        <v>112</v>
      </c>
      <c r="J25" s="8" t="s">
        <v>32</v>
      </c>
      <c r="K25" s="8" t="s">
        <v>526</v>
      </c>
      <c r="L25" s="8" t="s">
        <v>527</v>
      </c>
      <c r="M25" s="8" t="s">
        <v>1703</v>
      </c>
      <c r="N25" s="8" t="s">
        <v>1719</v>
      </c>
      <c r="O25" s="8">
        <v>499.06299999999999</v>
      </c>
      <c r="P25" s="8" t="s">
        <v>114</v>
      </c>
      <c r="Q25" s="8" t="s">
        <v>85</v>
      </c>
      <c r="R25" s="8" t="s">
        <v>86</v>
      </c>
      <c r="S25" s="8">
        <v>0</v>
      </c>
      <c r="T25" s="8" t="s">
        <v>117</v>
      </c>
      <c r="U25" s="8" t="s">
        <v>37</v>
      </c>
      <c r="V25" s="8" t="s">
        <v>118</v>
      </c>
      <c r="W25" s="29"/>
      <c r="X25" s="29"/>
      <c r="Y25" s="29">
        <v>492</v>
      </c>
      <c r="Z25" s="29"/>
      <c r="AA25" s="29" t="s">
        <v>39</v>
      </c>
      <c r="AB25" s="29">
        <v>32</v>
      </c>
      <c r="AC25" s="23" t="str">
        <f t="shared" si="1"/>
        <v>04/08/2020</v>
      </c>
      <c r="AD25" s="23" t="str">
        <f t="shared" si="0"/>
        <v>14/08/2020</v>
      </c>
      <c r="AE25" s="8">
        <v>0</v>
      </c>
      <c r="AF25" s="8"/>
      <c r="AG25" s="8"/>
    </row>
    <row r="26" spans="1:33" x14ac:dyDescent="0.2">
      <c r="A26" s="8">
        <v>2501</v>
      </c>
      <c r="B26" s="16">
        <v>44042</v>
      </c>
      <c r="C26" s="8">
        <v>30012665</v>
      </c>
      <c r="D26" s="8" t="s">
        <v>28</v>
      </c>
      <c r="E26" s="8" t="s">
        <v>129</v>
      </c>
      <c r="F26" s="8" t="s">
        <v>130</v>
      </c>
      <c r="G26" s="8">
        <v>15018039</v>
      </c>
      <c r="H26" s="8">
        <v>802094044</v>
      </c>
      <c r="I26" s="8" t="s">
        <v>112</v>
      </c>
      <c r="J26" s="8" t="s">
        <v>32</v>
      </c>
      <c r="K26" s="8" t="s">
        <v>526</v>
      </c>
      <c r="L26" s="8" t="s">
        <v>527</v>
      </c>
      <c r="M26" s="8" t="s">
        <v>1703</v>
      </c>
      <c r="N26" s="8" t="s">
        <v>1719</v>
      </c>
      <c r="O26" s="8">
        <v>498.70499999999998</v>
      </c>
      <c r="P26" s="8" t="s">
        <v>114</v>
      </c>
      <c r="Q26" s="8" t="s">
        <v>85</v>
      </c>
      <c r="R26" s="8" t="s">
        <v>86</v>
      </c>
      <c r="S26" s="8">
        <v>0</v>
      </c>
      <c r="T26" s="8" t="s">
        <v>117</v>
      </c>
      <c r="U26" s="8" t="s">
        <v>37</v>
      </c>
      <c r="V26" s="8" t="s">
        <v>118</v>
      </c>
      <c r="W26" s="29"/>
      <c r="X26" s="29"/>
      <c r="Y26" s="29">
        <v>492</v>
      </c>
      <c r="Z26" s="29"/>
      <c r="AA26" s="29" t="s">
        <v>39</v>
      </c>
      <c r="AB26" s="29">
        <v>32</v>
      </c>
      <c r="AC26" s="23" t="str">
        <f t="shared" si="1"/>
        <v>04/08/2020</v>
      </c>
      <c r="AD26" s="23" t="str">
        <f t="shared" si="0"/>
        <v>14/08/2020</v>
      </c>
      <c r="AE26" s="8">
        <v>0</v>
      </c>
      <c r="AF26" s="8"/>
      <c r="AG26" s="8"/>
    </row>
    <row r="27" spans="1:33" x14ac:dyDescent="0.2">
      <c r="A27" s="8">
        <v>2501</v>
      </c>
      <c r="B27" s="16">
        <v>44042</v>
      </c>
      <c r="C27" s="8">
        <v>30012665</v>
      </c>
      <c r="D27" s="8" t="s">
        <v>28</v>
      </c>
      <c r="E27" s="8" t="s">
        <v>129</v>
      </c>
      <c r="F27" s="8" t="s">
        <v>130</v>
      </c>
      <c r="G27" s="8">
        <v>15018040</v>
      </c>
      <c r="H27" s="8">
        <v>802094045</v>
      </c>
      <c r="I27" s="8" t="s">
        <v>112</v>
      </c>
      <c r="J27" s="8" t="s">
        <v>32</v>
      </c>
      <c r="K27" s="8" t="s">
        <v>526</v>
      </c>
      <c r="L27" s="8" t="s">
        <v>527</v>
      </c>
      <c r="M27" s="8" t="s">
        <v>1703</v>
      </c>
      <c r="N27" s="8" t="s">
        <v>1719</v>
      </c>
      <c r="O27" s="8">
        <v>498.762</v>
      </c>
      <c r="P27" s="8" t="s">
        <v>114</v>
      </c>
      <c r="Q27" s="8" t="s">
        <v>85</v>
      </c>
      <c r="R27" s="8" t="s">
        <v>86</v>
      </c>
      <c r="S27" s="8">
        <v>0</v>
      </c>
      <c r="T27" s="8" t="s">
        <v>117</v>
      </c>
      <c r="U27" s="8" t="s">
        <v>37</v>
      </c>
      <c r="V27" s="8" t="s">
        <v>118</v>
      </c>
      <c r="W27" s="29"/>
      <c r="X27" s="29"/>
      <c r="Y27" s="29">
        <v>492</v>
      </c>
      <c r="Z27" s="29"/>
      <c r="AA27" s="29" t="s">
        <v>39</v>
      </c>
      <c r="AB27" s="29">
        <v>32</v>
      </c>
      <c r="AC27" s="23" t="str">
        <f t="shared" si="1"/>
        <v>04/08/2020</v>
      </c>
      <c r="AD27" s="23" t="str">
        <f t="shared" si="0"/>
        <v>14/08/2020</v>
      </c>
      <c r="AE27" s="8">
        <v>0</v>
      </c>
      <c r="AF27" s="8"/>
      <c r="AG27" s="8"/>
    </row>
    <row r="28" spans="1:33" x14ac:dyDescent="0.2">
      <c r="A28" s="8">
        <v>2501</v>
      </c>
      <c r="B28" s="16">
        <v>44042</v>
      </c>
      <c r="C28" s="8">
        <v>30012665</v>
      </c>
      <c r="D28" s="8" t="s">
        <v>28</v>
      </c>
      <c r="E28" s="8" t="s">
        <v>129</v>
      </c>
      <c r="F28" s="8" t="s">
        <v>130</v>
      </c>
      <c r="G28" s="8">
        <v>15018041</v>
      </c>
      <c r="H28" s="8">
        <v>802094046</v>
      </c>
      <c r="I28" s="8" t="s">
        <v>112</v>
      </c>
      <c r="J28" s="8" t="s">
        <v>32</v>
      </c>
      <c r="K28" s="8" t="s">
        <v>526</v>
      </c>
      <c r="L28" s="8" t="s">
        <v>527</v>
      </c>
      <c r="M28" s="8" t="s">
        <v>1703</v>
      </c>
      <c r="N28" s="8" t="s">
        <v>1719</v>
      </c>
      <c r="O28" s="8">
        <v>498.73500000000001</v>
      </c>
      <c r="P28" s="8" t="s">
        <v>114</v>
      </c>
      <c r="Q28" s="8" t="s">
        <v>85</v>
      </c>
      <c r="R28" s="8" t="s">
        <v>86</v>
      </c>
      <c r="S28" s="8">
        <v>0</v>
      </c>
      <c r="T28" s="8" t="s">
        <v>117</v>
      </c>
      <c r="U28" s="8" t="s">
        <v>37</v>
      </c>
      <c r="V28" s="8" t="s">
        <v>118</v>
      </c>
      <c r="W28" s="29"/>
      <c r="X28" s="29"/>
      <c r="Y28" s="29">
        <v>492</v>
      </c>
      <c r="Z28" s="29"/>
      <c r="AA28" s="29" t="s">
        <v>39</v>
      </c>
      <c r="AB28" s="29">
        <v>32</v>
      </c>
      <c r="AC28" s="23" t="str">
        <f t="shared" si="1"/>
        <v>04/08/2020</v>
      </c>
      <c r="AD28" s="23" t="str">
        <f t="shared" si="0"/>
        <v>14/08/2020</v>
      </c>
      <c r="AE28" s="8">
        <v>0</v>
      </c>
      <c r="AF28" s="8"/>
      <c r="AG28" s="8"/>
    </row>
    <row r="29" spans="1:33" x14ac:dyDescent="0.2">
      <c r="A29" s="8">
        <v>2501</v>
      </c>
      <c r="B29" s="16">
        <v>44027</v>
      </c>
      <c r="C29" s="8">
        <v>30012665</v>
      </c>
      <c r="D29" s="8" t="s">
        <v>102</v>
      </c>
      <c r="E29" s="8" t="s">
        <v>322</v>
      </c>
      <c r="F29" s="8" t="s">
        <v>687</v>
      </c>
      <c r="G29" s="8">
        <v>15018053</v>
      </c>
      <c r="H29" s="8">
        <v>802094083</v>
      </c>
      <c r="I29" s="8" t="s">
        <v>112</v>
      </c>
      <c r="J29" s="8" t="s">
        <v>32</v>
      </c>
      <c r="K29" s="8" t="s">
        <v>526</v>
      </c>
      <c r="L29" s="8" t="s">
        <v>527</v>
      </c>
      <c r="M29" s="8" t="s">
        <v>1703</v>
      </c>
      <c r="N29" s="8" t="s">
        <v>1722</v>
      </c>
      <c r="O29" s="8">
        <v>202.03700000000001</v>
      </c>
      <c r="P29" s="8" t="s">
        <v>114</v>
      </c>
      <c r="Q29" s="8" t="s">
        <v>131</v>
      </c>
      <c r="R29" s="8" t="s">
        <v>132</v>
      </c>
      <c r="S29" s="8">
        <v>0</v>
      </c>
      <c r="T29" s="8" t="s">
        <v>117</v>
      </c>
      <c r="U29" s="8" t="s">
        <v>37</v>
      </c>
      <c r="V29" s="8" t="s">
        <v>118</v>
      </c>
      <c r="W29" s="29"/>
      <c r="X29" s="29"/>
      <c r="Y29" s="29">
        <v>198</v>
      </c>
      <c r="Z29" s="29"/>
      <c r="AA29" s="29" t="s">
        <v>39</v>
      </c>
      <c r="AB29" s="29">
        <v>32</v>
      </c>
      <c r="AC29" s="23" t="str">
        <f t="shared" si="1"/>
        <v>04/08/2020</v>
      </c>
      <c r="AD29" s="23" t="str">
        <f t="shared" si="0"/>
        <v>11/08/2020</v>
      </c>
      <c r="AE29" s="8">
        <v>0</v>
      </c>
      <c r="AF29" s="8"/>
      <c r="AG29" s="8"/>
    </row>
    <row r="30" spans="1:33" x14ac:dyDescent="0.2">
      <c r="A30" s="8">
        <v>2501</v>
      </c>
      <c r="B30" s="16">
        <v>44043</v>
      </c>
      <c r="C30" s="8">
        <v>30012681</v>
      </c>
      <c r="D30" s="8" t="s">
        <v>54</v>
      </c>
      <c r="E30" s="8" t="s">
        <v>55</v>
      </c>
      <c r="F30" s="8" t="s">
        <v>56</v>
      </c>
      <c r="G30" s="8">
        <v>15017985</v>
      </c>
      <c r="H30" s="8">
        <v>802093925</v>
      </c>
      <c r="I30" s="8" t="s">
        <v>57</v>
      </c>
      <c r="J30" s="8" t="s">
        <v>58</v>
      </c>
      <c r="K30" s="8" t="s">
        <v>293</v>
      </c>
      <c r="L30" s="8" t="s">
        <v>512</v>
      </c>
      <c r="M30" s="8" t="s">
        <v>1703</v>
      </c>
      <c r="N30" s="8" t="s">
        <v>1704</v>
      </c>
      <c r="O30" s="8">
        <v>93.787999999999997</v>
      </c>
      <c r="P30" s="8" t="s">
        <v>33</v>
      </c>
      <c r="Q30" s="8" t="s">
        <v>1705</v>
      </c>
      <c r="R30" s="8" t="s">
        <v>60</v>
      </c>
      <c r="S30" s="8">
        <v>4</v>
      </c>
      <c r="T30" s="8" t="s">
        <v>61</v>
      </c>
      <c r="U30" s="8" t="s">
        <v>37</v>
      </c>
      <c r="V30" s="8" t="s">
        <v>1706</v>
      </c>
      <c r="W30" s="29" t="s">
        <v>640</v>
      </c>
      <c r="X30" s="29"/>
      <c r="Y30" s="29">
        <v>40</v>
      </c>
      <c r="Z30" s="29" t="s">
        <v>615</v>
      </c>
      <c r="AA30" s="29" t="s">
        <v>39</v>
      </c>
      <c r="AB30" s="29">
        <v>31</v>
      </c>
      <c r="AC30" s="23" t="str">
        <f t="shared" si="1"/>
        <v>04/08/2020</v>
      </c>
      <c r="AD30" s="23" t="str">
        <f t="shared" si="0"/>
        <v>12/08/2020</v>
      </c>
      <c r="AE30" s="8">
        <v>0</v>
      </c>
      <c r="AF30" s="8"/>
      <c r="AG30" s="8"/>
    </row>
    <row r="31" spans="1:33" x14ac:dyDescent="0.2">
      <c r="A31" s="8">
        <v>2501</v>
      </c>
      <c r="B31" s="16">
        <v>44043</v>
      </c>
      <c r="C31" s="8">
        <v>30012681</v>
      </c>
      <c r="D31" s="8" t="s">
        <v>62</v>
      </c>
      <c r="E31" s="8" t="s">
        <v>641</v>
      </c>
      <c r="F31" s="8" t="s">
        <v>642</v>
      </c>
      <c r="G31" s="8">
        <v>15017988</v>
      </c>
      <c r="H31" s="8">
        <v>802093928</v>
      </c>
      <c r="I31" s="8" t="s">
        <v>63</v>
      </c>
      <c r="J31" s="8" t="s">
        <v>64</v>
      </c>
      <c r="K31" s="8" t="s">
        <v>293</v>
      </c>
      <c r="L31" s="8" t="s">
        <v>512</v>
      </c>
      <c r="M31" s="8" t="s">
        <v>1703</v>
      </c>
      <c r="N31" s="8" t="s">
        <v>1704</v>
      </c>
      <c r="O31" s="8">
        <v>193.55</v>
      </c>
      <c r="P31" s="8" t="s">
        <v>33</v>
      </c>
      <c r="Q31" s="8" t="s">
        <v>1705</v>
      </c>
      <c r="R31" s="8" t="s">
        <v>60</v>
      </c>
      <c r="S31" s="8">
        <v>8</v>
      </c>
      <c r="T31" s="8" t="s">
        <v>36</v>
      </c>
      <c r="U31" s="8" t="s">
        <v>37</v>
      </c>
      <c r="V31" s="8" t="s">
        <v>1706</v>
      </c>
      <c r="W31" s="29" t="s">
        <v>645</v>
      </c>
      <c r="X31" s="29"/>
      <c r="Y31" s="29">
        <v>192</v>
      </c>
      <c r="Z31" s="29" t="s">
        <v>615</v>
      </c>
      <c r="AA31" s="29" t="s">
        <v>39</v>
      </c>
      <c r="AB31" s="29">
        <v>31</v>
      </c>
      <c r="AC31" s="23" t="str">
        <f t="shared" si="1"/>
        <v>04/08/2020</v>
      </c>
      <c r="AD31" s="23" t="str">
        <f t="shared" si="0"/>
        <v>12/08/2020</v>
      </c>
      <c r="AE31" s="8">
        <v>0</v>
      </c>
      <c r="AF31" s="8"/>
      <c r="AG31" s="8"/>
    </row>
    <row r="32" spans="1:33" x14ac:dyDescent="0.2">
      <c r="A32" s="8">
        <v>2501</v>
      </c>
      <c r="B32" s="16">
        <v>44043</v>
      </c>
      <c r="C32" s="8">
        <v>30012681</v>
      </c>
      <c r="D32" s="8" t="s">
        <v>54</v>
      </c>
      <c r="E32" s="8" t="s">
        <v>369</v>
      </c>
      <c r="F32" s="8" t="s">
        <v>370</v>
      </c>
      <c r="G32" s="8">
        <v>15017989</v>
      </c>
      <c r="H32" s="8">
        <v>802093929</v>
      </c>
      <c r="I32" s="8" t="s">
        <v>63</v>
      </c>
      <c r="J32" s="8" t="s">
        <v>64</v>
      </c>
      <c r="K32" s="8" t="s">
        <v>293</v>
      </c>
      <c r="L32" s="8" t="s">
        <v>512</v>
      </c>
      <c r="M32" s="8" t="s">
        <v>1703</v>
      </c>
      <c r="N32" s="8" t="s">
        <v>1704</v>
      </c>
      <c r="O32" s="8">
        <v>290.15199999999999</v>
      </c>
      <c r="P32" s="8" t="s">
        <v>33</v>
      </c>
      <c r="Q32" s="8" t="s">
        <v>1705</v>
      </c>
      <c r="R32" s="8" t="s">
        <v>60</v>
      </c>
      <c r="S32" s="8">
        <v>12</v>
      </c>
      <c r="T32" s="8" t="s">
        <v>36</v>
      </c>
      <c r="U32" s="8" t="s">
        <v>37</v>
      </c>
      <c r="V32" s="8" t="s">
        <v>1706</v>
      </c>
      <c r="W32" s="29" t="s">
        <v>648</v>
      </c>
      <c r="X32" s="29"/>
      <c r="Y32" s="29">
        <v>288</v>
      </c>
      <c r="Z32" s="29" t="s">
        <v>649</v>
      </c>
      <c r="AA32" s="29" t="s">
        <v>39</v>
      </c>
      <c r="AB32" s="29">
        <v>31</v>
      </c>
      <c r="AC32" s="23" t="str">
        <f t="shared" si="1"/>
        <v>04/08/2020</v>
      </c>
      <c r="AD32" s="23" t="str">
        <f t="shared" si="0"/>
        <v>12/08/2020</v>
      </c>
      <c r="AE32" s="8">
        <v>0</v>
      </c>
      <c r="AF32" s="8"/>
      <c r="AG32" s="8"/>
    </row>
    <row r="33" spans="1:33" x14ac:dyDescent="0.2">
      <c r="A33" s="8">
        <v>2501</v>
      </c>
      <c r="B33" s="16">
        <v>44043</v>
      </c>
      <c r="C33" s="8">
        <v>30012681</v>
      </c>
      <c r="D33" s="8" t="s">
        <v>54</v>
      </c>
      <c r="E33" s="8" t="s">
        <v>369</v>
      </c>
      <c r="F33" s="8" t="s">
        <v>370</v>
      </c>
      <c r="G33" s="8">
        <v>15017990</v>
      </c>
      <c r="H33" s="8">
        <v>802093930</v>
      </c>
      <c r="I33" s="8" t="s">
        <v>63</v>
      </c>
      <c r="J33" s="8" t="s">
        <v>64</v>
      </c>
      <c r="K33" s="8" t="s">
        <v>293</v>
      </c>
      <c r="L33" s="8" t="s">
        <v>512</v>
      </c>
      <c r="M33" s="8" t="s">
        <v>1703</v>
      </c>
      <c r="N33" s="8" t="s">
        <v>1704</v>
      </c>
      <c r="O33" s="8">
        <v>290.20699999999999</v>
      </c>
      <c r="P33" s="8" t="s">
        <v>33</v>
      </c>
      <c r="Q33" s="8" t="s">
        <v>1705</v>
      </c>
      <c r="R33" s="8" t="s">
        <v>60</v>
      </c>
      <c r="S33" s="8">
        <v>12</v>
      </c>
      <c r="T33" s="8" t="s">
        <v>36</v>
      </c>
      <c r="U33" s="8" t="s">
        <v>37</v>
      </c>
      <c r="V33" s="8" t="s">
        <v>1706</v>
      </c>
      <c r="W33" s="29" t="s">
        <v>652</v>
      </c>
      <c r="X33" s="29"/>
      <c r="Y33" s="29">
        <v>288</v>
      </c>
      <c r="Z33" s="29" t="s">
        <v>649</v>
      </c>
      <c r="AA33" s="29" t="s">
        <v>39</v>
      </c>
      <c r="AB33" s="29">
        <v>31</v>
      </c>
      <c r="AC33" s="23" t="str">
        <f t="shared" si="1"/>
        <v>04/08/2020</v>
      </c>
      <c r="AD33" s="23" t="str">
        <f t="shared" si="0"/>
        <v>12/08/2020</v>
      </c>
      <c r="AE33" s="8">
        <v>0</v>
      </c>
      <c r="AF33" s="8"/>
      <c r="AG33" s="8"/>
    </row>
    <row r="34" spans="1:33" x14ac:dyDescent="0.2">
      <c r="A34" s="8">
        <v>2501</v>
      </c>
      <c r="B34" s="16">
        <v>44037</v>
      </c>
      <c r="C34" s="8">
        <v>30012738</v>
      </c>
      <c r="D34" s="8" t="s">
        <v>365</v>
      </c>
      <c r="E34" s="8" t="s">
        <v>620</v>
      </c>
      <c r="F34" s="8" t="s">
        <v>621</v>
      </c>
      <c r="G34" s="8">
        <v>15018100</v>
      </c>
      <c r="H34" s="8">
        <v>802094175</v>
      </c>
      <c r="I34" s="8" t="s">
        <v>31</v>
      </c>
      <c r="J34" s="8" t="s">
        <v>32</v>
      </c>
      <c r="K34" s="8" t="s">
        <v>260</v>
      </c>
      <c r="L34" s="8" t="s">
        <v>518</v>
      </c>
      <c r="M34" s="8" t="s">
        <v>1713</v>
      </c>
      <c r="N34" s="8" t="s">
        <v>1714</v>
      </c>
      <c r="O34" s="8">
        <v>288.238</v>
      </c>
      <c r="P34" s="8" t="s">
        <v>33</v>
      </c>
      <c r="Q34" s="8" t="s">
        <v>159</v>
      </c>
      <c r="R34" s="8" t="s">
        <v>160</v>
      </c>
      <c r="S34" s="8">
        <v>11</v>
      </c>
      <c r="T34" s="8" t="s">
        <v>362</v>
      </c>
      <c r="U34" s="8" t="s">
        <v>37</v>
      </c>
      <c r="V34" s="8" t="s">
        <v>155</v>
      </c>
      <c r="W34" s="29" t="s">
        <v>726</v>
      </c>
      <c r="X34" s="29"/>
      <c r="Y34" s="29">
        <v>286</v>
      </c>
      <c r="Z34" s="29"/>
      <c r="AA34" s="29" t="s">
        <v>39</v>
      </c>
      <c r="AB34" s="29">
        <v>31</v>
      </c>
      <c r="AC34" s="23" t="str">
        <f t="shared" si="1"/>
        <v>06/08/2020</v>
      </c>
      <c r="AD34" s="23" t="s">
        <v>1715</v>
      </c>
      <c r="AE34" s="8">
        <v>0</v>
      </c>
      <c r="AF34" s="8">
        <v>13</v>
      </c>
      <c r="AG34" s="8"/>
    </row>
    <row r="35" spans="1:33" hidden="1" x14ac:dyDescent="0.2">
      <c r="A35" s="8">
        <v>2503</v>
      </c>
      <c r="B35" s="16">
        <v>44048</v>
      </c>
      <c r="C35" s="8">
        <v>30012761</v>
      </c>
      <c r="D35" s="8" t="s">
        <v>74</v>
      </c>
      <c r="E35" s="8" t="s">
        <v>75</v>
      </c>
      <c r="F35" s="8" t="s">
        <v>285</v>
      </c>
      <c r="G35" s="8">
        <v>15018166</v>
      </c>
      <c r="H35" s="8">
        <v>802094769</v>
      </c>
      <c r="I35" s="8" t="s">
        <v>491</v>
      </c>
      <c r="J35" s="8" t="s">
        <v>286</v>
      </c>
      <c r="K35" s="8" t="s">
        <v>773</v>
      </c>
      <c r="L35" s="8" t="s">
        <v>622</v>
      </c>
      <c r="M35" s="8" t="s">
        <v>1724</v>
      </c>
      <c r="N35" s="8" t="s">
        <v>1725</v>
      </c>
      <c r="O35" s="8">
        <v>19.577000000000002</v>
      </c>
      <c r="P35" s="8" t="s">
        <v>287</v>
      </c>
      <c r="Q35" s="8" t="s">
        <v>288</v>
      </c>
      <c r="R35" s="8" t="s">
        <v>289</v>
      </c>
      <c r="S35" s="8">
        <v>1</v>
      </c>
      <c r="T35" s="8" t="s">
        <v>87</v>
      </c>
      <c r="U35" s="8" t="s">
        <v>37</v>
      </c>
      <c r="V35" s="8" t="s">
        <v>65</v>
      </c>
      <c r="W35" s="29" t="s">
        <v>774</v>
      </c>
      <c r="X35" s="29"/>
      <c r="Y35" s="29">
        <v>19</v>
      </c>
      <c r="Z35" s="29" t="s">
        <v>592</v>
      </c>
      <c r="AA35" s="29" t="s">
        <v>109</v>
      </c>
      <c r="AB35" s="29">
        <v>31</v>
      </c>
      <c r="AC35" s="23" t="str">
        <f t="shared" si="1"/>
        <v>01/08/2020</v>
      </c>
      <c r="AD35" s="23" t="str">
        <f t="shared" ref="AD35:AD57" si="2">N35</f>
        <v>26/08/2020</v>
      </c>
      <c r="AE35" s="8">
        <v>0</v>
      </c>
      <c r="AF35" s="8">
        <v>0</v>
      </c>
      <c r="AG35" s="8"/>
    </row>
    <row r="36" spans="1:33" hidden="1" x14ac:dyDescent="0.2">
      <c r="A36" s="8">
        <v>2503</v>
      </c>
      <c r="B36" s="16">
        <v>44048</v>
      </c>
      <c r="C36" s="8">
        <v>30012761</v>
      </c>
      <c r="D36" s="8" t="s">
        <v>74</v>
      </c>
      <c r="E36" s="8" t="s">
        <v>75</v>
      </c>
      <c r="F36" s="8" t="s">
        <v>285</v>
      </c>
      <c r="G36" s="8">
        <v>15018167</v>
      </c>
      <c r="H36" s="8">
        <v>802094770</v>
      </c>
      <c r="I36" s="8" t="s">
        <v>222</v>
      </c>
      <c r="J36" s="8" t="s">
        <v>223</v>
      </c>
      <c r="K36" s="8" t="s">
        <v>773</v>
      </c>
      <c r="L36" s="8" t="s">
        <v>622</v>
      </c>
      <c r="M36" s="8" t="s">
        <v>1724</v>
      </c>
      <c r="N36" s="8" t="s">
        <v>1725</v>
      </c>
      <c r="O36" s="8">
        <v>19.617000000000001</v>
      </c>
      <c r="P36" s="8" t="s">
        <v>287</v>
      </c>
      <c r="Q36" s="8" t="s">
        <v>288</v>
      </c>
      <c r="R36" s="8" t="s">
        <v>289</v>
      </c>
      <c r="S36" s="8">
        <v>1</v>
      </c>
      <c r="T36" s="8" t="s">
        <v>87</v>
      </c>
      <c r="U36" s="8" t="s">
        <v>37</v>
      </c>
      <c r="V36" s="8" t="s">
        <v>65</v>
      </c>
      <c r="W36" s="29" t="s">
        <v>777</v>
      </c>
      <c r="X36" s="29"/>
      <c r="Y36" s="29">
        <v>19</v>
      </c>
      <c r="Z36" s="29" t="s">
        <v>592</v>
      </c>
      <c r="AA36" s="29" t="s">
        <v>109</v>
      </c>
      <c r="AB36" s="29">
        <v>31</v>
      </c>
      <c r="AC36" s="23" t="str">
        <f t="shared" si="1"/>
        <v>01/08/2020</v>
      </c>
      <c r="AD36" s="23" t="str">
        <f t="shared" si="2"/>
        <v>26/08/2020</v>
      </c>
      <c r="AE36" s="8">
        <v>0</v>
      </c>
      <c r="AF36" s="8">
        <v>0</v>
      </c>
      <c r="AG36" s="8"/>
    </row>
    <row r="37" spans="1:33" hidden="1" x14ac:dyDescent="0.2">
      <c r="A37" s="8">
        <v>2503</v>
      </c>
      <c r="B37" s="16">
        <v>44042</v>
      </c>
      <c r="C37" s="8">
        <v>30012636</v>
      </c>
      <c r="D37" s="8" t="s">
        <v>28</v>
      </c>
      <c r="E37" s="8" t="s">
        <v>98</v>
      </c>
      <c r="F37" s="8" t="s">
        <v>205</v>
      </c>
      <c r="G37" s="8">
        <v>15017923</v>
      </c>
      <c r="H37" s="8">
        <v>802093760</v>
      </c>
      <c r="I37" s="8" t="s">
        <v>31</v>
      </c>
      <c r="J37" s="8" t="s">
        <v>32</v>
      </c>
      <c r="K37" s="8" t="s">
        <v>752</v>
      </c>
      <c r="L37" s="8" t="s">
        <v>694</v>
      </c>
      <c r="M37" s="8" t="s">
        <v>1708</v>
      </c>
      <c r="N37" s="8" t="s">
        <v>1712</v>
      </c>
      <c r="O37" s="8">
        <v>494.37799999999999</v>
      </c>
      <c r="P37" s="8" t="s">
        <v>224</v>
      </c>
      <c r="Q37" s="8" t="s">
        <v>206</v>
      </c>
      <c r="R37" s="8" t="s">
        <v>35</v>
      </c>
      <c r="S37" s="8">
        <v>20</v>
      </c>
      <c r="T37" s="8" t="s">
        <v>87</v>
      </c>
      <c r="U37" s="8" t="s">
        <v>37</v>
      </c>
      <c r="V37" s="8" t="s">
        <v>88</v>
      </c>
      <c r="W37" s="29" t="s">
        <v>695</v>
      </c>
      <c r="X37" s="29"/>
      <c r="Y37" s="29">
        <v>480</v>
      </c>
      <c r="Z37" s="29"/>
      <c r="AA37" s="29" t="s">
        <v>39</v>
      </c>
      <c r="AB37" s="29">
        <v>31</v>
      </c>
      <c r="AC37" s="23" t="str">
        <f t="shared" si="1"/>
        <v>02/08/2020</v>
      </c>
      <c r="AD37" s="23" t="str">
        <f t="shared" si="2"/>
        <v>02/09/2020</v>
      </c>
      <c r="AE37" s="8">
        <v>0</v>
      </c>
      <c r="AF37" s="8">
        <v>0</v>
      </c>
      <c r="AG37" s="8"/>
    </row>
    <row r="38" spans="1:33" hidden="1" x14ac:dyDescent="0.2">
      <c r="A38" s="8">
        <v>2503</v>
      </c>
      <c r="B38" s="16">
        <v>44042</v>
      </c>
      <c r="C38" s="8">
        <v>30012636</v>
      </c>
      <c r="D38" s="8" t="s">
        <v>28</v>
      </c>
      <c r="E38" s="8" t="s">
        <v>98</v>
      </c>
      <c r="F38" s="8" t="s">
        <v>205</v>
      </c>
      <c r="G38" s="8">
        <v>15017924</v>
      </c>
      <c r="H38" s="8">
        <v>802093761</v>
      </c>
      <c r="I38" s="8" t="s">
        <v>31</v>
      </c>
      <c r="J38" s="8" t="s">
        <v>32</v>
      </c>
      <c r="K38" s="8" t="s">
        <v>752</v>
      </c>
      <c r="L38" s="8" t="s">
        <v>694</v>
      </c>
      <c r="M38" s="8" t="s">
        <v>1708</v>
      </c>
      <c r="N38" s="8" t="s">
        <v>1712</v>
      </c>
      <c r="O38" s="8">
        <v>494.75799999999998</v>
      </c>
      <c r="P38" s="8" t="s">
        <v>224</v>
      </c>
      <c r="Q38" s="8" t="s">
        <v>206</v>
      </c>
      <c r="R38" s="8" t="s">
        <v>35</v>
      </c>
      <c r="S38" s="8">
        <v>20</v>
      </c>
      <c r="T38" s="8" t="s">
        <v>87</v>
      </c>
      <c r="U38" s="8" t="s">
        <v>37</v>
      </c>
      <c r="V38" s="8" t="s">
        <v>88</v>
      </c>
      <c r="W38" s="29" t="s">
        <v>698</v>
      </c>
      <c r="X38" s="29"/>
      <c r="Y38" s="29">
        <v>480</v>
      </c>
      <c r="Z38" s="29"/>
      <c r="AA38" s="29" t="s">
        <v>39</v>
      </c>
      <c r="AB38" s="29">
        <v>31</v>
      </c>
      <c r="AC38" s="23" t="str">
        <f t="shared" si="1"/>
        <v>02/08/2020</v>
      </c>
      <c r="AD38" s="23" t="str">
        <f t="shared" si="2"/>
        <v>02/09/2020</v>
      </c>
      <c r="AE38" s="8">
        <v>0</v>
      </c>
      <c r="AF38" s="8">
        <v>0</v>
      </c>
      <c r="AG38" s="8"/>
    </row>
    <row r="39" spans="1:33" hidden="1" x14ac:dyDescent="0.2">
      <c r="A39" s="8">
        <v>2503</v>
      </c>
      <c r="B39" s="16">
        <v>44042</v>
      </c>
      <c r="C39" s="8">
        <v>30012636</v>
      </c>
      <c r="D39" s="8" t="s">
        <v>28</v>
      </c>
      <c r="E39" s="8" t="s">
        <v>98</v>
      </c>
      <c r="F39" s="8" t="s">
        <v>205</v>
      </c>
      <c r="G39" s="8">
        <v>15017925</v>
      </c>
      <c r="H39" s="8">
        <v>802093762</v>
      </c>
      <c r="I39" s="8" t="s">
        <v>31</v>
      </c>
      <c r="J39" s="8" t="s">
        <v>32</v>
      </c>
      <c r="K39" s="8" t="s">
        <v>752</v>
      </c>
      <c r="L39" s="8" t="s">
        <v>694</v>
      </c>
      <c r="M39" s="8" t="s">
        <v>1708</v>
      </c>
      <c r="N39" s="8" t="s">
        <v>1712</v>
      </c>
      <c r="O39" s="8">
        <v>494.24299999999999</v>
      </c>
      <c r="P39" s="8" t="s">
        <v>224</v>
      </c>
      <c r="Q39" s="8" t="s">
        <v>206</v>
      </c>
      <c r="R39" s="8" t="s">
        <v>35</v>
      </c>
      <c r="S39" s="8">
        <v>20</v>
      </c>
      <c r="T39" s="8" t="s">
        <v>87</v>
      </c>
      <c r="U39" s="8" t="s">
        <v>37</v>
      </c>
      <c r="V39" s="8" t="s">
        <v>88</v>
      </c>
      <c r="W39" s="29" t="s">
        <v>701</v>
      </c>
      <c r="X39" s="29"/>
      <c r="Y39" s="29">
        <v>480</v>
      </c>
      <c r="Z39" s="29"/>
      <c r="AA39" s="29" t="s">
        <v>39</v>
      </c>
      <c r="AB39" s="29">
        <v>31</v>
      </c>
      <c r="AC39" s="23" t="str">
        <f t="shared" si="1"/>
        <v>02/08/2020</v>
      </c>
      <c r="AD39" s="23" t="str">
        <f t="shared" si="2"/>
        <v>02/09/2020</v>
      </c>
      <c r="AE39" s="8">
        <v>0</v>
      </c>
      <c r="AF39" s="8">
        <v>0</v>
      </c>
      <c r="AG39" s="8"/>
    </row>
    <row r="40" spans="1:33" hidden="1" x14ac:dyDescent="0.2">
      <c r="A40" s="8">
        <v>2503</v>
      </c>
      <c r="B40" s="16">
        <v>44042</v>
      </c>
      <c r="C40" s="8">
        <v>30012636</v>
      </c>
      <c r="D40" s="8" t="s">
        <v>28</v>
      </c>
      <c r="E40" s="8" t="s">
        <v>98</v>
      </c>
      <c r="F40" s="8" t="s">
        <v>205</v>
      </c>
      <c r="G40" s="8">
        <v>15017926</v>
      </c>
      <c r="H40" s="8">
        <v>802093763</v>
      </c>
      <c r="I40" s="8" t="s">
        <v>31</v>
      </c>
      <c r="J40" s="8" t="s">
        <v>32</v>
      </c>
      <c r="K40" s="8" t="s">
        <v>752</v>
      </c>
      <c r="L40" s="8" t="s">
        <v>694</v>
      </c>
      <c r="M40" s="8" t="s">
        <v>1708</v>
      </c>
      <c r="N40" s="8" t="s">
        <v>1712</v>
      </c>
      <c r="O40" s="8">
        <v>495.041</v>
      </c>
      <c r="P40" s="8" t="s">
        <v>224</v>
      </c>
      <c r="Q40" s="8" t="s">
        <v>206</v>
      </c>
      <c r="R40" s="8" t="s">
        <v>35</v>
      </c>
      <c r="S40" s="8">
        <v>20</v>
      </c>
      <c r="T40" s="8" t="s">
        <v>87</v>
      </c>
      <c r="U40" s="8" t="s">
        <v>37</v>
      </c>
      <c r="V40" s="8" t="s">
        <v>88</v>
      </c>
      <c r="W40" s="29" t="s">
        <v>704</v>
      </c>
      <c r="X40" s="29"/>
      <c r="Y40" s="29">
        <v>480</v>
      </c>
      <c r="Z40" s="29"/>
      <c r="AA40" s="29" t="s">
        <v>39</v>
      </c>
      <c r="AB40" s="29">
        <v>31</v>
      </c>
      <c r="AC40" s="23" t="str">
        <f t="shared" si="1"/>
        <v>02/08/2020</v>
      </c>
      <c r="AD40" s="23" t="str">
        <f t="shared" si="2"/>
        <v>02/09/2020</v>
      </c>
      <c r="AE40" s="8">
        <v>0</v>
      </c>
      <c r="AF40" s="8">
        <v>0</v>
      </c>
      <c r="AG40" s="8"/>
    </row>
    <row r="41" spans="1:33" hidden="1" x14ac:dyDescent="0.2">
      <c r="A41" s="8">
        <v>2503</v>
      </c>
      <c r="B41" s="16">
        <v>44042</v>
      </c>
      <c r="C41" s="8">
        <v>30012636</v>
      </c>
      <c r="D41" s="8" t="s">
        <v>91</v>
      </c>
      <c r="E41" s="8" t="s">
        <v>745</v>
      </c>
      <c r="F41" s="8" t="s">
        <v>746</v>
      </c>
      <c r="G41" s="8">
        <v>15018202</v>
      </c>
      <c r="H41" s="8">
        <v>802094711</v>
      </c>
      <c r="I41" s="8" t="s">
        <v>747</v>
      </c>
      <c r="J41" s="8" t="s">
        <v>223</v>
      </c>
      <c r="K41" s="8" t="s">
        <v>752</v>
      </c>
      <c r="L41" s="8" t="s">
        <v>694</v>
      </c>
      <c r="M41" s="8" t="s">
        <v>1708</v>
      </c>
      <c r="N41" s="8" t="s">
        <v>1726</v>
      </c>
      <c r="O41" s="8">
        <v>429.04500000000002</v>
      </c>
      <c r="P41" s="8" t="s">
        <v>224</v>
      </c>
      <c r="Q41" s="8" t="s">
        <v>748</v>
      </c>
      <c r="R41" s="8" t="s">
        <v>749</v>
      </c>
      <c r="S41" s="8">
        <v>16</v>
      </c>
      <c r="T41" s="8" t="s">
        <v>87</v>
      </c>
      <c r="U41" s="8" t="s">
        <v>37</v>
      </c>
      <c r="V41" s="8" t="s">
        <v>88</v>
      </c>
      <c r="W41" s="29" t="s">
        <v>750</v>
      </c>
      <c r="X41" s="29"/>
      <c r="Y41" s="29">
        <v>416</v>
      </c>
      <c r="Z41" s="29"/>
      <c r="AA41" s="29" t="s">
        <v>39</v>
      </c>
      <c r="AB41" s="29">
        <v>31</v>
      </c>
      <c r="AC41" s="23" t="str">
        <f t="shared" si="1"/>
        <v>02/08/2020</v>
      </c>
      <c r="AD41" s="23" t="str">
        <f t="shared" si="2"/>
        <v>05/10/2020</v>
      </c>
      <c r="AE41" s="8">
        <v>0</v>
      </c>
      <c r="AF41" s="8">
        <v>0</v>
      </c>
      <c r="AG41" s="8"/>
    </row>
    <row r="42" spans="1:33" hidden="1" x14ac:dyDescent="0.2">
      <c r="A42" s="8">
        <v>2504</v>
      </c>
      <c r="B42" s="16">
        <v>44017</v>
      </c>
      <c r="C42" s="8">
        <v>30012658</v>
      </c>
      <c r="D42" s="8" t="s">
        <v>44</v>
      </c>
      <c r="E42" s="8" t="s">
        <v>45</v>
      </c>
      <c r="F42" s="8" t="s">
        <v>299</v>
      </c>
      <c r="G42" s="8">
        <v>15018094</v>
      </c>
      <c r="H42" s="8">
        <v>802094168</v>
      </c>
      <c r="I42" s="8" t="s">
        <v>567</v>
      </c>
      <c r="J42" s="8" t="s">
        <v>58</v>
      </c>
      <c r="K42" s="8" t="s">
        <v>245</v>
      </c>
      <c r="L42" s="8" t="s">
        <v>547</v>
      </c>
      <c r="M42" s="8" t="s">
        <v>1716</v>
      </c>
      <c r="N42" s="8" t="s">
        <v>1721</v>
      </c>
      <c r="O42" s="8">
        <v>102.004</v>
      </c>
      <c r="P42" s="8" t="s">
        <v>48</v>
      </c>
      <c r="Q42" s="8" t="s">
        <v>85</v>
      </c>
      <c r="R42" s="8" t="s">
        <v>301</v>
      </c>
      <c r="S42" s="8">
        <v>5</v>
      </c>
      <c r="T42" s="8" t="s">
        <v>42</v>
      </c>
      <c r="U42" s="8" t="s">
        <v>37</v>
      </c>
      <c r="V42" s="8" t="s">
        <v>155</v>
      </c>
      <c r="W42" s="29" t="s">
        <v>568</v>
      </c>
      <c r="X42" s="29"/>
      <c r="Y42" s="29">
        <v>50</v>
      </c>
      <c r="Z42" s="29" t="s">
        <v>53</v>
      </c>
      <c r="AA42" s="29" t="s">
        <v>39</v>
      </c>
      <c r="AB42" s="29">
        <v>31</v>
      </c>
      <c r="AC42" s="23" t="str">
        <f t="shared" si="1"/>
        <v>03/08/2020</v>
      </c>
      <c r="AD42" s="23" t="str">
        <f t="shared" si="2"/>
        <v>25/08/2020</v>
      </c>
      <c r="AE42" s="8"/>
      <c r="AF42" s="8"/>
      <c r="AG42" s="8"/>
    </row>
    <row r="43" spans="1:33" hidden="1" x14ac:dyDescent="0.2">
      <c r="A43" s="8">
        <v>2504</v>
      </c>
      <c r="B43" s="16">
        <v>44042</v>
      </c>
      <c r="C43" s="8">
        <v>30012702</v>
      </c>
      <c r="D43" s="8" t="s">
        <v>28</v>
      </c>
      <c r="E43" s="8" t="s">
        <v>29</v>
      </c>
      <c r="F43" s="8" t="s">
        <v>397</v>
      </c>
      <c r="G43" s="8">
        <v>15017938</v>
      </c>
      <c r="H43" s="8">
        <v>802093861</v>
      </c>
      <c r="I43" s="8" t="s">
        <v>77</v>
      </c>
      <c r="J43" s="8" t="s">
        <v>32</v>
      </c>
      <c r="K43" s="8" t="s">
        <v>260</v>
      </c>
      <c r="L43" s="8" t="s">
        <v>518</v>
      </c>
      <c r="M43" s="8" t="s">
        <v>1716</v>
      </c>
      <c r="N43" s="8" t="s">
        <v>1707</v>
      </c>
      <c r="O43" s="8">
        <v>498.19200000000001</v>
      </c>
      <c r="P43" s="8" t="s">
        <v>48</v>
      </c>
      <c r="Q43" s="8" t="s">
        <v>405</v>
      </c>
      <c r="R43" s="8" t="s">
        <v>406</v>
      </c>
      <c r="S43" s="8">
        <v>20</v>
      </c>
      <c r="T43" s="8" t="s">
        <v>36</v>
      </c>
      <c r="U43" s="8" t="s">
        <v>37</v>
      </c>
      <c r="V43" s="8" t="s">
        <v>1710</v>
      </c>
      <c r="W43" s="29" t="s">
        <v>657</v>
      </c>
      <c r="X43" s="29"/>
      <c r="Y43" s="29">
        <v>480</v>
      </c>
      <c r="Z43" s="29"/>
      <c r="AA43" s="29" t="s">
        <v>39</v>
      </c>
      <c r="AB43" s="29">
        <v>31</v>
      </c>
      <c r="AC43" s="23" t="str">
        <f t="shared" si="1"/>
        <v>03/08/2020</v>
      </c>
      <c r="AD43" s="23" t="str">
        <f t="shared" si="2"/>
        <v>16/08/2020</v>
      </c>
      <c r="AE43" s="8"/>
      <c r="AF43" s="8"/>
      <c r="AG43" s="8"/>
    </row>
    <row r="44" spans="1:33" hidden="1" x14ac:dyDescent="0.2">
      <c r="A44" s="8">
        <v>2504</v>
      </c>
      <c r="B44" s="16">
        <v>44042</v>
      </c>
      <c r="C44" s="8">
        <v>30012702</v>
      </c>
      <c r="D44" s="8" t="s">
        <v>28</v>
      </c>
      <c r="E44" s="8" t="s">
        <v>29</v>
      </c>
      <c r="F44" s="8" t="s">
        <v>397</v>
      </c>
      <c r="G44" s="8">
        <v>15017939</v>
      </c>
      <c r="H44" s="8">
        <v>802093862</v>
      </c>
      <c r="I44" s="8" t="s">
        <v>77</v>
      </c>
      <c r="J44" s="8" t="s">
        <v>32</v>
      </c>
      <c r="K44" s="8" t="s">
        <v>260</v>
      </c>
      <c r="L44" s="8" t="s">
        <v>518</v>
      </c>
      <c r="M44" s="8" t="s">
        <v>1716</v>
      </c>
      <c r="N44" s="8" t="s">
        <v>1707</v>
      </c>
      <c r="O44" s="8">
        <v>497.62299999999999</v>
      </c>
      <c r="P44" s="8" t="s">
        <v>48</v>
      </c>
      <c r="Q44" s="8" t="s">
        <v>405</v>
      </c>
      <c r="R44" s="8" t="s">
        <v>406</v>
      </c>
      <c r="S44" s="8">
        <v>20</v>
      </c>
      <c r="T44" s="8" t="s">
        <v>36</v>
      </c>
      <c r="U44" s="8" t="s">
        <v>37</v>
      </c>
      <c r="V44" s="8" t="s">
        <v>1710</v>
      </c>
      <c r="W44" s="29" t="s">
        <v>660</v>
      </c>
      <c r="X44" s="29"/>
      <c r="Y44" s="29">
        <v>480</v>
      </c>
      <c r="Z44" s="29"/>
      <c r="AA44" s="29" t="s">
        <v>39</v>
      </c>
      <c r="AB44" s="29">
        <v>31</v>
      </c>
      <c r="AC44" s="23" t="str">
        <f t="shared" si="1"/>
        <v>03/08/2020</v>
      </c>
      <c r="AD44" s="23" t="str">
        <f t="shared" si="2"/>
        <v>16/08/2020</v>
      </c>
      <c r="AE44" s="8"/>
      <c r="AF44" s="8"/>
      <c r="AG44" s="8"/>
    </row>
    <row r="45" spans="1:33" hidden="1" x14ac:dyDescent="0.2">
      <c r="A45" s="8">
        <v>2504</v>
      </c>
      <c r="B45" s="16">
        <v>44055</v>
      </c>
      <c r="C45" s="8">
        <v>30012812</v>
      </c>
      <c r="D45" s="8" t="s">
        <v>62</v>
      </c>
      <c r="E45" s="8" t="s">
        <v>167</v>
      </c>
      <c r="F45" s="8" t="s">
        <v>168</v>
      </c>
      <c r="G45" s="8">
        <v>15018190</v>
      </c>
      <c r="H45" s="8">
        <v>802094728</v>
      </c>
      <c r="I45" s="8" t="s">
        <v>77</v>
      </c>
      <c r="J45" s="8" t="s">
        <v>32</v>
      </c>
      <c r="K45" s="8" t="s">
        <v>796</v>
      </c>
      <c r="L45" s="8" t="s">
        <v>797</v>
      </c>
      <c r="M45" s="8" t="s">
        <v>1703</v>
      </c>
      <c r="N45" s="8" t="s">
        <v>1712</v>
      </c>
      <c r="O45" s="8">
        <v>199.375</v>
      </c>
      <c r="P45" s="8" t="s">
        <v>48</v>
      </c>
      <c r="Q45" s="8" t="s">
        <v>498</v>
      </c>
      <c r="R45" s="8" t="s">
        <v>169</v>
      </c>
      <c r="S45" s="8">
        <v>8</v>
      </c>
      <c r="T45" s="8" t="s">
        <v>36</v>
      </c>
      <c r="U45" s="8" t="s">
        <v>37</v>
      </c>
      <c r="V45" s="8" t="s">
        <v>1706</v>
      </c>
      <c r="W45" s="29" t="s">
        <v>798</v>
      </c>
      <c r="X45" s="29"/>
      <c r="Y45" s="29">
        <v>192</v>
      </c>
      <c r="Z45" s="29" t="s">
        <v>799</v>
      </c>
      <c r="AA45" s="29" t="s">
        <v>39</v>
      </c>
      <c r="AB45" s="29">
        <v>31</v>
      </c>
      <c r="AC45" s="23" t="str">
        <f t="shared" si="1"/>
        <v>04/08/2020</v>
      </c>
      <c r="AD45" s="23" t="str">
        <f t="shared" si="2"/>
        <v>02/09/2020</v>
      </c>
      <c r="AE45" s="8"/>
      <c r="AF45" s="8"/>
      <c r="AG45" s="8"/>
    </row>
    <row r="46" spans="1:33" x14ac:dyDescent="0.2">
      <c r="A46" s="8">
        <v>2501</v>
      </c>
      <c r="B46" s="16">
        <v>44027</v>
      </c>
      <c r="C46" s="8">
        <v>30012670</v>
      </c>
      <c r="D46" s="8" t="s">
        <v>62</v>
      </c>
      <c r="E46" s="8" t="s">
        <v>217</v>
      </c>
      <c r="F46" s="8" t="s">
        <v>218</v>
      </c>
      <c r="G46" s="8">
        <v>15017843</v>
      </c>
      <c r="H46" s="8">
        <v>802093896</v>
      </c>
      <c r="I46" s="8" t="s">
        <v>31</v>
      </c>
      <c r="J46" s="8" t="s">
        <v>32</v>
      </c>
      <c r="K46" s="8" t="s">
        <v>240</v>
      </c>
      <c r="L46" s="8" t="s">
        <v>586</v>
      </c>
      <c r="M46" s="8" t="s">
        <v>1697</v>
      </c>
      <c r="N46" s="8" t="s">
        <v>1698</v>
      </c>
      <c r="O46" s="8">
        <v>509.70499999999998</v>
      </c>
      <c r="P46" s="8" t="s">
        <v>33</v>
      </c>
      <c r="Q46" s="8" t="s">
        <v>206</v>
      </c>
      <c r="R46" s="8" t="s">
        <v>35</v>
      </c>
      <c r="S46" s="8">
        <v>21</v>
      </c>
      <c r="T46" s="8" t="s">
        <v>36</v>
      </c>
      <c r="U46" s="8" t="s">
        <v>37</v>
      </c>
      <c r="V46" s="8" t="s">
        <v>1699</v>
      </c>
      <c r="W46" s="29" t="s">
        <v>602</v>
      </c>
      <c r="X46" s="29"/>
      <c r="Y46" s="29">
        <v>504</v>
      </c>
      <c r="Z46" s="29"/>
      <c r="AA46" s="29" t="s">
        <v>39</v>
      </c>
      <c r="AB46" s="29">
        <v>31</v>
      </c>
      <c r="AC46" s="23">
        <v>44050</v>
      </c>
      <c r="AD46" s="23" t="str">
        <f t="shared" si="2"/>
        <v>17/08/2020</v>
      </c>
      <c r="AE46" s="8">
        <v>0</v>
      </c>
      <c r="AF46" s="8"/>
      <c r="AG46" s="8"/>
    </row>
    <row r="47" spans="1:33" x14ac:dyDescent="0.2">
      <c r="A47" s="8">
        <v>2501</v>
      </c>
      <c r="B47" s="16">
        <v>44027</v>
      </c>
      <c r="C47" s="8">
        <v>30012688</v>
      </c>
      <c r="D47" s="8" t="s">
        <v>62</v>
      </c>
      <c r="E47" s="8" t="s">
        <v>217</v>
      </c>
      <c r="F47" s="8" t="s">
        <v>218</v>
      </c>
      <c r="G47" s="8">
        <v>15017848</v>
      </c>
      <c r="H47" s="8">
        <v>802093901</v>
      </c>
      <c r="I47" s="8" t="s">
        <v>31</v>
      </c>
      <c r="J47" s="8" t="s">
        <v>32</v>
      </c>
      <c r="K47" s="8" t="s">
        <v>240</v>
      </c>
      <c r="L47" s="8" t="s">
        <v>586</v>
      </c>
      <c r="M47" s="8" t="s">
        <v>1697</v>
      </c>
      <c r="N47" s="8" t="s">
        <v>1698</v>
      </c>
      <c r="O47" s="8">
        <v>484.45100000000002</v>
      </c>
      <c r="P47" s="8" t="s">
        <v>33</v>
      </c>
      <c r="Q47" s="8" t="s">
        <v>206</v>
      </c>
      <c r="R47" s="8" t="s">
        <v>35</v>
      </c>
      <c r="S47" s="8">
        <v>20</v>
      </c>
      <c r="T47" s="8" t="s">
        <v>36</v>
      </c>
      <c r="U47" s="8" t="s">
        <v>37</v>
      </c>
      <c r="V47" s="8" t="s">
        <v>1702</v>
      </c>
      <c r="W47" s="29" t="s">
        <v>606</v>
      </c>
      <c r="X47" s="29"/>
      <c r="Y47" s="29">
        <v>480</v>
      </c>
      <c r="Z47" s="29"/>
      <c r="AA47" s="29" t="s">
        <v>39</v>
      </c>
      <c r="AB47" s="29">
        <v>31</v>
      </c>
      <c r="AC47" s="23">
        <v>44050</v>
      </c>
      <c r="AD47" s="23" t="str">
        <f t="shared" si="2"/>
        <v>17/08/2020</v>
      </c>
      <c r="AE47" s="8">
        <v>0</v>
      </c>
      <c r="AF47" s="8"/>
      <c r="AG47" s="8"/>
    </row>
    <row r="48" spans="1:33" hidden="1" x14ac:dyDescent="0.2">
      <c r="A48" s="8">
        <v>2504</v>
      </c>
      <c r="B48" s="16">
        <v>44073</v>
      </c>
      <c r="C48" s="8">
        <v>30012812</v>
      </c>
      <c r="D48" s="8" t="s">
        <v>91</v>
      </c>
      <c r="E48" s="8" t="s">
        <v>164</v>
      </c>
      <c r="F48" s="8" t="s">
        <v>165</v>
      </c>
      <c r="G48" s="8">
        <v>15018193</v>
      </c>
      <c r="H48" s="8">
        <v>802094731</v>
      </c>
      <c r="I48" s="8" t="s">
        <v>77</v>
      </c>
      <c r="J48" s="8" t="s">
        <v>32</v>
      </c>
      <c r="K48" s="8" t="s">
        <v>796</v>
      </c>
      <c r="L48" s="8" t="s">
        <v>797</v>
      </c>
      <c r="M48" s="8" t="s">
        <v>1703</v>
      </c>
      <c r="N48" s="8" t="s">
        <v>1712</v>
      </c>
      <c r="O48" s="8">
        <v>311.67500000000001</v>
      </c>
      <c r="P48" s="8" t="s">
        <v>48</v>
      </c>
      <c r="Q48" s="8" t="s">
        <v>498</v>
      </c>
      <c r="R48" s="8" t="s">
        <v>169</v>
      </c>
      <c r="S48" s="8">
        <v>15</v>
      </c>
      <c r="T48" s="8" t="s">
        <v>42</v>
      </c>
      <c r="U48" s="8" t="s">
        <v>37</v>
      </c>
      <c r="V48" s="8" t="s">
        <v>1706</v>
      </c>
      <c r="W48" s="29" t="s">
        <v>802</v>
      </c>
      <c r="X48" s="29"/>
      <c r="Y48" s="29">
        <v>300</v>
      </c>
      <c r="Z48" s="29" t="s">
        <v>594</v>
      </c>
      <c r="AA48" s="29" t="s">
        <v>39</v>
      </c>
      <c r="AB48" s="29">
        <v>31</v>
      </c>
      <c r="AC48" s="23" t="str">
        <f t="shared" ref="AC48:AC57" si="3">M48</f>
        <v>04/08/2020</v>
      </c>
      <c r="AD48" s="23" t="str">
        <f t="shared" si="2"/>
        <v>02/09/2020</v>
      </c>
      <c r="AE48" s="8"/>
      <c r="AF48" s="8"/>
      <c r="AG48" s="8"/>
    </row>
    <row r="49" spans="1:33" hidden="1" x14ac:dyDescent="0.2">
      <c r="A49" s="8">
        <v>2504</v>
      </c>
      <c r="B49" s="16">
        <v>44017</v>
      </c>
      <c r="C49" s="8">
        <v>30012733</v>
      </c>
      <c r="D49" s="8" t="s">
        <v>44</v>
      </c>
      <c r="E49" s="8" t="s">
        <v>45</v>
      </c>
      <c r="F49" s="8" t="s">
        <v>46</v>
      </c>
      <c r="G49" s="8">
        <v>15018097</v>
      </c>
      <c r="H49" s="8">
        <v>802094171</v>
      </c>
      <c r="I49" s="8" t="s">
        <v>708</v>
      </c>
      <c r="J49" s="8" t="s">
        <v>47</v>
      </c>
      <c r="K49" s="8" t="s">
        <v>257</v>
      </c>
      <c r="L49" s="8" t="s">
        <v>622</v>
      </c>
      <c r="M49" s="8" t="s">
        <v>1700</v>
      </c>
      <c r="N49" s="8" t="s">
        <v>1732</v>
      </c>
      <c r="O49" s="8">
        <v>30.38</v>
      </c>
      <c r="P49" s="8" t="s">
        <v>48</v>
      </c>
      <c r="Q49" s="8" t="s">
        <v>49</v>
      </c>
      <c r="R49" s="8" t="s">
        <v>50</v>
      </c>
      <c r="S49" s="8">
        <v>3</v>
      </c>
      <c r="T49" s="8" t="s">
        <v>51</v>
      </c>
      <c r="U49" s="8" t="s">
        <v>37</v>
      </c>
      <c r="V49" s="8" t="s">
        <v>1699</v>
      </c>
      <c r="W49" s="29" t="s">
        <v>709</v>
      </c>
      <c r="X49" s="29"/>
      <c r="Y49" s="29">
        <v>3</v>
      </c>
      <c r="Z49" s="29" t="s">
        <v>53</v>
      </c>
      <c r="AA49" s="29" t="s">
        <v>39</v>
      </c>
      <c r="AB49" s="29">
        <v>31</v>
      </c>
      <c r="AC49" s="23" t="str">
        <f t="shared" si="3"/>
        <v>05/08/2020</v>
      </c>
      <c r="AD49" s="23" t="str">
        <f t="shared" si="2"/>
        <v>31/08/2020</v>
      </c>
      <c r="AE49" s="8"/>
      <c r="AF49" s="8"/>
      <c r="AG49" s="8"/>
    </row>
    <row r="50" spans="1:33" hidden="1" x14ac:dyDescent="0.2">
      <c r="A50" s="8">
        <v>2504</v>
      </c>
      <c r="B50" s="16">
        <v>44017</v>
      </c>
      <c r="C50" s="8">
        <v>30012733</v>
      </c>
      <c r="D50" s="8" t="s">
        <v>44</v>
      </c>
      <c r="E50" s="8" t="s">
        <v>45</v>
      </c>
      <c r="F50" s="8" t="s">
        <v>46</v>
      </c>
      <c r="G50" s="8">
        <v>15018098</v>
      </c>
      <c r="H50" s="8">
        <v>802094172</v>
      </c>
      <c r="I50" s="8" t="s">
        <v>712</v>
      </c>
      <c r="J50" s="8" t="s">
        <v>47</v>
      </c>
      <c r="K50" s="8" t="s">
        <v>257</v>
      </c>
      <c r="L50" s="8" t="s">
        <v>622</v>
      </c>
      <c r="M50" s="8" t="s">
        <v>1700</v>
      </c>
      <c r="N50" s="8" t="s">
        <v>1732</v>
      </c>
      <c r="O50" s="8">
        <v>30.36</v>
      </c>
      <c r="P50" s="8" t="s">
        <v>48</v>
      </c>
      <c r="Q50" s="8" t="s">
        <v>49</v>
      </c>
      <c r="R50" s="8" t="s">
        <v>50</v>
      </c>
      <c r="S50" s="8">
        <v>3</v>
      </c>
      <c r="T50" s="8" t="s">
        <v>51</v>
      </c>
      <c r="U50" s="8" t="s">
        <v>37</v>
      </c>
      <c r="V50" s="8" t="s">
        <v>1699</v>
      </c>
      <c r="W50" s="29" t="s">
        <v>709</v>
      </c>
      <c r="X50" s="29"/>
      <c r="Y50" s="29">
        <v>3</v>
      </c>
      <c r="Z50" s="29" t="s">
        <v>53</v>
      </c>
      <c r="AA50" s="29" t="s">
        <v>39</v>
      </c>
      <c r="AB50" s="29">
        <v>31</v>
      </c>
      <c r="AC50" s="23" t="str">
        <f t="shared" si="3"/>
        <v>05/08/2020</v>
      </c>
      <c r="AD50" s="23" t="str">
        <f t="shared" si="2"/>
        <v>31/08/2020</v>
      </c>
      <c r="AE50" s="8"/>
      <c r="AF50" s="8"/>
      <c r="AG50" s="8"/>
    </row>
    <row r="51" spans="1:33" hidden="1" x14ac:dyDescent="0.2">
      <c r="A51" s="8">
        <v>2504</v>
      </c>
      <c r="B51" s="16">
        <v>44042</v>
      </c>
      <c r="C51" s="8">
        <v>30012699</v>
      </c>
      <c r="D51" s="8" t="s">
        <v>28</v>
      </c>
      <c r="E51" s="8" t="s">
        <v>29</v>
      </c>
      <c r="F51" s="8" t="s">
        <v>397</v>
      </c>
      <c r="G51" s="8">
        <v>15017957</v>
      </c>
      <c r="H51" s="8">
        <v>802093871</v>
      </c>
      <c r="I51" s="8" t="s">
        <v>77</v>
      </c>
      <c r="J51" s="8" t="s">
        <v>32</v>
      </c>
      <c r="K51" s="8" t="s">
        <v>240</v>
      </c>
      <c r="L51" s="8" t="s">
        <v>586</v>
      </c>
      <c r="M51" s="8" t="s">
        <v>1700</v>
      </c>
      <c r="N51" s="8" t="s">
        <v>1729</v>
      </c>
      <c r="O51" s="8">
        <v>499.36500000000001</v>
      </c>
      <c r="P51" s="8" t="s">
        <v>48</v>
      </c>
      <c r="Q51" s="8" t="s">
        <v>405</v>
      </c>
      <c r="R51" s="8" t="s">
        <v>406</v>
      </c>
      <c r="S51" s="8">
        <v>20</v>
      </c>
      <c r="T51" s="8" t="s">
        <v>36</v>
      </c>
      <c r="U51" s="8" t="s">
        <v>37</v>
      </c>
      <c r="V51" s="8" t="s">
        <v>1702</v>
      </c>
      <c r="W51" s="29" t="s">
        <v>587</v>
      </c>
      <c r="X51" s="29"/>
      <c r="Y51" s="29">
        <v>480</v>
      </c>
      <c r="Z51" s="29"/>
      <c r="AA51" s="29" t="s">
        <v>39</v>
      </c>
      <c r="AB51" s="29">
        <v>31</v>
      </c>
      <c r="AC51" s="23" t="str">
        <f t="shared" si="3"/>
        <v>05/08/2020</v>
      </c>
      <c r="AD51" s="23" t="str">
        <f t="shared" si="2"/>
        <v>04/09/2020</v>
      </c>
      <c r="AE51" s="8"/>
      <c r="AF51" s="8"/>
      <c r="AG51" s="8"/>
    </row>
    <row r="52" spans="1:33" hidden="1" x14ac:dyDescent="0.2">
      <c r="A52" s="8">
        <v>2504</v>
      </c>
      <c r="B52" s="16">
        <v>44042</v>
      </c>
      <c r="C52" s="8">
        <v>30012699</v>
      </c>
      <c r="D52" s="8" t="s">
        <v>28</v>
      </c>
      <c r="E52" s="8" t="s">
        <v>29</v>
      </c>
      <c r="F52" s="8" t="s">
        <v>397</v>
      </c>
      <c r="G52" s="8">
        <v>15017958</v>
      </c>
      <c r="H52" s="8">
        <v>802093872</v>
      </c>
      <c r="I52" s="8" t="s">
        <v>77</v>
      </c>
      <c r="J52" s="8" t="s">
        <v>32</v>
      </c>
      <c r="K52" s="8" t="s">
        <v>240</v>
      </c>
      <c r="L52" s="8" t="s">
        <v>586</v>
      </c>
      <c r="M52" s="8" t="s">
        <v>1700</v>
      </c>
      <c r="N52" s="8" t="s">
        <v>1729</v>
      </c>
      <c r="O52" s="8">
        <v>497.935</v>
      </c>
      <c r="P52" s="8" t="s">
        <v>48</v>
      </c>
      <c r="Q52" s="8" t="s">
        <v>405</v>
      </c>
      <c r="R52" s="8" t="s">
        <v>406</v>
      </c>
      <c r="S52" s="8">
        <v>20</v>
      </c>
      <c r="T52" s="8" t="s">
        <v>36</v>
      </c>
      <c r="U52" s="8" t="s">
        <v>37</v>
      </c>
      <c r="V52" s="8" t="s">
        <v>1702</v>
      </c>
      <c r="W52" s="29" t="s">
        <v>590</v>
      </c>
      <c r="X52" s="29"/>
      <c r="Y52" s="29">
        <v>480</v>
      </c>
      <c r="Z52" s="29"/>
      <c r="AA52" s="29" t="s">
        <v>39</v>
      </c>
      <c r="AB52" s="29">
        <v>31</v>
      </c>
      <c r="AC52" s="23" t="str">
        <f t="shared" si="3"/>
        <v>05/08/2020</v>
      </c>
      <c r="AD52" s="23" t="str">
        <f t="shared" si="2"/>
        <v>04/09/2020</v>
      </c>
      <c r="AE52" s="8"/>
      <c r="AF52" s="8"/>
      <c r="AG52" s="8"/>
    </row>
    <row r="53" spans="1:33" hidden="1" x14ac:dyDescent="0.2">
      <c r="A53" s="8">
        <v>2504</v>
      </c>
      <c r="B53" s="16">
        <v>44048</v>
      </c>
      <c r="C53" s="8">
        <v>30012809</v>
      </c>
      <c r="D53" s="8" t="s">
        <v>62</v>
      </c>
      <c r="E53" s="8" t="s">
        <v>212</v>
      </c>
      <c r="F53" s="8" t="s">
        <v>213</v>
      </c>
      <c r="G53" s="8">
        <v>15018204</v>
      </c>
      <c r="H53" s="8">
        <v>802094739</v>
      </c>
      <c r="I53" s="8" t="s">
        <v>77</v>
      </c>
      <c r="J53" s="8" t="s">
        <v>32</v>
      </c>
      <c r="K53" s="8" t="s">
        <v>388</v>
      </c>
      <c r="L53" s="8" t="s">
        <v>831</v>
      </c>
      <c r="M53" s="8" t="s">
        <v>1700</v>
      </c>
      <c r="N53" s="8" t="s">
        <v>1711</v>
      </c>
      <c r="O53" s="8">
        <v>494.41</v>
      </c>
      <c r="P53" s="8" t="s">
        <v>48</v>
      </c>
      <c r="Q53" s="8" t="s">
        <v>115</v>
      </c>
      <c r="R53" s="8" t="s">
        <v>116</v>
      </c>
      <c r="S53" s="8">
        <v>25</v>
      </c>
      <c r="T53" s="8" t="s">
        <v>140</v>
      </c>
      <c r="U53" s="8" t="s">
        <v>37</v>
      </c>
      <c r="V53" s="8" t="s">
        <v>1699</v>
      </c>
      <c r="W53" s="29" t="s">
        <v>832</v>
      </c>
      <c r="X53" s="29"/>
      <c r="Y53" s="29">
        <v>475</v>
      </c>
      <c r="Z53" s="29" t="s">
        <v>833</v>
      </c>
      <c r="AA53" s="29" t="s">
        <v>39</v>
      </c>
      <c r="AB53" s="29">
        <v>31</v>
      </c>
      <c r="AC53" s="23" t="str">
        <f t="shared" si="3"/>
        <v>05/08/2020</v>
      </c>
      <c r="AD53" s="23" t="str">
        <f t="shared" si="2"/>
        <v>30/08/2020</v>
      </c>
      <c r="AE53" s="8"/>
      <c r="AF53" s="8"/>
      <c r="AG53" s="8"/>
    </row>
    <row r="54" spans="1:33" hidden="1" x14ac:dyDescent="0.2">
      <c r="A54" s="8">
        <v>2504</v>
      </c>
      <c r="B54" s="16">
        <v>44042</v>
      </c>
      <c r="C54" s="8">
        <v>30012752</v>
      </c>
      <c r="D54" s="8" t="s">
        <v>91</v>
      </c>
      <c r="E54" s="8" t="s">
        <v>728</v>
      </c>
      <c r="F54" s="8" t="s">
        <v>729</v>
      </c>
      <c r="G54" s="8">
        <v>15018156</v>
      </c>
      <c r="H54" s="8">
        <v>802094236</v>
      </c>
      <c r="I54" s="8" t="s">
        <v>730</v>
      </c>
      <c r="J54" s="8" t="s">
        <v>58</v>
      </c>
      <c r="K54" s="8" t="s">
        <v>739</v>
      </c>
      <c r="L54" s="8" t="s">
        <v>740</v>
      </c>
      <c r="M54" s="8" t="s">
        <v>1713</v>
      </c>
      <c r="N54" s="8" t="s">
        <v>1730</v>
      </c>
      <c r="O54" s="8">
        <v>103.37</v>
      </c>
      <c r="P54" s="8" t="s">
        <v>48</v>
      </c>
      <c r="Q54" s="8" t="s">
        <v>731</v>
      </c>
      <c r="R54" s="8" t="s">
        <v>732</v>
      </c>
      <c r="S54" s="8">
        <v>4</v>
      </c>
      <c r="T54" s="8" t="s">
        <v>72</v>
      </c>
      <c r="U54" s="8" t="s">
        <v>37</v>
      </c>
      <c r="V54" s="8" t="s">
        <v>65</v>
      </c>
      <c r="W54" s="29" t="s">
        <v>735</v>
      </c>
      <c r="X54" s="29"/>
      <c r="Y54" s="29">
        <v>44</v>
      </c>
      <c r="Z54" s="29" t="s">
        <v>53</v>
      </c>
      <c r="AA54" s="29" t="s">
        <v>733</v>
      </c>
      <c r="AB54" s="29">
        <v>31</v>
      </c>
      <c r="AC54" s="23" t="str">
        <f t="shared" si="3"/>
        <v>06/08/2020</v>
      </c>
      <c r="AD54" s="23" t="str">
        <f t="shared" si="2"/>
        <v>13/10/2020</v>
      </c>
      <c r="AE54" s="8"/>
      <c r="AF54" s="8"/>
      <c r="AG54" s="8"/>
    </row>
    <row r="55" spans="1:33" hidden="1" x14ac:dyDescent="0.2">
      <c r="A55" s="8">
        <v>2504</v>
      </c>
      <c r="B55" s="16">
        <v>44042</v>
      </c>
      <c r="C55" s="8">
        <v>30012752</v>
      </c>
      <c r="D55" s="8" t="s">
        <v>91</v>
      </c>
      <c r="E55" s="8" t="s">
        <v>728</v>
      </c>
      <c r="F55" s="8" t="s">
        <v>729</v>
      </c>
      <c r="G55" s="8">
        <v>15018157</v>
      </c>
      <c r="H55" s="8">
        <v>802094237</v>
      </c>
      <c r="I55" s="8" t="s">
        <v>730</v>
      </c>
      <c r="J55" s="8" t="s">
        <v>58</v>
      </c>
      <c r="K55" s="8" t="s">
        <v>739</v>
      </c>
      <c r="L55" s="8" t="s">
        <v>740</v>
      </c>
      <c r="M55" s="8" t="s">
        <v>1713</v>
      </c>
      <c r="N55" s="8" t="s">
        <v>1730</v>
      </c>
      <c r="O55" s="8">
        <v>103.45</v>
      </c>
      <c r="P55" s="8" t="s">
        <v>48</v>
      </c>
      <c r="Q55" s="8" t="s">
        <v>731</v>
      </c>
      <c r="R55" s="8" t="s">
        <v>732</v>
      </c>
      <c r="S55" s="8">
        <v>4</v>
      </c>
      <c r="T55" s="8" t="s">
        <v>72</v>
      </c>
      <c r="U55" s="8" t="s">
        <v>37</v>
      </c>
      <c r="V55" s="8" t="s">
        <v>65</v>
      </c>
      <c r="W55" s="29" t="s">
        <v>736</v>
      </c>
      <c r="X55" s="29"/>
      <c r="Y55" s="29">
        <v>44</v>
      </c>
      <c r="Z55" s="29" t="s">
        <v>53</v>
      </c>
      <c r="AA55" s="29" t="s">
        <v>733</v>
      </c>
      <c r="AB55" s="29">
        <v>31</v>
      </c>
      <c r="AC55" s="23" t="str">
        <f t="shared" si="3"/>
        <v>06/08/2020</v>
      </c>
      <c r="AD55" s="23" t="str">
        <f t="shared" si="2"/>
        <v>13/10/2020</v>
      </c>
      <c r="AE55" s="8"/>
      <c r="AF55" s="8"/>
      <c r="AG55" s="8"/>
    </row>
    <row r="56" spans="1:33" hidden="1" x14ac:dyDescent="0.2">
      <c r="A56" s="8">
        <v>2504</v>
      </c>
      <c r="B56" s="16">
        <v>44042</v>
      </c>
      <c r="C56" s="8">
        <v>30012752</v>
      </c>
      <c r="D56" s="8" t="s">
        <v>91</v>
      </c>
      <c r="E56" s="8" t="s">
        <v>728</v>
      </c>
      <c r="F56" s="8" t="s">
        <v>729</v>
      </c>
      <c r="G56" s="8">
        <v>15018158</v>
      </c>
      <c r="H56" s="8">
        <v>802094238</v>
      </c>
      <c r="I56" s="8" t="s">
        <v>730</v>
      </c>
      <c r="J56" s="8" t="s">
        <v>58</v>
      </c>
      <c r="K56" s="8" t="s">
        <v>739</v>
      </c>
      <c r="L56" s="8" t="s">
        <v>740</v>
      </c>
      <c r="M56" s="8" t="s">
        <v>1713</v>
      </c>
      <c r="N56" s="8" t="s">
        <v>1730</v>
      </c>
      <c r="O56" s="8">
        <v>103.402</v>
      </c>
      <c r="P56" s="8" t="s">
        <v>48</v>
      </c>
      <c r="Q56" s="8" t="s">
        <v>731</v>
      </c>
      <c r="R56" s="8" t="s">
        <v>732</v>
      </c>
      <c r="S56" s="8">
        <v>4</v>
      </c>
      <c r="T56" s="8" t="s">
        <v>72</v>
      </c>
      <c r="U56" s="8" t="s">
        <v>37</v>
      </c>
      <c r="V56" s="8" t="s">
        <v>65</v>
      </c>
      <c r="W56" s="29" t="s">
        <v>737</v>
      </c>
      <c r="X56" s="29"/>
      <c r="Y56" s="29">
        <v>44</v>
      </c>
      <c r="Z56" s="29" t="s">
        <v>53</v>
      </c>
      <c r="AA56" s="29" t="s">
        <v>733</v>
      </c>
      <c r="AB56" s="29">
        <v>31</v>
      </c>
      <c r="AC56" s="23" t="str">
        <f t="shared" si="3"/>
        <v>06/08/2020</v>
      </c>
      <c r="AD56" s="23" t="str">
        <f t="shared" si="2"/>
        <v>13/10/2020</v>
      </c>
      <c r="AE56" s="8"/>
      <c r="AF56" s="8"/>
      <c r="AG56" s="8"/>
    </row>
    <row r="57" spans="1:33" hidden="1" x14ac:dyDescent="0.2">
      <c r="A57" s="8">
        <v>2504</v>
      </c>
      <c r="B57" s="16">
        <v>44042</v>
      </c>
      <c r="C57" s="8">
        <v>30012752</v>
      </c>
      <c r="D57" s="8" t="s">
        <v>91</v>
      </c>
      <c r="E57" s="8" t="s">
        <v>728</v>
      </c>
      <c r="F57" s="8" t="s">
        <v>729</v>
      </c>
      <c r="G57" s="8">
        <v>15018159</v>
      </c>
      <c r="H57" s="8">
        <v>802094239</v>
      </c>
      <c r="I57" s="8" t="s">
        <v>730</v>
      </c>
      <c r="J57" s="8" t="s">
        <v>58</v>
      </c>
      <c r="K57" s="8" t="s">
        <v>739</v>
      </c>
      <c r="L57" s="8" t="s">
        <v>740</v>
      </c>
      <c r="M57" s="8" t="s">
        <v>1713</v>
      </c>
      <c r="N57" s="8" t="s">
        <v>1730</v>
      </c>
      <c r="O57" s="8">
        <v>103.44199999999999</v>
      </c>
      <c r="P57" s="8" t="s">
        <v>48</v>
      </c>
      <c r="Q57" s="8" t="s">
        <v>731</v>
      </c>
      <c r="R57" s="8" t="s">
        <v>732</v>
      </c>
      <c r="S57" s="8">
        <v>4</v>
      </c>
      <c r="T57" s="8" t="s">
        <v>72</v>
      </c>
      <c r="U57" s="8" t="s">
        <v>37</v>
      </c>
      <c r="V57" s="8" t="s">
        <v>65</v>
      </c>
      <c r="W57" s="29" t="s">
        <v>738</v>
      </c>
      <c r="X57" s="29"/>
      <c r="Y57" s="29">
        <v>44</v>
      </c>
      <c r="Z57" s="29" t="s">
        <v>53</v>
      </c>
      <c r="AA57" s="29" t="s">
        <v>733</v>
      </c>
      <c r="AB57" s="29">
        <v>31</v>
      </c>
      <c r="AC57" s="23" t="str">
        <f t="shared" si="3"/>
        <v>06/08/2020</v>
      </c>
      <c r="AD57" s="23" t="str">
        <f t="shared" si="2"/>
        <v>13/10/2020</v>
      </c>
      <c r="AE57" s="8"/>
      <c r="AF57" s="8"/>
      <c r="AG57" s="8"/>
    </row>
    <row r="58" spans="1:33" hidden="1" x14ac:dyDescent="0.2">
      <c r="A58" s="8">
        <v>2502</v>
      </c>
      <c r="B58" s="16">
        <v>44073</v>
      </c>
      <c r="C58" s="8">
        <v>30012803</v>
      </c>
      <c r="D58" s="8" t="s">
        <v>28</v>
      </c>
      <c r="E58" s="8" t="s">
        <v>98</v>
      </c>
      <c r="F58" s="8" t="s">
        <v>205</v>
      </c>
      <c r="G58" s="8">
        <v>15018322</v>
      </c>
      <c r="H58" s="8">
        <v>802094880</v>
      </c>
      <c r="I58" s="8" t="s">
        <v>99</v>
      </c>
      <c r="J58" s="8" t="s">
        <v>32</v>
      </c>
      <c r="K58" s="8" t="s">
        <v>759</v>
      </c>
      <c r="L58" s="8" t="s">
        <v>760</v>
      </c>
      <c r="M58" s="8" t="s">
        <v>1728</v>
      </c>
      <c r="N58" s="8" t="s">
        <v>1715</v>
      </c>
      <c r="O58" s="8">
        <v>503.75299999999999</v>
      </c>
      <c r="P58" s="8" t="s">
        <v>492</v>
      </c>
      <c r="Q58" s="8" t="s">
        <v>34</v>
      </c>
      <c r="R58" s="8" t="s">
        <v>35</v>
      </c>
      <c r="S58" s="8">
        <v>22</v>
      </c>
      <c r="T58" s="8" t="s">
        <v>87</v>
      </c>
      <c r="U58" s="8" t="s">
        <v>37</v>
      </c>
      <c r="V58" s="8" t="s">
        <v>493</v>
      </c>
      <c r="W58" s="29" t="s">
        <v>819</v>
      </c>
      <c r="X58" s="29"/>
      <c r="Y58" s="29">
        <v>528</v>
      </c>
      <c r="Z58" s="29"/>
      <c r="AA58" s="29" t="s">
        <v>39</v>
      </c>
      <c r="AB58" s="29">
        <v>31</v>
      </c>
      <c r="AC58" s="23">
        <f t="shared" ref="AC58:AD60" si="4">M58+2</f>
        <v>44054</v>
      </c>
      <c r="AD58" s="23">
        <f t="shared" si="4"/>
        <v>44073</v>
      </c>
      <c r="AE58" s="8">
        <v>2</v>
      </c>
      <c r="AF58" s="8">
        <v>2</v>
      </c>
      <c r="AG58" s="8" t="s">
        <v>1788</v>
      </c>
    </row>
    <row r="59" spans="1:33" hidden="1" x14ac:dyDescent="0.2">
      <c r="A59" s="8">
        <v>2502</v>
      </c>
      <c r="B59" s="16">
        <v>44053</v>
      </c>
      <c r="C59" s="8">
        <v>30012803</v>
      </c>
      <c r="D59" s="8" t="s">
        <v>102</v>
      </c>
      <c r="E59" s="8" t="s">
        <v>191</v>
      </c>
      <c r="F59" s="8" t="s">
        <v>192</v>
      </c>
      <c r="G59" s="8">
        <v>15018356</v>
      </c>
      <c r="H59" s="8">
        <v>802094916</v>
      </c>
      <c r="I59" s="8" t="s">
        <v>382</v>
      </c>
      <c r="J59" s="8" t="s">
        <v>83</v>
      </c>
      <c r="K59" s="8" t="s">
        <v>759</v>
      </c>
      <c r="L59" s="8" t="s">
        <v>760</v>
      </c>
      <c r="M59" s="8" t="s">
        <v>1728</v>
      </c>
      <c r="N59" s="8" t="s">
        <v>1731</v>
      </c>
      <c r="O59" s="8">
        <v>54.511000000000003</v>
      </c>
      <c r="P59" s="8" t="s">
        <v>492</v>
      </c>
      <c r="Q59" s="8" t="s">
        <v>85</v>
      </c>
      <c r="R59" s="8" t="s">
        <v>194</v>
      </c>
      <c r="S59" s="8">
        <v>3</v>
      </c>
      <c r="T59" s="8" t="s">
        <v>87</v>
      </c>
      <c r="U59" s="8" t="s">
        <v>37</v>
      </c>
      <c r="V59" s="8" t="s">
        <v>493</v>
      </c>
      <c r="W59" s="29" t="s">
        <v>822</v>
      </c>
      <c r="X59" s="29"/>
      <c r="Y59" s="29">
        <v>98</v>
      </c>
      <c r="Z59" s="29"/>
      <c r="AA59" s="29" t="s">
        <v>39</v>
      </c>
      <c r="AB59" s="29">
        <v>31</v>
      </c>
      <c r="AC59" s="23">
        <f t="shared" si="4"/>
        <v>44054</v>
      </c>
      <c r="AD59" s="23">
        <f t="shared" si="4"/>
        <v>44077</v>
      </c>
      <c r="AE59" s="8">
        <v>2</v>
      </c>
      <c r="AF59" s="8">
        <v>2</v>
      </c>
      <c r="AG59" s="8" t="s">
        <v>1788</v>
      </c>
    </row>
    <row r="60" spans="1:33" hidden="1" x14ac:dyDescent="0.2">
      <c r="A60" s="8">
        <v>2502</v>
      </c>
      <c r="B60" s="16">
        <v>44053</v>
      </c>
      <c r="C60" s="8">
        <v>30012803</v>
      </c>
      <c r="D60" s="8" t="s">
        <v>102</v>
      </c>
      <c r="E60" s="8" t="s">
        <v>191</v>
      </c>
      <c r="F60" s="8" t="s">
        <v>192</v>
      </c>
      <c r="G60" s="8">
        <v>15018470</v>
      </c>
      <c r="H60" s="8">
        <v>802095157</v>
      </c>
      <c r="I60" s="8" t="s">
        <v>193</v>
      </c>
      <c r="J60" s="8" t="s">
        <v>83</v>
      </c>
      <c r="K60" s="8" t="s">
        <v>759</v>
      </c>
      <c r="L60" s="8" t="s">
        <v>760</v>
      </c>
      <c r="M60" s="8" t="s">
        <v>1728</v>
      </c>
      <c r="N60" s="8" t="s">
        <v>1731</v>
      </c>
      <c r="O60" s="8">
        <v>18.815000000000001</v>
      </c>
      <c r="P60" s="8" t="s">
        <v>492</v>
      </c>
      <c r="Q60" s="8" t="s">
        <v>85</v>
      </c>
      <c r="R60" s="8" t="s">
        <v>826</v>
      </c>
      <c r="S60" s="8">
        <v>1</v>
      </c>
      <c r="T60" s="8" t="s">
        <v>87</v>
      </c>
      <c r="U60" s="8" t="s">
        <v>37</v>
      </c>
      <c r="V60" s="8" t="s">
        <v>493</v>
      </c>
      <c r="W60" s="29" t="s">
        <v>822</v>
      </c>
      <c r="X60" s="29"/>
      <c r="Y60" s="29">
        <v>34</v>
      </c>
      <c r="Z60" s="29"/>
      <c r="AA60" s="29" t="s">
        <v>39</v>
      </c>
      <c r="AB60" s="29">
        <v>31</v>
      </c>
      <c r="AC60" s="23">
        <f t="shared" si="4"/>
        <v>44054</v>
      </c>
      <c r="AD60" s="23">
        <f t="shared" si="4"/>
        <v>44077</v>
      </c>
      <c r="AE60" s="8">
        <v>2</v>
      </c>
      <c r="AF60" s="8">
        <v>2</v>
      </c>
      <c r="AG60" s="8" t="s">
        <v>1788</v>
      </c>
    </row>
    <row r="61" spans="1:33" hidden="1" x14ac:dyDescent="0.2">
      <c r="A61" s="8">
        <v>2504</v>
      </c>
      <c r="B61" s="16">
        <v>44042</v>
      </c>
      <c r="C61" s="8">
        <v>30012752</v>
      </c>
      <c r="D61" s="8" t="s">
        <v>91</v>
      </c>
      <c r="E61" s="8" t="s">
        <v>728</v>
      </c>
      <c r="F61" s="8" t="s">
        <v>729</v>
      </c>
      <c r="G61" s="8">
        <v>15018160</v>
      </c>
      <c r="H61" s="8">
        <v>802094240</v>
      </c>
      <c r="I61" s="8" t="s">
        <v>730</v>
      </c>
      <c r="J61" s="8" t="s">
        <v>58</v>
      </c>
      <c r="K61" s="8" t="s">
        <v>739</v>
      </c>
      <c r="L61" s="8" t="s">
        <v>740</v>
      </c>
      <c r="M61" s="8" t="s">
        <v>1713</v>
      </c>
      <c r="N61" s="8" t="s">
        <v>1730</v>
      </c>
      <c r="O61" s="8">
        <v>103.44199999999999</v>
      </c>
      <c r="P61" s="8" t="s">
        <v>48</v>
      </c>
      <c r="Q61" s="8" t="s">
        <v>731</v>
      </c>
      <c r="R61" s="8" t="s">
        <v>732</v>
      </c>
      <c r="S61" s="8">
        <v>4</v>
      </c>
      <c r="T61" s="8" t="s">
        <v>72</v>
      </c>
      <c r="U61" s="8" t="s">
        <v>37</v>
      </c>
      <c r="V61" s="8" t="s">
        <v>65</v>
      </c>
      <c r="W61" s="29" t="s">
        <v>741</v>
      </c>
      <c r="X61" s="29"/>
      <c r="Y61" s="29">
        <v>44</v>
      </c>
      <c r="Z61" s="29" t="s">
        <v>53</v>
      </c>
      <c r="AA61" s="29" t="s">
        <v>733</v>
      </c>
      <c r="AB61" s="29">
        <v>31</v>
      </c>
      <c r="AC61" s="23" t="str">
        <f>M61</f>
        <v>06/08/2020</v>
      </c>
      <c r="AD61" s="23" t="str">
        <f>N61</f>
        <v>13/10/2020</v>
      </c>
      <c r="AE61" s="8"/>
      <c r="AF61" s="8"/>
      <c r="AG61" s="8"/>
    </row>
    <row r="62" spans="1:33" hidden="1" x14ac:dyDescent="0.2">
      <c r="A62" s="8">
        <v>2504</v>
      </c>
      <c r="B62" s="16">
        <v>44042</v>
      </c>
      <c r="C62" s="8">
        <v>30012752</v>
      </c>
      <c r="D62" s="8" t="s">
        <v>91</v>
      </c>
      <c r="E62" s="8" t="s">
        <v>728</v>
      </c>
      <c r="F62" s="8" t="s">
        <v>729</v>
      </c>
      <c r="G62" s="8">
        <v>15018161</v>
      </c>
      <c r="H62" s="8">
        <v>802094241</v>
      </c>
      <c r="I62" s="8" t="s">
        <v>730</v>
      </c>
      <c r="J62" s="8" t="s">
        <v>58</v>
      </c>
      <c r="K62" s="8" t="s">
        <v>739</v>
      </c>
      <c r="L62" s="8" t="s">
        <v>740</v>
      </c>
      <c r="M62" s="8" t="s">
        <v>1713</v>
      </c>
      <c r="N62" s="8" t="s">
        <v>1730</v>
      </c>
      <c r="O62" s="8">
        <v>103.446</v>
      </c>
      <c r="P62" s="8" t="s">
        <v>48</v>
      </c>
      <c r="Q62" s="8" t="s">
        <v>731</v>
      </c>
      <c r="R62" s="8" t="s">
        <v>732</v>
      </c>
      <c r="S62" s="8">
        <v>4</v>
      </c>
      <c r="T62" s="8" t="s">
        <v>72</v>
      </c>
      <c r="U62" s="8" t="s">
        <v>37</v>
      </c>
      <c r="V62" s="8" t="s">
        <v>65</v>
      </c>
      <c r="W62" s="29" t="s">
        <v>742</v>
      </c>
      <c r="X62" s="29"/>
      <c r="Y62" s="29">
        <v>44</v>
      </c>
      <c r="Z62" s="29" t="s">
        <v>53</v>
      </c>
      <c r="AA62" s="29" t="s">
        <v>733</v>
      </c>
      <c r="AB62" s="29">
        <v>31</v>
      </c>
      <c r="AC62" s="23" t="str">
        <f>M62</f>
        <v>06/08/2020</v>
      </c>
      <c r="AD62" s="23" t="str">
        <f>N62</f>
        <v>13/10/2020</v>
      </c>
      <c r="AE62" s="8"/>
      <c r="AF62" s="8"/>
      <c r="AG62" s="8"/>
    </row>
    <row r="63" spans="1:33" hidden="1" x14ac:dyDescent="0.2">
      <c r="A63" s="8">
        <v>2504</v>
      </c>
      <c r="B63" s="16">
        <v>44024</v>
      </c>
      <c r="C63" s="8">
        <v>30012837</v>
      </c>
      <c r="D63" s="8" t="s">
        <v>62</v>
      </c>
      <c r="E63" s="8" t="s">
        <v>167</v>
      </c>
      <c r="F63" s="8" t="s">
        <v>168</v>
      </c>
      <c r="G63" s="8">
        <v>15017725</v>
      </c>
      <c r="H63" s="8">
        <v>802093669</v>
      </c>
      <c r="I63" s="8" t="s">
        <v>77</v>
      </c>
      <c r="J63" s="8" t="s">
        <v>32</v>
      </c>
      <c r="K63" s="8" t="s">
        <v>759</v>
      </c>
      <c r="L63" s="8" t="s">
        <v>760</v>
      </c>
      <c r="M63" s="8" t="s">
        <v>1713</v>
      </c>
      <c r="N63" s="8" t="s">
        <v>1732</v>
      </c>
      <c r="O63" s="8">
        <v>199.77500000000001</v>
      </c>
      <c r="P63" s="8" t="s">
        <v>48</v>
      </c>
      <c r="Q63" s="8" t="s">
        <v>498</v>
      </c>
      <c r="R63" s="8" t="s">
        <v>169</v>
      </c>
      <c r="S63" s="8">
        <v>8</v>
      </c>
      <c r="T63" s="8" t="s">
        <v>36</v>
      </c>
      <c r="U63" s="8" t="s">
        <v>37</v>
      </c>
      <c r="V63" s="8" t="s">
        <v>1706</v>
      </c>
      <c r="W63" s="29" t="s">
        <v>610</v>
      </c>
      <c r="X63" s="29"/>
      <c r="Y63" s="29">
        <v>192</v>
      </c>
      <c r="Z63" s="29" t="s">
        <v>611</v>
      </c>
      <c r="AA63" s="29" t="s">
        <v>39</v>
      </c>
      <c r="AB63" s="29">
        <v>31</v>
      </c>
      <c r="AC63" s="23">
        <v>44050</v>
      </c>
      <c r="AD63" s="23">
        <v>44074</v>
      </c>
      <c r="AE63" s="8">
        <v>1</v>
      </c>
      <c r="AF63" s="8"/>
      <c r="AG63" s="22" t="s">
        <v>1778</v>
      </c>
    </row>
    <row r="64" spans="1:33" hidden="1" x14ac:dyDescent="0.2">
      <c r="A64" s="8">
        <v>2503</v>
      </c>
      <c r="B64" s="16">
        <v>44048</v>
      </c>
      <c r="C64" s="8">
        <v>30012750</v>
      </c>
      <c r="D64" s="8" t="s">
        <v>219</v>
      </c>
      <c r="E64" s="8" t="s">
        <v>220</v>
      </c>
      <c r="F64" s="8" t="s">
        <v>221</v>
      </c>
      <c r="G64" s="8">
        <v>15015842</v>
      </c>
      <c r="H64" s="8">
        <v>802094235</v>
      </c>
      <c r="I64" s="8" t="s">
        <v>222</v>
      </c>
      <c r="J64" s="8" t="s">
        <v>223</v>
      </c>
      <c r="K64" s="8" t="s">
        <v>734</v>
      </c>
      <c r="L64" s="8" t="s">
        <v>838</v>
      </c>
      <c r="M64" s="8" t="s">
        <v>1700</v>
      </c>
      <c r="N64" s="8" t="s">
        <v>1733</v>
      </c>
      <c r="O64" s="8">
        <v>128.55000000000001</v>
      </c>
      <c r="P64" s="8" t="s">
        <v>224</v>
      </c>
      <c r="Q64" s="8" t="s">
        <v>225</v>
      </c>
      <c r="R64" s="8" t="s">
        <v>226</v>
      </c>
      <c r="S64" s="8">
        <v>5</v>
      </c>
      <c r="T64" s="8" t="s">
        <v>87</v>
      </c>
      <c r="U64" s="8" t="s">
        <v>37</v>
      </c>
      <c r="V64" s="8" t="s">
        <v>88</v>
      </c>
      <c r="W64" s="29" t="s">
        <v>839</v>
      </c>
      <c r="X64" s="29"/>
      <c r="Y64" s="29">
        <v>125</v>
      </c>
      <c r="Z64" s="29"/>
      <c r="AA64" s="29" t="s">
        <v>227</v>
      </c>
      <c r="AB64" s="29">
        <v>31</v>
      </c>
      <c r="AC64" s="23" t="s">
        <v>1700</v>
      </c>
      <c r="AD64" s="23" t="s">
        <v>1733</v>
      </c>
      <c r="AE64" s="8">
        <v>0</v>
      </c>
      <c r="AF64" s="8">
        <v>0</v>
      </c>
      <c r="AG64" s="8"/>
    </row>
    <row r="65" spans="1:33" hidden="1" x14ac:dyDescent="0.2">
      <c r="A65" s="8">
        <v>2503</v>
      </c>
      <c r="B65" s="16">
        <v>44073</v>
      </c>
      <c r="C65" s="8">
        <v>30012750</v>
      </c>
      <c r="D65" s="8" t="s">
        <v>91</v>
      </c>
      <c r="E65" s="8" t="s">
        <v>228</v>
      </c>
      <c r="F65" s="8" t="s">
        <v>229</v>
      </c>
      <c r="G65" s="8">
        <v>15018183</v>
      </c>
      <c r="H65" s="8">
        <v>802094707</v>
      </c>
      <c r="I65" s="8" t="s">
        <v>230</v>
      </c>
      <c r="J65" s="8" t="s">
        <v>223</v>
      </c>
      <c r="K65" s="8" t="s">
        <v>734</v>
      </c>
      <c r="L65" s="8" t="s">
        <v>838</v>
      </c>
      <c r="M65" s="8" t="s">
        <v>1700</v>
      </c>
      <c r="N65" s="8" t="s">
        <v>1734</v>
      </c>
      <c r="O65" s="8">
        <v>102.93</v>
      </c>
      <c r="P65" s="8" t="s">
        <v>224</v>
      </c>
      <c r="Q65" s="8" t="s">
        <v>231</v>
      </c>
      <c r="R65" s="8" t="s">
        <v>232</v>
      </c>
      <c r="S65" s="8">
        <v>4</v>
      </c>
      <c r="T65" s="8" t="s">
        <v>87</v>
      </c>
      <c r="U65" s="8" t="s">
        <v>37</v>
      </c>
      <c r="V65" s="8" t="s">
        <v>88</v>
      </c>
      <c r="W65" s="29" t="s">
        <v>843</v>
      </c>
      <c r="X65" s="29"/>
      <c r="Y65" s="29">
        <v>100</v>
      </c>
      <c r="Z65" s="29" t="s">
        <v>519</v>
      </c>
      <c r="AA65" s="29" t="s">
        <v>39</v>
      </c>
      <c r="AB65" s="29">
        <v>31</v>
      </c>
      <c r="AC65" s="23" t="str">
        <f>M65</f>
        <v>05/08/2020</v>
      </c>
      <c r="AD65" s="23" t="str">
        <f>N65</f>
        <v>08/09/2020</v>
      </c>
      <c r="AE65" s="8">
        <v>0</v>
      </c>
      <c r="AF65" s="8">
        <v>0</v>
      </c>
      <c r="AG65" s="8"/>
    </row>
    <row r="66" spans="1:33" hidden="1" x14ac:dyDescent="0.2">
      <c r="A66" s="8">
        <v>2503</v>
      </c>
      <c r="B66" s="16">
        <v>44048</v>
      </c>
      <c r="C66" s="8">
        <v>30012750</v>
      </c>
      <c r="D66" s="8" t="s">
        <v>137</v>
      </c>
      <c r="E66" s="8" t="s">
        <v>138</v>
      </c>
      <c r="F66" s="8" t="s">
        <v>139</v>
      </c>
      <c r="G66" s="8">
        <v>15018232</v>
      </c>
      <c r="H66" s="8">
        <v>802094776</v>
      </c>
      <c r="I66" s="8" t="s">
        <v>846</v>
      </c>
      <c r="J66" s="8" t="s">
        <v>32</v>
      </c>
      <c r="K66" s="8" t="s">
        <v>734</v>
      </c>
      <c r="L66" s="8" t="s">
        <v>838</v>
      </c>
      <c r="M66" s="8" t="s">
        <v>1700</v>
      </c>
      <c r="N66" s="8" t="s">
        <v>1735</v>
      </c>
      <c r="O66" s="8">
        <v>488.863</v>
      </c>
      <c r="P66" s="8" t="s">
        <v>224</v>
      </c>
      <c r="Q66" s="8" t="s">
        <v>206</v>
      </c>
      <c r="R66" s="8" t="s">
        <v>35</v>
      </c>
      <c r="S66" s="8">
        <v>25</v>
      </c>
      <c r="T66" s="8" t="s">
        <v>87</v>
      </c>
      <c r="U66" s="8" t="s">
        <v>37</v>
      </c>
      <c r="V66" s="8" t="s">
        <v>88</v>
      </c>
      <c r="W66" s="29" t="s">
        <v>847</v>
      </c>
      <c r="X66" s="29"/>
      <c r="Y66" s="29">
        <v>475</v>
      </c>
      <c r="Z66" s="29"/>
      <c r="AA66" s="29" t="s">
        <v>39</v>
      </c>
      <c r="AB66" s="29">
        <v>31</v>
      </c>
      <c r="AC66" s="23" t="s">
        <v>1700</v>
      </c>
      <c r="AD66" s="23" t="s">
        <v>1735</v>
      </c>
      <c r="AE66" s="8">
        <v>0</v>
      </c>
      <c r="AF66" s="8">
        <v>0</v>
      </c>
      <c r="AG66" s="8"/>
    </row>
    <row r="67" spans="1:33" hidden="1" x14ac:dyDescent="0.2">
      <c r="A67" s="8">
        <v>2503</v>
      </c>
      <c r="B67" s="16">
        <v>44053</v>
      </c>
      <c r="C67" s="8">
        <v>30012750</v>
      </c>
      <c r="D67" s="8" t="s">
        <v>137</v>
      </c>
      <c r="E67" s="8" t="s">
        <v>138</v>
      </c>
      <c r="F67" s="8" t="s">
        <v>139</v>
      </c>
      <c r="G67" s="8">
        <v>15018233</v>
      </c>
      <c r="H67" s="8">
        <v>802094777</v>
      </c>
      <c r="I67" s="8" t="s">
        <v>846</v>
      </c>
      <c r="J67" s="8" t="s">
        <v>32</v>
      </c>
      <c r="K67" s="8" t="s">
        <v>734</v>
      </c>
      <c r="L67" s="8" t="s">
        <v>838</v>
      </c>
      <c r="M67" s="8" t="s">
        <v>1700</v>
      </c>
      <c r="N67" s="8" t="s">
        <v>1735</v>
      </c>
      <c r="O67" s="8">
        <v>508.589</v>
      </c>
      <c r="P67" s="8" t="s">
        <v>224</v>
      </c>
      <c r="Q67" s="8" t="s">
        <v>206</v>
      </c>
      <c r="R67" s="8" t="s">
        <v>35</v>
      </c>
      <c r="S67" s="8">
        <v>26</v>
      </c>
      <c r="T67" s="8" t="s">
        <v>87</v>
      </c>
      <c r="U67" s="8" t="s">
        <v>37</v>
      </c>
      <c r="V67" s="8" t="s">
        <v>88</v>
      </c>
      <c r="W67" s="29" t="s">
        <v>850</v>
      </c>
      <c r="X67" s="29"/>
      <c r="Y67" s="29">
        <v>494</v>
      </c>
      <c r="Z67" s="29"/>
      <c r="AA67" s="29" t="s">
        <v>39</v>
      </c>
      <c r="AB67" s="29">
        <v>31</v>
      </c>
      <c r="AC67" s="23" t="s">
        <v>1700</v>
      </c>
      <c r="AD67" s="23" t="s">
        <v>1735</v>
      </c>
      <c r="AE67" s="8">
        <v>0</v>
      </c>
      <c r="AF67" s="8">
        <v>0</v>
      </c>
      <c r="AG67" s="8"/>
    </row>
    <row r="68" spans="1:33" hidden="1" x14ac:dyDescent="0.2">
      <c r="A68" s="8">
        <v>2502</v>
      </c>
      <c r="B68" s="16">
        <v>44042</v>
      </c>
      <c r="C68" s="8">
        <v>30012753</v>
      </c>
      <c r="D68" s="8" t="s">
        <v>28</v>
      </c>
      <c r="E68" s="8" t="s">
        <v>29</v>
      </c>
      <c r="F68" s="8" t="s">
        <v>397</v>
      </c>
      <c r="G68" s="8">
        <v>15017949</v>
      </c>
      <c r="H68" s="8">
        <v>802093829</v>
      </c>
      <c r="I68" s="8" t="s">
        <v>89</v>
      </c>
      <c r="J68" s="8" t="s">
        <v>90</v>
      </c>
      <c r="K68" s="8" t="s">
        <v>487</v>
      </c>
      <c r="L68" s="8" t="s">
        <v>751</v>
      </c>
      <c r="M68" s="8" t="s">
        <v>1700</v>
      </c>
      <c r="N68" s="8" t="s">
        <v>1735</v>
      </c>
      <c r="O68" s="8">
        <v>494.30099999999999</v>
      </c>
      <c r="P68" s="8" t="s">
        <v>84</v>
      </c>
      <c r="Q68" s="8" t="s">
        <v>405</v>
      </c>
      <c r="R68" s="8" t="s">
        <v>717</v>
      </c>
      <c r="S68" s="8">
        <v>20</v>
      </c>
      <c r="T68" s="8" t="s">
        <v>87</v>
      </c>
      <c r="U68" s="8" t="s">
        <v>37</v>
      </c>
      <c r="V68" s="8" t="s">
        <v>88</v>
      </c>
      <c r="W68" s="29" t="s">
        <v>718</v>
      </c>
      <c r="X68" s="29"/>
      <c r="Y68" s="29">
        <v>694</v>
      </c>
      <c r="Z68" s="29"/>
      <c r="AA68" s="29" t="s">
        <v>39</v>
      </c>
      <c r="AB68" s="29">
        <v>31</v>
      </c>
      <c r="AC68" s="23" t="str">
        <f t="shared" ref="AC68:AD74" si="5">M68</f>
        <v>05/08/2020</v>
      </c>
      <c r="AD68" s="23" t="str">
        <f t="shared" si="5"/>
        <v>05/09/2020</v>
      </c>
      <c r="AE68" s="8">
        <v>0</v>
      </c>
      <c r="AF68" s="8">
        <v>0</v>
      </c>
      <c r="AG68" s="8"/>
    </row>
    <row r="69" spans="1:33" hidden="1" x14ac:dyDescent="0.2">
      <c r="A69" s="8">
        <v>2502</v>
      </c>
      <c r="B69" s="16">
        <v>44079</v>
      </c>
      <c r="C69" s="8">
        <v>30012753</v>
      </c>
      <c r="D69" s="8" t="s">
        <v>152</v>
      </c>
      <c r="E69" s="8" t="s">
        <v>138</v>
      </c>
      <c r="F69" s="8" t="s">
        <v>265</v>
      </c>
      <c r="G69" s="8">
        <v>15018390</v>
      </c>
      <c r="H69" s="8">
        <v>802095009</v>
      </c>
      <c r="I69" s="8" t="s">
        <v>385</v>
      </c>
      <c r="J69" s="8" t="s">
        <v>47</v>
      </c>
      <c r="K69" s="8" t="s">
        <v>487</v>
      </c>
      <c r="L69" s="8" t="s">
        <v>751</v>
      </c>
      <c r="M69" s="8" t="s">
        <v>1700</v>
      </c>
      <c r="N69" s="8" t="s">
        <v>1729</v>
      </c>
      <c r="O69" s="8">
        <v>105.75</v>
      </c>
      <c r="P69" s="8" t="s">
        <v>84</v>
      </c>
      <c r="Q69" s="8" t="s">
        <v>206</v>
      </c>
      <c r="R69" s="8" t="s">
        <v>266</v>
      </c>
      <c r="S69" s="8">
        <v>5</v>
      </c>
      <c r="T69" s="8" t="s">
        <v>87</v>
      </c>
      <c r="U69" s="8" t="s">
        <v>37</v>
      </c>
      <c r="V69" s="8" t="s">
        <v>88</v>
      </c>
      <c r="W69" s="29" t="s">
        <v>855</v>
      </c>
      <c r="X69" s="29"/>
      <c r="Y69" s="29">
        <v>10</v>
      </c>
      <c r="Z69" s="29" t="s">
        <v>856</v>
      </c>
      <c r="AA69" s="29" t="s">
        <v>39</v>
      </c>
      <c r="AB69" s="29">
        <v>31</v>
      </c>
      <c r="AC69" s="23" t="str">
        <f t="shared" si="5"/>
        <v>05/08/2020</v>
      </c>
      <c r="AD69" s="23" t="str">
        <f t="shared" si="5"/>
        <v>04/09/2020</v>
      </c>
      <c r="AE69" s="8">
        <v>0</v>
      </c>
      <c r="AF69" s="8">
        <v>0</v>
      </c>
      <c r="AG69" s="8"/>
    </row>
    <row r="70" spans="1:33" hidden="1" x14ac:dyDescent="0.2">
      <c r="A70" s="8">
        <v>2502</v>
      </c>
      <c r="B70" s="16">
        <v>44079</v>
      </c>
      <c r="C70" s="8">
        <v>30012753</v>
      </c>
      <c r="D70" s="8" t="s">
        <v>152</v>
      </c>
      <c r="E70" s="8" t="s">
        <v>138</v>
      </c>
      <c r="F70" s="8" t="s">
        <v>265</v>
      </c>
      <c r="G70" s="8">
        <v>15018391</v>
      </c>
      <c r="H70" s="8">
        <v>802095010</v>
      </c>
      <c r="I70" s="8" t="s">
        <v>386</v>
      </c>
      <c r="J70" s="8" t="s">
        <v>47</v>
      </c>
      <c r="K70" s="8" t="s">
        <v>487</v>
      </c>
      <c r="L70" s="8" t="s">
        <v>751</v>
      </c>
      <c r="M70" s="8" t="s">
        <v>1700</v>
      </c>
      <c r="N70" s="8" t="s">
        <v>1729</v>
      </c>
      <c r="O70" s="8">
        <v>91.287999999999997</v>
      </c>
      <c r="P70" s="8" t="s">
        <v>84</v>
      </c>
      <c r="Q70" s="8" t="s">
        <v>206</v>
      </c>
      <c r="R70" s="8" t="s">
        <v>266</v>
      </c>
      <c r="S70" s="8">
        <v>4</v>
      </c>
      <c r="T70" s="8" t="s">
        <v>87</v>
      </c>
      <c r="U70" s="8" t="s">
        <v>37</v>
      </c>
      <c r="V70" s="8" t="s">
        <v>88</v>
      </c>
      <c r="W70" s="29" t="s">
        <v>859</v>
      </c>
      <c r="X70" s="29"/>
      <c r="Y70" s="29">
        <v>8</v>
      </c>
      <c r="Z70" s="29" t="s">
        <v>856</v>
      </c>
      <c r="AA70" s="29" t="s">
        <v>39</v>
      </c>
      <c r="AB70" s="29">
        <v>31</v>
      </c>
      <c r="AC70" s="23" t="str">
        <f t="shared" si="5"/>
        <v>05/08/2020</v>
      </c>
      <c r="AD70" s="23" t="str">
        <f t="shared" si="5"/>
        <v>04/09/2020</v>
      </c>
      <c r="AE70" s="8">
        <v>0</v>
      </c>
      <c r="AF70" s="8">
        <v>0</v>
      </c>
      <c r="AG70" s="8"/>
    </row>
    <row r="71" spans="1:33" hidden="1" x14ac:dyDescent="0.2">
      <c r="A71" s="8">
        <v>2502</v>
      </c>
      <c r="B71" s="16">
        <v>44073</v>
      </c>
      <c r="C71" s="8">
        <v>30012753</v>
      </c>
      <c r="D71" s="8" t="s">
        <v>152</v>
      </c>
      <c r="E71" s="8" t="s">
        <v>534</v>
      </c>
      <c r="F71" s="8" t="s">
        <v>265</v>
      </c>
      <c r="G71" s="8">
        <v>15018432</v>
      </c>
      <c r="H71" s="8">
        <v>802095115</v>
      </c>
      <c r="I71" s="8" t="s">
        <v>862</v>
      </c>
      <c r="J71" s="8" t="s">
        <v>47</v>
      </c>
      <c r="K71" s="8" t="s">
        <v>487</v>
      </c>
      <c r="L71" s="8" t="s">
        <v>751</v>
      </c>
      <c r="M71" s="8" t="s">
        <v>1700</v>
      </c>
      <c r="N71" s="8" t="s">
        <v>1729</v>
      </c>
      <c r="O71" s="8">
        <v>13.411</v>
      </c>
      <c r="P71" s="8" t="s">
        <v>84</v>
      </c>
      <c r="Q71" s="8" t="s">
        <v>206</v>
      </c>
      <c r="R71" s="8" t="s">
        <v>536</v>
      </c>
      <c r="S71" s="8">
        <v>1</v>
      </c>
      <c r="T71" s="8" t="s">
        <v>87</v>
      </c>
      <c r="U71" s="8" t="s">
        <v>37</v>
      </c>
      <c r="V71" s="8" t="s">
        <v>88</v>
      </c>
      <c r="W71" s="29" t="s">
        <v>863</v>
      </c>
      <c r="X71" s="29"/>
      <c r="Y71" s="29">
        <v>1</v>
      </c>
      <c r="Z71" s="29"/>
      <c r="AA71" s="29" t="s">
        <v>39</v>
      </c>
      <c r="AB71" s="29">
        <v>31</v>
      </c>
      <c r="AC71" s="23" t="str">
        <f t="shared" si="5"/>
        <v>05/08/2020</v>
      </c>
      <c r="AD71" s="23" t="str">
        <f t="shared" si="5"/>
        <v>04/09/2020</v>
      </c>
      <c r="AE71" s="8">
        <v>0</v>
      </c>
      <c r="AF71" s="8">
        <v>0</v>
      </c>
      <c r="AG71" s="8"/>
    </row>
    <row r="72" spans="1:33" hidden="1" x14ac:dyDescent="0.2">
      <c r="A72" s="8">
        <v>2502</v>
      </c>
      <c r="B72" s="16">
        <v>44048</v>
      </c>
      <c r="C72" s="8">
        <v>30012753</v>
      </c>
      <c r="D72" s="8" t="s">
        <v>152</v>
      </c>
      <c r="E72" s="8" t="s">
        <v>534</v>
      </c>
      <c r="F72" s="8" t="s">
        <v>265</v>
      </c>
      <c r="G72" s="8">
        <v>15018433</v>
      </c>
      <c r="H72" s="8">
        <v>802095112</v>
      </c>
      <c r="I72" s="8" t="s">
        <v>866</v>
      </c>
      <c r="J72" s="8" t="s">
        <v>47</v>
      </c>
      <c r="K72" s="8" t="s">
        <v>487</v>
      </c>
      <c r="L72" s="8" t="s">
        <v>751</v>
      </c>
      <c r="M72" s="8" t="s">
        <v>1700</v>
      </c>
      <c r="N72" s="8" t="s">
        <v>1729</v>
      </c>
      <c r="O72" s="8">
        <v>87.581999999999994</v>
      </c>
      <c r="P72" s="8" t="s">
        <v>84</v>
      </c>
      <c r="Q72" s="8" t="s">
        <v>206</v>
      </c>
      <c r="R72" s="8" t="s">
        <v>536</v>
      </c>
      <c r="S72" s="8">
        <v>4</v>
      </c>
      <c r="T72" s="8" t="s">
        <v>87</v>
      </c>
      <c r="U72" s="8" t="s">
        <v>37</v>
      </c>
      <c r="V72" s="8" t="s">
        <v>88</v>
      </c>
      <c r="W72" s="29" t="s">
        <v>867</v>
      </c>
      <c r="X72" s="29"/>
      <c r="Y72" s="29">
        <v>7</v>
      </c>
      <c r="Z72" s="29"/>
      <c r="AA72" s="29" t="s">
        <v>39</v>
      </c>
      <c r="AB72" s="29">
        <v>31</v>
      </c>
      <c r="AC72" s="23" t="str">
        <f t="shared" si="5"/>
        <v>05/08/2020</v>
      </c>
      <c r="AD72" s="23" t="str">
        <f t="shared" si="5"/>
        <v>04/09/2020</v>
      </c>
      <c r="AE72" s="8">
        <v>0</v>
      </c>
      <c r="AF72" s="8">
        <v>0</v>
      </c>
      <c r="AG72" s="8"/>
    </row>
    <row r="73" spans="1:33" hidden="1" x14ac:dyDescent="0.2">
      <c r="A73" s="8">
        <v>2502</v>
      </c>
      <c r="B73" s="16">
        <v>44048</v>
      </c>
      <c r="C73" s="8">
        <v>30012753</v>
      </c>
      <c r="D73" s="8" t="s">
        <v>152</v>
      </c>
      <c r="E73" s="8" t="s">
        <v>534</v>
      </c>
      <c r="F73" s="8" t="s">
        <v>265</v>
      </c>
      <c r="G73" s="8">
        <v>15018434</v>
      </c>
      <c r="H73" s="8">
        <v>802095113</v>
      </c>
      <c r="I73" s="8" t="s">
        <v>387</v>
      </c>
      <c r="J73" s="8" t="s">
        <v>47</v>
      </c>
      <c r="K73" s="8" t="s">
        <v>487</v>
      </c>
      <c r="L73" s="8" t="s">
        <v>751</v>
      </c>
      <c r="M73" s="8" t="s">
        <v>1700</v>
      </c>
      <c r="N73" s="8" t="s">
        <v>1729</v>
      </c>
      <c r="O73" s="8">
        <v>75.378</v>
      </c>
      <c r="P73" s="8" t="s">
        <v>84</v>
      </c>
      <c r="Q73" s="8" t="s">
        <v>206</v>
      </c>
      <c r="R73" s="8" t="s">
        <v>536</v>
      </c>
      <c r="S73" s="8">
        <v>3</v>
      </c>
      <c r="T73" s="8" t="s">
        <v>87</v>
      </c>
      <c r="U73" s="8" t="s">
        <v>37</v>
      </c>
      <c r="V73" s="8" t="s">
        <v>88</v>
      </c>
      <c r="W73" s="29" t="s">
        <v>870</v>
      </c>
      <c r="X73" s="29"/>
      <c r="Y73" s="29">
        <v>7</v>
      </c>
      <c r="Z73" s="29"/>
      <c r="AA73" s="29" t="s">
        <v>39</v>
      </c>
      <c r="AB73" s="29">
        <v>31</v>
      </c>
      <c r="AC73" s="23" t="str">
        <f t="shared" si="5"/>
        <v>05/08/2020</v>
      </c>
      <c r="AD73" s="23" t="str">
        <f t="shared" si="5"/>
        <v>04/09/2020</v>
      </c>
      <c r="AE73" s="8">
        <v>0</v>
      </c>
      <c r="AF73" s="8">
        <v>0</v>
      </c>
      <c r="AG73" s="8"/>
    </row>
    <row r="74" spans="1:33" hidden="1" x14ac:dyDescent="0.2">
      <c r="A74" s="8">
        <v>2502</v>
      </c>
      <c r="B74" s="16">
        <v>44048</v>
      </c>
      <c r="C74" s="8">
        <v>30012753</v>
      </c>
      <c r="D74" s="8" t="s">
        <v>152</v>
      </c>
      <c r="E74" s="8" t="s">
        <v>534</v>
      </c>
      <c r="F74" s="8" t="s">
        <v>265</v>
      </c>
      <c r="G74" s="8">
        <v>15018435</v>
      </c>
      <c r="H74" s="8">
        <v>802095114</v>
      </c>
      <c r="I74" s="8" t="s">
        <v>873</v>
      </c>
      <c r="J74" s="8" t="s">
        <v>47</v>
      </c>
      <c r="K74" s="8" t="s">
        <v>487</v>
      </c>
      <c r="L74" s="8" t="s">
        <v>751</v>
      </c>
      <c r="M74" s="8" t="s">
        <v>1700</v>
      </c>
      <c r="N74" s="8" t="s">
        <v>1729</v>
      </c>
      <c r="O74" s="8">
        <v>48.624000000000002</v>
      </c>
      <c r="P74" s="8" t="s">
        <v>84</v>
      </c>
      <c r="Q74" s="8" t="s">
        <v>206</v>
      </c>
      <c r="R74" s="8" t="s">
        <v>536</v>
      </c>
      <c r="S74" s="8">
        <v>2</v>
      </c>
      <c r="T74" s="8" t="s">
        <v>87</v>
      </c>
      <c r="U74" s="8" t="s">
        <v>37</v>
      </c>
      <c r="V74" s="8" t="s">
        <v>88</v>
      </c>
      <c r="W74" s="29" t="s">
        <v>874</v>
      </c>
      <c r="X74" s="29"/>
      <c r="Y74" s="29">
        <v>4</v>
      </c>
      <c r="Z74" s="29"/>
      <c r="AA74" s="29" t="s">
        <v>39</v>
      </c>
      <c r="AB74" s="29">
        <v>31</v>
      </c>
      <c r="AC74" s="23" t="str">
        <f t="shared" si="5"/>
        <v>05/08/2020</v>
      </c>
      <c r="AD74" s="23" t="str">
        <f t="shared" si="5"/>
        <v>04/09/2020</v>
      </c>
      <c r="AE74" s="8">
        <v>0</v>
      </c>
      <c r="AF74" s="8">
        <v>0</v>
      </c>
      <c r="AG74" s="8"/>
    </row>
    <row r="75" spans="1:33" hidden="1" x14ac:dyDescent="0.2">
      <c r="A75" s="8">
        <v>2502</v>
      </c>
      <c r="B75" s="16">
        <v>44073</v>
      </c>
      <c r="C75" s="8">
        <v>30012795</v>
      </c>
      <c r="D75" s="8" t="s">
        <v>152</v>
      </c>
      <c r="E75" s="8" t="s">
        <v>523</v>
      </c>
      <c r="F75" s="8" t="s">
        <v>524</v>
      </c>
      <c r="G75" s="8">
        <v>15018290</v>
      </c>
      <c r="H75" s="8">
        <v>802094851</v>
      </c>
      <c r="I75" s="8" t="s">
        <v>202</v>
      </c>
      <c r="J75" s="8" t="s">
        <v>95</v>
      </c>
      <c r="K75" s="8" t="s">
        <v>754</v>
      </c>
      <c r="L75" s="8" t="s">
        <v>755</v>
      </c>
      <c r="M75" s="8" t="s">
        <v>1736</v>
      </c>
      <c r="N75" s="8" t="s">
        <v>1709</v>
      </c>
      <c r="O75" s="8">
        <v>262.77300000000002</v>
      </c>
      <c r="P75" s="8" t="s">
        <v>492</v>
      </c>
      <c r="Q75" s="8" t="s">
        <v>105</v>
      </c>
      <c r="R75" s="8" t="s">
        <v>525</v>
      </c>
      <c r="S75" s="8">
        <v>11</v>
      </c>
      <c r="T75" s="8" t="s">
        <v>87</v>
      </c>
      <c r="U75" s="8" t="s">
        <v>37</v>
      </c>
      <c r="V75" s="8" t="s">
        <v>1699</v>
      </c>
      <c r="W75" s="29" t="s">
        <v>878</v>
      </c>
      <c r="X75" s="29"/>
      <c r="Y75" s="29">
        <v>187</v>
      </c>
      <c r="Z75" s="29"/>
      <c r="AA75" s="29" t="s">
        <v>39</v>
      </c>
      <c r="AB75" s="29">
        <v>31</v>
      </c>
      <c r="AC75" s="23" t="s">
        <v>1736</v>
      </c>
      <c r="AD75" s="23" t="s">
        <v>1709</v>
      </c>
      <c r="AE75" s="8">
        <v>0</v>
      </c>
      <c r="AF75" s="8">
        <v>0</v>
      </c>
      <c r="AG75" s="8"/>
    </row>
    <row r="76" spans="1:33" hidden="1" x14ac:dyDescent="0.2">
      <c r="A76" s="8">
        <v>2502</v>
      </c>
      <c r="B76" s="16">
        <v>44073</v>
      </c>
      <c r="C76" s="8">
        <v>30012795</v>
      </c>
      <c r="D76" s="8" t="s">
        <v>54</v>
      </c>
      <c r="E76" s="8" t="s">
        <v>879</v>
      </c>
      <c r="F76" s="8" t="s">
        <v>880</v>
      </c>
      <c r="G76" s="8">
        <v>15018292</v>
      </c>
      <c r="H76" s="8">
        <v>802094853</v>
      </c>
      <c r="I76" s="8" t="s">
        <v>883</v>
      </c>
      <c r="J76" s="8" t="s">
        <v>83</v>
      </c>
      <c r="K76" s="8" t="s">
        <v>754</v>
      </c>
      <c r="L76" s="8" t="s">
        <v>755</v>
      </c>
      <c r="M76" s="8" t="s">
        <v>1736</v>
      </c>
      <c r="N76" s="8" t="s">
        <v>1709</v>
      </c>
      <c r="O76" s="8">
        <v>184.90799999999999</v>
      </c>
      <c r="P76" s="8" t="s">
        <v>492</v>
      </c>
      <c r="Q76" s="8" t="s">
        <v>105</v>
      </c>
      <c r="R76" s="8" t="s">
        <v>106</v>
      </c>
      <c r="S76" s="8">
        <v>8</v>
      </c>
      <c r="T76" s="8" t="s">
        <v>87</v>
      </c>
      <c r="U76" s="8" t="s">
        <v>37</v>
      </c>
      <c r="V76" s="8" t="s">
        <v>1699</v>
      </c>
      <c r="W76" s="29" t="s">
        <v>884</v>
      </c>
      <c r="X76" s="29"/>
      <c r="Y76" s="29">
        <v>192</v>
      </c>
      <c r="Z76" s="29" t="s">
        <v>885</v>
      </c>
      <c r="AA76" s="29" t="s">
        <v>39</v>
      </c>
      <c r="AB76" s="29">
        <v>31</v>
      </c>
      <c r="AC76" s="23" t="s">
        <v>1736</v>
      </c>
      <c r="AD76" s="23" t="s">
        <v>1709</v>
      </c>
      <c r="AE76" s="8">
        <v>0</v>
      </c>
      <c r="AF76" s="8">
        <v>0</v>
      </c>
      <c r="AG76" s="8"/>
    </row>
    <row r="77" spans="1:33" hidden="1" x14ac:dyDescent="0.2">
      <c r="A77" s="8">
        <v>2502</v>
      </c>
      <c r="B77" s="16">
        <v>44073</v>
      </c>
      <c r="C77" s="8">
        <v>30012795</v>
      </c>
      <c r="D77" s="8" t="s">
        <v>91</v>
      </c>
      <c r="E77" s="8" t="s">
        <v>197</v>
      </c>
      <c r="F77" s="8" t="s">
        <v>198</v>
      </c>
      <c r="G77" s="8">
        <v>15018352</v>
      </c>
      <c r="H77" s="8">
        <v>802094913</v>
      </c>
      <c r="I77" s="8" t="s">
        <v>94</v>
      </c>
      <c r="J77" s="8" t="s">
        <v>95</v>
      </c>
      <c r="K77" s="8" t="s">
        <v>754</v>
      </c>
      <c r="L77" s="8" t="s">
        <v>755</v>
      </c>
      <c r="M77" s="8" t="s">
        <v>1736</v>
      </c>
      <c r="N77" s="8" t="s">
        <v>1709</v>
      </c>
      <c r="O77" s="8">
        <v>95.682000000000002</v>
      </c>
      <c r="P77" s="8" t="s">
        <v>492</v>
      </c>
      <c r="Q77" s="8" t="s">
        <v>105</v>
      </c>
      <c r="R77" s="8" t="s">
        <v>199</v>
      </c>
      <c r="S77" s="8">
        <v>4</v>
      </c>
      <c r="T77" s="8" t="s">
        <v>87</v>
      </c>
      <c r="U77" s="8" t="s">
        <v>37</v>
      </c>
      <c r="V77" s="8" t="s">
        <v>1699</v>
      </c>
      <c r="W77" s="29" t="s">
        <v>888</v>
      </c>
      <c r="X77" s="29"/>
      <c r="Y77" s="29">
        <v>68</v>
      </c>
      <c r="Z77" s="29" t="s">
        <v>539</v>
      </c>
      <c r="AA77" s="29" t="s">
        <v>39</v>
      </c>
      <c r="AB77" s="29">
        <v>31</v>
      </c>
      <c r="AC77" s="23" t="s">
        <v>1736</v>
      </c>
      <c r="AD77" s="23" t="s">
        <v>1709</v>
      </c>
      <c r="AE77" s="8">
        <v>0</v>
      </c>
      <c r="AF77" s="8">
        <v>0</v>
      </c>
      <c r="AG77" s="8"/>
    </row>
    <row r="78" spans="1:33" x14ac:dyDescent="0.2">
      <c r="A78" s="8">
        <v>2501</v>
      </c>
      <c r="B78" s="16">
        <v>44053</v>
      </c>
      <c r="C78" s="8">
        <v>30012773</v>
      </c>
      <c r="D78" s="8" t="s">
        <v>28</v>
      </c>
      <c r="E78" s="8" t="s">
        <v>40</v>
      </c>
      <c r="F78" s="8" t="s">
        <v>41</v>
      </c>
      <c r="G78" s="8">
        <v>15018215</v>
      </c>
      <c r="H78" s="8">
        <v>802094833</v>
      </c>
      <c r="I78" s="8" t="s">
        <v>31</v>
      </c>
      <c r="J78" s="8" t="s">
        <v>32</v>
      </c>
      <c r="K78" s="8" t="s">
        <v>743</v>
      </c>
      <c r="L78" s="8" t="s">
        <v>744</v>
      </c>
      <c r="M78" s="8" t="s">
        <v>1728</v>
      </c>
      <c r="N78" s="8" t="s">
        <v>1698</v>
      </c>
      <c r="O78" s="8">
        <v>303.26600000000002</v>
      </c>
      <c r="P78" s="8" t="s">
        <v>33</v>
      </c>
      <c r="Q78" s="8" t="s">
        <v>206</v>
      </c>
      <c r="R78" s="8" t="s">
        <v>35</v>
      </c>
      <c r="S78" s="8">
        <v>15</v>
      </c>
      <c r="T78" s="8" t="s">
        <v>42</v>
      </c>
      <c r="U78" s="8" t="s">
        <v>37</v>
      </c>
      <c r="V78" s="8" t="s">
        <v>1699</v>
      </c>
      <c r="W78" s="29" t="s">
        <v>892</v>
      </c>
      <c r="X78" s="29"/>
      <c r="Y78" s="29">
        <v>300</v>
      </c>
      <c r="Z78" s="29"/>
      <c r="AA78" s="29" t="s">
        <v>39</v>
      </c>
      <c r="AB78" s="29">
        <v>31</v>
      </c>
      <c r="AC78" s="23">
        <v>44053</v>
      </c>
      <c r="AD78" s="23" t="s">
        <v>1698</v>
      </c>
      <c r="AE78" s="8">
        <v>1</v>
      </c>
      <c r="AF78" s="8">
        <v>0</v>
      </c>
      <c r="AG78" s="8" t="s">
        <v>1791</v>
      </c>
    </row>
    <row r="79" spans="1:33" hidden="1" x14ac:dyDescent="0.2">
      <c r="A79" s="8">
        <v>2504</v>
      </c>
      <c r="B79" s="16">
        <v>44043</v>
      </c>
      <c r="C79" s="8">
        <v>30012837</v>
      </c>
      <c r="D79" s="8" t="s">
        <v>137</v>
      </c>
      <c r="E79" s="8" t="s">
        <v>392</v>
      </c>
      <c r="F79" s="8" t="s">
        <v>393</v>
      </c>
      <c r="G79" s="8">
        <v>15017885</v>
      </c>
      <c r="H79" s="8">
        <v>802093853</v>
      </c>
      <c r="I79" s="8" t="s">
        <v>394</v>
      </c>
      <c r="J79" s="8" t="s">
        <v>58</v>
      </c>
      <c r="K79" s="8" t="s">
        <v>759</v>
      </c>
      <c r="L79" s="8" t="s">
        <v>760</v>
      </c>
      <c r="M79" s="8" t="s">
        <v>1713</v>
      </c>
      <c r="N79" s="8" t="s">
        <v>1732</v>
      </c>
      <c r="O79" s="8">
        <v>146.59200000000001</v>
      </c>
      <c r="P79" s="8" t="s">
        <v>48</v>
      </c>
      <c r="Q79" s="8" t="s">
        <v>498</v>
      </c>
      <c r="R79" s="8" t="s">
        <v>395</v>
      </c>
      <c r="S79" s="8">
        <v>6</v>
      </c>
      <c r="T79" s="8" t="s">
        <v>36</v>
      </c>
      <c r="U79" s="8" t="s">
        <v>37</v>
      </c>
      <c r="V79" s="8" t="s">
        <v>1706</v>
      </c>
      <c r="W79" s="29" t="s">
        <v>721</v>
      </c>
      <c r="X79" s="29"/>
      <c r="Y79" s="29">
        <v>72</v>
      </c>
      <c r="Z79" s="29" t="s">
        <v>722</v>
      </c>
      <c r="AA79" s="29" t="s">
        <v>39</v>
      </c>
      <c r="AB79" s="29">
        <v>31</v>
      </c>
      <c r="AC79" s="23">
        <v>44050</v>
      </c>
      <c r="AD79" s="23">
        <v>44074</v>
      </c>
      <c r="AE79" s="8">
        <v>1</v>
      </c>
      <c r="AF79" s="8"/>
      <c r="AG79" s="22" t="s">
        <v>1778</v>
      </c>
    </row>
    <row r="80" spans="1:33" hidden="1" x14ac:dyDescent="0.2">
      <c r="A80" s="8">
        <v>2504</v>
      </c>
      <c r="B80" s="16">
        <v>44042</v>
      </c>
      <c r="C80" s="8">
        <v>30012629</v>
      </c>
      <c r="D80" s="8" t="s">
        <v>137</v>
      </c>
      <c r="E80" s="8" t="s">
        <v>513</v>
      </c>
      <c r="F80" s="8" t="s">
        <v>514</v>
      </c>
      <c r="G80" s="8">
        <v>15017854</v>
      </c>
      <c r="H80" s="8">
        <v>802093699</v>
      </c>
      <c r="I80" s="8" t="s">
        <v>77</v>
      </c>
      <c r="J80" s="8" t="s">
        <v>32</v>
      </c>
      <c r="K80" s="8" t="s">
        <v>591</v>
      </c>
      <c r="L80" s="8" t="s">
        <v>356</v>
      </c>
      <c r="M80" s="8" t="s">
        <v>1738</v>
      </c>
      <c r="N80" s="8" t="s">
        <v>1721</v>
      </c>
      <c r="O80" s="8">
        <v>512.86</v>
      </c>
      <c r="P80" s="8" t="s">
        <v>48</v>
      </c>
      <c r="Q80" s="8" t="s">
        <v>1739</v>
      </c>
      <c r="R80" s="8" t="s">
        <v>517</v>
      </c>
      <c r="S80" s="8">
        <v>19</v>
      </c>
      <c r="T80" s="8" t="s">
        <v>362</v>
      </c>
      <c r="U80" s="8" t="s">
        <v>37</v>
      </c>
      <c r="V80" s="8" t="s">
        <v>155</v>
      </c>
      <c r="W80" s="29" t="s">
        <v>626</v>
      </c>
      <c r="X80" s="29"/>
      <c r="Y80" s="29">
        <v>494</v>
      </c>
      <c r="Z80" s="29" t="s">
        <v>292</v>
      </c>
      <c r="AA80" s="29" t="s">
        <v>39</v>
      </c>
      <c r="AB80" s="29">
        <v>31</v>
      </c>
      <c r="AC80" s="23" t="str">
        <f t="shared" ref="AC80:AD83" si="6">M80</f>
        <v>08/08/2020</v>
      </c>
      <c r="AD80" s="23" t="str">
        <f t="shared" si="6"/>
        <v>25/08/2020</v>
      </c>
      <c r="AE80" s="8"/>
      <c r="AF80" s="8"/>
      <c r="AG80" s="8"/>
    </row>
    <row r="81" spans="1:33" hidden="1" x14ac:dyDescent="0.2">
      <c r="A81" s="8">
        <v>2524</v>
      </c>
      <c r="B81" s="16">
        <v>44032</v>
      </c>
      <c r="C81" s="8">
        <v>30012629</v>
      </c>
      <c r="D81" s="8" t="s">
        <v>178</v>
      </c>
      <c r="E81" s="8" t="s">
        <v>186</v>
      </c>
      <c r="F81" s="8" t="s">
        <v>187</v>
      </c>
      <c r="G81" s="8">
        <v>15017961</v>
      </c>
      <c r="H81" s="8">
        <v>802093874</v>
      </c>
      <c r="I81" s="8" t="s">
        <v>389</v>
      </c>
      <c r="J81" s="8" t="s">
        <v>47</v>
      </c>
      <c r="K81" s="8" t="s">
        <v>591</v>
      </c>
      <c r="L81" s="8" t="s">
        <v>356</v>
      </c>
      <c r="M81" s="8" t="s">
        <v>1738</v>
      </c>
      <c r="N81" s="8" t="s">
        <v>1740</v>
      </c>
      <c r="O81" s="8">
        <v>173.89099999999999</v>
      </c>
      <c r="P81" s="8" t="s">
        <v>48</v>
      </c>
      <c r="Q81" s="8" t="s">
        <v>182</v>
      </c>
      <c r="R81" s="8" t="s">
        <v>391</v>
      </c>
      <c r="S81" s="8">
        <v>7</v>
      </c>
      <c r="T81" s="8" t="s">
        <v>36</v>
      </c>
      <c r="U81" s="8" t="s">
        <v>37</v>
      </c>
      <c r="V81" s="8" t="s">
        <v>155</v>
      </c>
      <c r="W81" s="29" t="s">
        <v>629</v>
      </c>
      <c r="X81" s="29"/>
      <c r="Y81" s="29">
        <v>140</v>
      </c>
      <c r="Z81" s="29" t="s">
        <v>53</v>
      </c>
      <c r="AA81" s="29" t="s">
        <v>190</v>
      </c>
      <c r="AB81" s="29">
        <v>31</v>
      </c>
      <c r="AC81" s="23" t="str">
        <f t="shared" si="6"/>
        <v>08/08/2020</v>
      </c>
      <c r="AD81" s="23" t="str">
        <f t="shared" si="6"/>
        <v>18/08/2020</v>
      </c>
      <c r="AE81" s="8"/>
      <c r="AF81" s="8"/>
      <c r="AG81" s="8"/>
    </row>
    <row r="82" spans="1:33" hidden="1" x14ac:dyDescent="0.2">
      <c r="A82" s="8">
        <v>2504</v>
      </c>
      <c r="B82" s="16">
        <v>44073</v>
      </c>
      <c r="C82" s="8">
        <v>30012823</v>
      </c>
      <c r="D82" s="8" t="s">
        <v>28</v>
      </c>
      <c r="E82" s="8" t="s">
        <v>129</v>
      </c>
      <c r="F82" s="8" t="s">
        <v>507</v>
      </c>
      <c r="G82" s="8">
        <v>15018339</v>
      </c>
      <c r="H82" s="8">
        <v>802095065</v>
      </c>
      <c r="I82" s="8" t="s">
        <v>77</v>
      </c>
      <c r="J82" s="8" t="s">
        <v>32</v>
      </c>
      <c r="K82" s="8" t="s">
        <v>908</v>
      </c>
      <c r="L82" s="8" t="s">
        <v>572</v>
      </c>
      <c r="M82" s="8" t="s">
        <v>1738</v>
      </c>
      <c r="N82" s="8" t="s">
        <v>1742</v>
      </c>
      <c r="O82" s="8">
        <v>484.38</v>
      </c>
      <c r="P82" s="8" t="s">
        <v>48</v>
      </c>
      <c r="Q82" s="8" t="s">
        <v>405</v>
      </c>
      <c r="R82" s="8" t="s">
        <v>406</v>
      </c>
      <c r="S82" s="8">
        <v>18</v>
      </c>
      <c r="T82" s="8" t="s">
        <v>362</v>
      </c>
      <c r="U82" s="8" t="s">
        <v>934</v>
      </c>
      <c r="V82" s="8" t="s">
        <v>155</v>
      </c>
      <c r="W82" s="29" t="s">
        <v>935</v>
      </c>
      <c r="X82" s="29"/>
      <c r="Y82" s="29">
        <v>468</v>
      </c>
      <c r="Z82" s="29"/>
      <c r="AA82" s="29" t="s">
        <v>39</v>
      </c>
      <c r="AB82" s="29">
        <v>31</v>
      </c>
      <c r="AC82" s="23" t="str">
        <f t="shared" si="6"/>
        <v>08/08/2020</v>
      </c>
      <c r="AD82" s="23" t="str">
        <f t="shared" si="6"/>
        <v>19/08/2020</v>
      </c>
      <c r="AE82" s="8"/>
      <c r="AF82" s="8"/>
      <c r="AG82" s="8"/>
    </row>
    <row r="83" spans="1:33" hidden="1" x14ac:dyDescent="0.2">
      <c r="A83" s="8">
        <v>2504</v>
      </c>
      <c r="B83" s="16">
        <v>44073</v>
      </c>
      <c r="C83" s="8">
        <v>30012823</v>
      </c>
      <c r="D83" s="8" t="s">
        <v>28</v>
      </c>
      <c r="E83" s="8" t="s">
        <v>129</v>
      </c>
      <c r="F83" s="8" t="s">
        <v>507</v>
      </c>
      <c r="G83" s="8">
        <v>15018341</v>
      </c>
      <c r="H83" s="8">
        <v>802095066</v>
      </c>
      <c r="I83" s="8" t="s">
        <v>77</v>
      </c>
      <c r="J83" s="8" t="s">
        <v>32</v>
      </c>
      <c r="K83" s="8" t="s">
        <v>908</v>
      </c>
      <c r="L83" s="8" t="s">
        <v>572</v>
      </c>
      <c r="M83" s="8" t="s">
        <v>1738</v>
      </c>
      <c r="N83" s="8" t="s">
        <v>1742</v>
      </c>
      <c r="O83" s="8">
        <v>511.29</v>
      </c>
      <c r="P83" s="8" t="s">
        <v>48</v>
      </c>
      <c r="Q83" s="8" t="s">
        <v>405</v>
      </c>
      <c r="R83" s="8" t="s">
        <v>406</v>
      </c>
      <c r="S83" s="8">
        <v>19</v>
      </c>
      <c r="T83" s="8" t="s">
        <v>362</v>
      </c>
      <c r="U83" s="8" t="s">
        <v>934</v>
      </c>
      <c r="V83" s="8" t="s">
        <v>155</v>
      </c>
      <c r="W83" s="29" t="s">
        <v>938</v>
      </c>
      <c r="X83" s="29"/>
      <c r="Y83" s="29">
        <v>494</v>
      </c>
      <c r="Z83" s="29"/>
      <c r="AA83" s="29" t="s">
        <v>39</v>
      </c>
      <c r="AB83" s="29">
        <v>31</v>
      </c>
      <c r="AC83" s="23" t="str">
        <f t="shared" si="6"/>
        <v>08/08/2020</v>
      </c>
      <c r="AD83" s="23" t="str">
        <f t="shared" si="6"/>
        <v>19/08/2020</v>
      </c>
      <c r="AE83" s="8"/>
      <c r="AF83" s="8"/>
      <c r="AG83" s="8"/>
    </row>
    <row r="84" spans="1:33" x14ac:dyDescent="0.2">
      <c r="A84" s="8">
        <v>2501</v>
      </c>
      <c r="B84" s="16">
        <v>44053</v>
      </c>
      <c r="C84" s="8">
        <v>30012774</v>
      </c>
      <c r="D84" s="8" t="s">
        <v>62</v>
      </c>
      <c r="E84" s="8" t="s">
        <v>217</v>
      </c>
      <c r="F84" s="8" t="s">
        <v>218</v>
      </c>
      <c r="G84" s="8">
        <v>15018218</v>
      </c>
      <c r="H84" s="8">
        <v>802094835</v>
      </c>
      <c r="I84" s="8" t="s">
        <v>31</v>
      </c>
      <c r="J84" s="8" t="s">
        <v>32</v>
      </c>
      <c r="K84" s="8" t="s">
        <v>388</v>
      </c>
      <c r="L84" s="8" t="s">
        <v>831</v>
      </c>
      <c r="M84" s="8" t="s">
        <v>1722</v>
      </c>
      <c r="N84" s="8" t="s">
        <v>1741</v>
      </c>
      <c r="O84" s="8">
        <v>487.68</v>
      </c>
      <c r="P84" s="8" t="s">
        <v>33</v>
      </c>
      <c r="Q84" s="8" t="s">
        <v>206</v>
      </c>
      <c r="R84" s="8" t="s">
        <v>35</v>
      </c>
      <c r="S84" s="8">
        <v>20</v>
      </c>
      <c r="T84" s="8" t="s">
        <v>36</v>
      </c>
      <c r="U84" s="8" t="s">
        <v>290</v>
      </c>
      <c r="V84" s="8" t="s">
        <v>1699</v>
      </c>
      <c r="W84" s="29" t="s">
        <v>985</v>
      </c>
      <c r="X84" s="29"/>
      <c r="Y84" s="29">
        <v>480</v>
      </c>
      <c r="Z84" s="29"/>
      <c r="AA84" s="29" t="s">
        <v>39</v>
      </c>
      <c r="AB84" s="29">
        <v>31</v>
      </c>
      <c r="AC84" s="23">
        <v>44059</v>
      </c>
      <c r="AD84" s="23">
        <v>44068</v>
      </c>
      <c r="AE84" s="8">
        <v>5</v>
      </c>
      <c r="AF84" s="8">
        <v>1</v>
      </c>
      <c r="AG84" s="8" t="s">
        <v>1791</v>
      </c>
    </row>
    <row r="85" spans="1:33" x14ac:dyDescent="0.2">
      <c r="A85" s="8">
        <v>2501</v>
      </c>
      <c r="B85" s="16">
        <v>44048</v>
      </c>
      <c r="C85" s="8">
        <v>30012772</v>
      </c>
      <c r="D85" s="8" t="s">
        <v>137</v>
      </c>
      <c r="E85" s="8" t="s">
        <v>156</v>
      </c>
      <c r="F85" s="8" t="s">
        <v>157</v>
      </c>
      <c r="G85" s="8">
        <v>15018368</v>
      </c>
      <c r="H85" s="8">
        <v>802095011</v>
      </c>
      <c r="I85" s="8" t="s">
        <v>158</v>
      </c>
      <c r="J85" s="8" t="s">
        <v>58</v>
      </c>
      <c r="K85" s="8" t="s">
        <v>908</v>
      </c>
      <c r="L85" s="8" t="s">
        <v>572</v>
      </c>
      <c r="M85" s="8" t="s">
        <v>1722</v>
      </c>
      <c r="N85" s="8" t="s">
        <v>1741</v>
      </c>
      <c r="O85" s="8">
        <v>103.02200000000001</v>
      </c>
      <c r="P85" s="8" t="s">
        <v>33</v>
      </c>
      <c r="Q85" s="8" t="s">
        <v>159</v>
      </c>
      <c r="R85" s="8" t="s">
        <v>160</v>
      </c>
      <c r="S85" s="8">
        <v>4</v>
      </c>
      <c r="T85" s="8" t="s">
        <v>72</v>
      </c>
      <c r="U85" s="8" t="s">
        <v>37</v>
      </c>
      <c r="V85" s="8" t="s">
        <v>1699</v>
      </c>
      <c r="W85" s="29" t="s">
        <v>909</v>
      </c>
      <c r="X85" s="29"/>
      <c r="Y85" s="29">
        <v>44</v>
      </c>
      <c r="Z85" s="29"/>
      <c r="AA85" s="29" t="s">
        <v>39</v>
      </c>
      <c r="AB85" s="29">
        <v>31</v>
      </c>
      <c r="AC85" s="23" t="s">
        <v>1722</v>
      </c>
      <c r="AD85" s="23" t="s">
        <v>1737</v>
      </c>
      <c r="AE85" s="8">
        <v>0</v>
      </c>
      <c r="AF85" s="8">
        <v>5</v>
      </c>
      <c r="AG85" s="8"/>
    </row>
    <row r="86" spans="1:33" hidden="1" x14ac:dyDescent="0.2">
      <c r="A86" s="8">
        <v>2502</v>
      </c>
      <c r="B86" s="16">
        <v>44048</v>
      </c>
      <c r="C86" s="8">
        <v>30012790</v>
      </c>
      <c r="D86" s="8" t="s">
        <v>62</v>
      </c>
      <c r="E86" s="8" t="s">
        <v>378</v>
      </c>
      <c r="F86" s="8" t="s">
        <v>379</v>
      </c>
      <c r="G86" s="8">
        <v>15018371</v>
      </c>
      <c r="H86" s="8">
        <v>802094997</v>
      </c>
      <c r="I86" s="8" t="s">
        <v>380</v>
      </c>
      <c r="J86" s="8" t="s">
        <v>83</v>
      </c>
      <c r="K86" s="8" t="s">
        <v>495</v>
      </c>
      <c r="L86" s="8" t="s">
        <v>753</v>
      </c>
      <c r="M86" s="8" t="s">
        <v>1719</v>
      </c>
      <c r="N86" s="8" t="s">
        <v>1712</v>
      </c>
      <c r="O86" s="8">
        <v>96.004999999999995</v>
      </c>
      <c r="P86" s="8" t="s">
        <v>492</v>
      </c>
      <c r="Q86" s="8" t="s">
        <v>206</v>
      </c>
      <c r="R86" s="8" t="s">
        <v>381</v>
      </c>
      <c r="S86" s="8">
        <v>5</v>
      </c>
      <c r="T86" s="8" t="s">
        <v>87</v>
      </c>
      <c r="U86" s="8" t="s">
        <v>37</v>
      </c>
      <c r="V86" s="8" t="s">
        <v>155</v>
      </c>
      <c r="W86" s="29" t="s">
        <v>916</v>
      </c>
      <c r="X86" s="29"/>
      <c r="Y86" s="29">
        <v>100</v>
      </c>
      <c r="Z86" s="29"/>
      <c r="AA86" s="29" t="s">
        <v>39</v>
      </c>
      <c r="AB86" s="29">
        <v>31</v>
      </c>
      <c r="AC86" s="23" t="str">
        <f t="shared" ref="AC86:AD89" si="7">M86</f>
        <v>14/08/2020</v>
      </c>
      <c r="AD86" s="23" t="str">
        <f t="shared" si="7"/>
        <v>02/09/2020</v>
      </c>
      <c r="AE86" s="8">
        <v>0</v>
      </c>
      <c r="AF86" s="8">
        <v>0</v>
      </c>
      <c r="AG86" s="8"/>
    </row>
    <row r="87" spans="1:33" hidden="1" x14ac:dyDescent="0.2">
      <c r="A87" s="8">
        <v>2504</v>
      </c>
      <c r="B87" s="16">
        <v>44017</v>
      </c>
      <c r="C87" s="8">
        <v>30012829</v>
      </c>
      <c r="D87" s="8" t="s">
        <v>44</v>
      </c>
      <c r="E87" s="8" t="s">
        <v>45</v>
      </c>
      <c r="F87" s="8" t="s">
        <v>46</v>
      </c>
      <c r="G87" s="8">
        <v>15018494</v>
      </c>
      <c r="H87" s="8">
        <v>802095180</v>
      </c>
      <c r="I87" s="8" t="s">
        <v>708</v>
      </c>
      <c r="J87" s="8" t="s">
        <v>47</v>
      </c>
      <c r="K87" s="8" t="s">
        <v>754</v>
      </c>
      <c r="L87" s="8" t="s">
        <v>755</v>
      </c>
      <c r="M87" s="8" t="s">
        <v>1738</v>
      </c>
      <c r="N87" s="8" t="s">
        <v>1735</v>
      </c>
      <c r="O87" s="8">
        <v>20.274999999999999</v>
      </c>
      <c r="P87" s="8" t="s">
        <v>48</v>
      </c>
      <c r="Q87" s="8" t="s">
        <v>49</v>
      </c>
      <c r="R87" s="8" t="s">
        <v>50</v>
      </c>
      <c r="S87" s="8">
        <v>1</v>
      </c>
      <c r="T87" s="8" t="s">
        <v>42</v>
      </c>
      <c r="U87" s="8" t="s">
        <v>37</v>
      </c>
      <c r="V87" s="8" t="s">
        <v>1699</v>
      </c>
      <c r="W87" s="29" t="s">
        <v>757</v>
      </c>
      <c r="X87" s="29"/>
      <c r="Y87" s="29">
        <v>2</v>
      </c>
      <c r="Z87" s="29" t="s">
        <v>53</v>
      </c>
      <c r="AA87" s="29" t="s">
        <v>39</v>
      </c>
      <c r="AB87" s="29">
        <v>31</v>
      </c>
      <c r="AC87" s="23" t="str">
        <f t="shared" si="7"/>
        <v>08/08/2020</v>
      </c>
      <c r="AD87" s="23" t="str">
        <f t="shared" si="7"/>
        <v>05/09/2020</v>
      </c>
      <c r="AE87" s="8"/>
      <c r="AF87" s="8"/>
      <c r="AG87" s="8"/>
    </row>
    <row r="88" spans="1:33" hidden="1" x14ac:dyDescent="0.2">
      <c r="A88" s="8">
        <v>2504</v>
      </c>
      <c r="B88" s="16">
        <v>44074</v>
      </c>
      <c r="C88" s="8">
        <v>30012813</v>
      </c>
      <c r="D88" s="8" t="s">
        <v>28</v>
      </c>
      <c r="E88" s="8" t="s">
        <v>253</v>
      </c>
      <c r="F88" s="8" t="s">
        <v>254</v>
      </c>
      <c r="G88" s="8">
        <v>15018199</v>
      </c>
      <c r="H88" s="8">
        <v>802094735</v>
      </c>
      <c r="I88" s="8" t="s">
        <v>255</v>
      </c>
      <c r="J88" s="8" t="s">
        <v>58</v>
      </c>
      <c r="K88" s="8" t="s">
        <v>489</v>
      </c>
      <c r="L88" s="8" t="s">
        <v>896</v>
      </c>
      <c r="M88" s="8" t="s">
        <v>1728</v>
      </c>
      <c r="N88" s="8" t="s">
        <v>1732</v>
      </c>
      <c r="O88" s="8">
        <v>92.53</v>
      </c>
      <c r="P88" s="8" t="s">
        <v>48</v>
      </c>
      <c r="Q88" s="8" t="s">
        <v>1705</v>
      </c>
      <c r="R88" s="8" t="s">
        <v>60</v>
      </c>
      <c r="S88" s="8">
        <v>4</v>
      </c>
      <c r="T88" s="8" t="s">
        <v>61</v>
      </c>
      <c r="U88" s="8" t="s">
        <v>37</v>
      </c>
      <c r="V88" s="8" t="s">
        <v>1706</v>
      </c>
      <c r="W88" s="29" t="s">
        <v>897</v>
      </c>
      <c r="X88" s="29"/>
      <c r="Y88" s="29">
        <v>40</v>
      </c>
      <c r="Z88" s="29" t="s">
        <v>898</v>
      </c>
      <c r="AA88" s="29" t="s">
        <v>175</v>
      </c>
      <c r="AB88" s="29">
        <v>31</v>
      </c>
      <c r="AC88" s="23" t="str">
        <f t="shared" si="7"/>
        <v>09/08/2020</v>
      </c>
      <c r="AD88" s="23" t="str">
        <f t="shared" si="7"/>
        <v>31/08/2020</v>
      </c>
      <c r="AE88" s="8"/>
      <c r="AF88" s="8"/>
      <c r="AG88" s="8"/>
    </row>
    <row r="89" spans="1:33" hidden="1" x14ac:dyDescent="0.2">
      <c r="A89" s="8">
        <v>2504</v>
      </c>
      <c r="B89" s="16">
        <v>44074</v>
      </c>
      <c r="C89" s="8">
        <v>30012813</v>
      </c>
      <c r="D89" s="8" t="s">
        <v>28</v>
      </c>
      <c r="E89" s="8" t="s">
        <v>253</v>
      </c>
      <c r="F89" s="8" t="s">
        <v>254</v>
      </c>
      <c r="G89" s="8">
        <v>15018200</v>
      </c>
      <c r="H89" s="8">
        <v>802094736</v>
      </c>
      <c r="I89" s="8" t="s">
        <v>256</v>
      </c>
      <c r="J89" s="8" t="s">
        <v>58</v>
      </c>
      <c r="K89" s="8" t="s">
        <v>489</v>
      </c>
      <c r="L89" s="8" t="s">
        <v>896</v>
      </c>
      <c r="M89" s="8" t="s">
        <v>1728</v>
      </c>
      <c r="N89" s="8" t="s">
        <v>1732</v>
      </c>
      <c r="O89" s="8">
        <v>76.364000000000004</v>
      </c>
      <c r="P89" s="8" t="s">
        <v>48</v>
      </c>
      <c r="Q89" s="8" t="s">
        <v>1705</v>
      </c>
      <c r="R89" s="8" t="s">
        <v>60</v>
      </c>
      <c r="S89" s="8">
        <v>3</v>
      </c>
      <c r="T89" s="8" t="s">
        <v>72</v>
      </c>
      <c r="U89" s="8" t="s">
        <v>37</v>
      </c>
      <c r="V89" s="8" t="s">
        <v>1706</v>
      </c>
      <c r="W89" s="29" t="s">
        <v>901</v>
      </c>
      <c r="X89" s="29"/>
      <c r="Y89" s="29">
        <v>24</v>
      </c>
      <c r="Z89" s="29" t="s">
        <v>898</v>
      </c>
      <c r="AA89" s="29" t="s">
        <v>175</v>
      </c>
      <c r="AB89" s="29">
        <v>31</v>
      </c>
      <c r="AC89" s="23" t="str">
        <f t="shared" si="7"/>
        <v>09/08/2020</v>
      </c>
      <c r="AD89" s="23" t="str">
        <f t="shared" si="7"/>
        <v>31/08/2020</v>
      </c>
      <c r="AE89" s="8"/>
      <c r="AF89" s="8"/>
      <c r="AG89" s="8"/>
    </row>
    <row r="90" spans="1:33" x14ac:dyDescent="0.2">
      <c r="A90" s="8">
        <v>2501</v>
      </c>
      <c r="B90" s="16">
        <v>44048</v>
      </c>
      <c r="C90" s="8">
        <v>30012772</v>
      </c>
      <c r="D90" s="8" t="s">
        <v>137</v>
      </c>
      <c r="E90" s="8" t="s">
        <v>156</v>
      </c>
      <c r="F90" s="8" t="s">
        <v>157</v>
      </c>
      <c r="G90" s="8">
        <v>15018369</v>
      </c>
      <c r="H90" s="8">
        <v>802095012</v>
      </c>
      <c r="I90" s="8" t="s">
        <v>161</v>
      </c>
      <c r="J90" s="8" t="s">
        <v>58</v>
      </c>
      <c r="K90" s="8" t="s">
        <v>908</v>
      </c>
      <c r="L90" s="8" t="s">
        <v>572</v>
      </c>
      <c r="M90" s="8" t="s">
        <v>1722</v>
      </c>
      <c r="N90" s="8" t="s">
        <v>1741</v>
      </c>
      <c r="O90" s="8">
        <v>102.48</v>
      </c>
      <c r="P90" s="8" t="s">
        <v>33</v>
      </c>
      <c r="Q90" s="8" t="s">
        <v>159</v>
      </c>
      <c r="R90" s="8" t="s">
        <v>160</v>
      </c>
      <c r="S90" s="8">
        <v>4</v>
      </c>
      <c r="T90" s="8" t="s">
        <v>72</v>
      </c>
      <c r="U90" s="8" t="s">
        <v>290</v>
      </c>
      <c r="V90" s="8" t="s">
        <v>1699</v>
      </c>
      <c r="W90" s="29" t="s">
        <v>912</v>
      </c>
      <c r="X90" s="29"/>
      <c r="Y90" s="29">
        <v>40</v>
      </c>
      <c r="Z90" s="29"/>
      <c r="AA90" s="29" t="s">
        <v>39</v>
      </c>
      <c r="AB90" s="29">
        <v>31</v>
      </c>
      <c r="AC90" s="23" t="s">
        <v>1722</v>
      </c>
      <c r="AD90" s="23" t="s">
        <v>1737</v>
      </c>
      <c r="AE90" s="8">
        <v>0</v>
      </c>
      <c r="AF90" s="8">
        <v>5</v>
      </c>
      <c r="AG90" s="8"/>
    </row>
    <row r="91" spans="1:33" hidden="1" x14ac:dyDescent="0.2">
      <c r="A91" s="8">
        <v>2502</v>
      </c>
      <c r="B91" s="16">
        <v>44053</v>
      </c>
      <c r="C91" s="8">
        <v>30012791</v>
      </c>
      <c r="D91" s="8" t="s">
        <v>91</v>
      </c>
      <c r="E91" s="8" t="s">
        <v>214</v>
      </c>
      <c r="F91" s="8" t="s">
        <v>215</v>
      </c>
      <c r="G91" s="8">
        <v>15018188</v>
      </c>
      <c r="H91" s="8">
        <v>802094756</v>
      </c>
      <c r="I91" s="8" t="s">
        <v>216</v>
      </c>
      <c r="J91" s="8" t="s">
        <v>95</v>
      </c>
      <c r="K91" s="8" t="s">
        <v>920</v>
      </c>
      <c r="L91" s="8" t="s">
        <v>831</v>
      </c>
      <c r="M91" s="8" t="s">
        <v>1698</v>
      </c>
      <c r="N91" s="8" t="s">
        <v>1715</v>
      </c>
      <c r="O91" s="8">
        <v>158.42599999999999</v>
      </c>
      <c r="P91" s="8" t="s">
        <v>492</v>
      </c>
      <c r="Q91" s="8" t="s">
        <v>100</v>
      </c>
      <c r="R91" s="8" t="s">
        <v>101</v>
      </c>
      <c r="S91" s="8">
        <v>7</v>
      </c>
      <c r="T91" s="8" t="s">
        <v>87</v>
      </c>
      <c r="U91" s="8" t="s">
        <v>37</v>
      </c>
      <c r="V91" s="8" t="s">
        <v>155</v>
      </c>
      <c r="W91" s="29" t="s">
        <v>921</v>
      </c>
      <c r="X91" s="29"/>
      <c r="Y91" s="29">
        <v>140</v>
      </c>
      <c r="Z91" s="29"/>
      <c r="AA91" s="29" t="s">
        <v>39</v>
      </c>
      <c r="AB91" s="29">
        <v>31</v>
      </c>
      <c r="AC91" s="23" t="str">
        <f t="shared" ref="AC91:AD98" si="8">M91</f>
        <v>17/08/2020</v>
      </c>
      <c r="AD91" s="23" t="str">
        <f t="shared" si="8"/>
        <v>28/08/2020</v>
      </c>
      <c r="AE91" s="8">
        <v>0</v>
      </c>
      <c r="AF91" s="8">
        <v>0</v>
      </c>
      <c r="AG91" s="8"/>
    </row>
    <row r="92" spans="1:33" hidden="1" x14ac:dyDescent="0.2">
      <c r="A92" s="8">
        <v>2504</v>
      </c>
      <c r="B92" s="16">
        <v>44074</v>
      </c>
      <c r="C92" s="8">
        <v>30012813</v>
      </c>
      <c r="D92" s="8" t="s">
        <v>28</v>
      </c>
      <c r="E92" s="8" t="s">
        <v>253</v>
      </c>
      <c r="F92" s="8" t="s">
        <v>254</v>
      </c>
      <c r="G92" s="8">
        <v>15018201</v>
      </c>
      <c r="H92" s="8">
        <v>802094737</v>
      </c>
      <c r="I92" s="8" t="s">
        <v>396</v>
      </c>
      <c r="J92" s="8" t="s">
        <v>58</v>
      </c>
      <c r="K92" s="8" t="s">
        <v>489</v>
      </c>
      <c r="L92" s="8" t="s">
        <v>896</v>
      </c>
      <c r="M92" s="8" t="s">
        <v>1728</v>
      </c>
      <c r="N92" s="8" t="s">
        <v>1732</v>
      </c>
      <c r="O92" s="8">
        <v>44.704000000000001</v>
      </c>
      <c r="P92" s="8" t="s">
        <v>48</v>
      </c>
      <c r="Q92" s="8" t="s">
        <v>1705</v>
      </c>
      <c r="R92" s="8" t="s">
        <v>60</v>
      </c>
      <c r="S92" s="8">
        <v>2</v>
      </c>
      <c r="T92" s="8" t="s">
        <v>61</v>
      </c>
      <c r="U92" s="8" t="s">
        <v>37</v>
      </c>
      <c r="V92" s="8" t="s">
        <v>1706</v>
      </c>
      <c r="W92" s="29" t="s">
        <v>904</v>
      </c>
      <c r="X92" s="29"/>
      <c r="Y92" s="29">
        <v>14</v>
      </c>
      <c r="Z92" s="29" t="s">
        <v>898</v>
      </c>
      <c r="AA92" s="29" t="s">
        <v>175</v>
      </c>
      <c r="AB92" s="29">
        <v>31</v>
      </c>
      <c r="AC92" s="23" t="str">
        <f t="shared" si="8"/>
        <v>09/08/2020</v>
      </c>
      <c r="AD92" s="23" t="str">
        <f t="shared" si="8"/>
        <v>31/08/2020</v>
      </c>
      <c r="AE92" s="8"/>
      <c r="AF92" s="8"/>
      <c r="AG92" s="8"/>
    </row>
    <row r="93" spans="1:33" hidden="1" x14ac:dyDescent="0.2">
      <c r="A93" s="8">
        <v>2504</v>
      </c>
      <c r="B93" s="16">
        <v>44073</v>
      </c>
      <c r="C93" s="8">
        <v>30012806</v>
      </c>
      <c r="D93" s="8" t="s">
        <v>74</v>
      </c>
      <c r="E93" s="8" t="s">
        <v>75</v>
      </c>
      <c r="F93" s="8" t="s">
        <v>76</v>
      </c>
      <c r="G93" s="8">
        <v>15018248</v>
      </c>
      <c r="H93" s="8">
        <v>802095108</v>
      </c>
      <c r="I93" s="8" t="s">
        <v>77</v>
      </c>
      <c r="J93" s="8" t="s">
        <v>32</v>
      </c>
      <c r="K93" s="8" t="s">
        <v>959</v>
      </c>
      <c r="L93" s="8" t="s">
        <v>960</v>
      </c>
      <c r="M93" s="8" t="s">
        <v>1736</v>
      </c>
      <c r="N93" s="8" t="s">
        <v>1744</v>
      </c>
      <c r="O93" s="8">
        <v>299.654</v>
      </c>
      <c r="P93" s="8" t="s">
        <v>48</v>
      </c>
      <c r="Q93" s="8" t="s">
        <v>78</v>
      </c>
      <c r="R93" s="8" t="s">
        <v>79</v>
      </c>
      <c r="S93" s="8">
        <v>12</v>
      </c>
      <c r="T93" s="8" t="s">
        <v>36</v>
      </c>
      <c r="U93" s="8" t="s">
        <v>37</v>
      </c>
      <c r="V93" s="8" t="s">
        <v>1718</v>
      </c>
      <c r="W93" s="29" t="s">
        <v>961</v>
      </c>
      <c r="X93" s="29"/>
      <c r="Y93" s="29">
        <v>288</v>
      </c>
      <c r="Z93" s="29" t="s">
        <v>962</v>
      </c>
      <c r="AA93" s="29" t="s">
        <v>39</v>
      </c>
      <c r="AB93" s="29">
        <v>31</v>
      </c>
      <c r="AC93" s="23" t="str">
        <f t="shared" si="8"/>
        <v>10/08/2020</v>
      </c>
      <c r="AD93" s="23" t="str">
        <f t="shared" si="8"/>
        <v>11/10/2020</v>
      </c>
      <c r="AE93" s="8"/>
      <c r="AF93" s="8"/>
      <c r="AG93" s="8"/>
    </row>
    <row r="94" spans="1:33" hidden="1" x14ac:dyDescent="0.2">
      <c r="A94" s="8">
        <v>2504</v>
      </c>
      <c r="B94" s="16">
        <v>44073</v>
      </c>
      <c r="C94" s="8">
        <v>30012806</v>
      </c>
      <c r="D94" s="8" t="s">
        <v>74</v>
      </c>
      <c r="E94" s="8" t="s">
        <v>75</v>
      </c>
      <c r="F94" s="8" t="s">
        <v>76</v>
      </c>
      <c r="G94" s="8">
        <v>15018249</v>
      </c>
      <c r="H94" s="8">
        <v>802094753</v>
      </c>
      <c r="I94" s="8" t="s">
        <v>77</v>
      </c>
      <c r="J94" s="8" t="s">
        <v>32</v>
      </c>
      <c r="K94" s="8" t="s">
        <v>959</v>
      </c>
      <c r="L94" s="8" t="s">
        <v>960</v>
      </c>
      <c r="M94" s="8" t="s">
        <v>1736</v>
      </c>
      <c r="N94" s="8" t="s">
        <v>1744</v>
      </c>
      <c r="O94" s="8">
        <v>224.77199999999999</v>
      </c>
      <c r="P94" s="8" t="s">
        <v>48</v>
      </c>
      <c r="Q94" s="8" t="s">
        <v>78</v>
      </c>
      <c r="R94" s="8" t="s">
        <v>79</v>
      </c>
      <c r="S94" s="8">
        <v>9</v>
      </c>
      <c r="T94" s="8" t="s">
        <v>72</v>
      </c>
      <c r="U94" s="8" t="s">
        <v>37</v>
      </c>
      <c r="V94" s="8" t="s">
        <v>1718</v>
      </c>
      <c r="W94" s="29" t="s">
        <v>965</v>
      </c>
      <c r="X94" s="29"/>
      <c r="Y94" s="29">
        <v>216</v>
      </c>
      <c r="Z94" s="29" t="s">
        <v>653</v>
      </c>
      <c r="AA94" s="29" t="s">
        <v>39</v>
      </c>
      <c r="AB94" s="29">
        <v>31</v>
      </c>
      <c r="AC94" s="23" t="str">
        <f t="shared" si="8"/>
        <v>10/08/2020</v>
      </c>
      <c r="AD94" s="23" t="str">
        <f t="shared" si="8"/>
        <v>11/10/2020</v>
      </c>
      <c r="AE94" s="8"/>
      <c r="AF94" s="8"/>
      <c r="AG94" s="8"/>
    </row>
    <row r="95" spans="1:33" hidden="1" x14ac:dyDescent="0.2">
      <c r="A95" s="8">
        <v>2504</v>
      </c>
      <c r="B95" s="16">
        <v>44073</v>
      </c>
      <c r="C95" s="8">
        <v>30012806</v>
      </c>
      <c r="D95" s="8" t="s">
        <v>74</v>
      </c>
      <c r="E95" s="8" t="s">
        <v>75</v>
      </c>
      <c r="F95" s="8" t="s">
        <v>966</v>
      </c>
      <c r="G95" s="8">
        <v>15018454</v>
      </c>
      <c r="H95" s="8">
        <v>802095133</v>
      </c>
      <c r="I95" s="8" t="s">
        <v>77</v>
      </c>
      <c r="J95" s="8" t="s">
        <v>32</v>
      </c>
      <c r="K95" s="8" t="s">
        <v>959</v>
      </c>
      <c r="L95" s="8" t="s">
        <v>960</v>
      </c>
      <c r="M95" s="8" t="s">
        <v>1736</v>
      </c>
      <c r="N95" s="8" t="s">
        <v>1745</v>
      </c>
      <c r="O95" s="8">
        <v>499.76100000000002</v>
      </c>
      <c r="P95" s="8" t="s">
        <v>48</v>
      </c>
      <c r="Q95" s="8" t="s">
        <v>149</v>
      </c>
      <c r="R95" s="8" t="s">
        <v>150</v>
      </c>
      <c r="S95" s="8">
        <v>20</v>
      </c>
      <c r="T95" s="8" t="s">
        <v>72</v>
      </c>
      <c r="U95" s="8" t="s">
        <v>37</v>
      </c>
      <c r="V95" s="8" t="s">
        <v>1718</v>
      </c>
      <c r="W95" s="29" t="s">
        <v>969</v>
      </c>
      <c r="X95" s="29"/>
      <c r="Y95" s="29">
        <v>480</v>
      </c>
      <c r="Z95" s="29"/>
      <c r="AA95" s="29" t="s">
        <v>39</v>
      </c>
      <c r="AB95" s="29">
        <v>31</v>
      </c>
      <c r="AC95" s="23" t="str">
        <f t="shared" si="8"/>
        <v>10/08/2020</v>
      </c>
      <c r="AD95" s="23" t="str">
        <f t="shared" si="8"/>
        <v>06/10/2020</v>
      </c>
      <c r="AE95" s="8"/>
      <c r="AF95" s="8"/>
      <c r="AG95" s="8"/>
    </row>
    <row r="96" spans="1:33" hidden="1" x14ac:dyDescent="0.2">
      <c r="A96" s="8">
        <v>2504</v>
      </c>
      <c r="B96" s="16">
        <v>44055</v>
      </c>
      <c r="C96" s="8">
        <v>30012815</v>
      </c>
      <c r="D96" s="8" t="s">
        <v>62</v>
      </c>
      <c r="E96" s="8" t="s">
        <v>167</v>
      </c>
      <c r="F96" s="8" t="s">
        <v>168</v>
      </c>
      <c r="G96" s="8">
        <v>15018191</v>
      </c>
      <c r="H96" s="8">
        <v>802094729</v>
      </c>
      <c r="I96" s="8" t="s">
        <v>77</v>
      </c>
      <c r="J96" s="8" t="s">
        <v>32</v>
      </c>
      <c r="K96" s="8" t="s">
        <v>136</v>
      </c>
      <c r="L96" s="8" t="s">
        <v>973</v>
      </c>
      <c r="M96" s="8" t="s">
        <v>1736</v>
      </c>
      <c r="N96" s="8" t="s">
        <v>1734</v>
      </c>
      <c r="O96" s="8">
        <v>199.02699999999999</v>
      </c>
      <c r="P96" s="8" t="s">
        <v>48</v>
      </c>
      <c r="Q96" s="8" t="s">
        <v>498</v>
      </c>
      <c r="R96" s="8" t="s">
        <v>169</v>
      </c>
      <c r="S96" s="8">
        <v>8</v>
      </c>
      <c r="T96" s="8" t="s">
        <v>36</v>
      </c>
      <c r="U96" s="8" t="s">
        <v>37</v>
      </c>
      <c r="V96" s="8" t="s">
        <v>1706</v>
      </c>
      <c r="W96" s="29" t="s">
        <v>974</v>
      </c>
      <c r="X96" s="29"/>
      <c r="Y96" s="29">
        <v>192</v>
      </c>
      <c r="Z96" s="29" t="s">
        <v>799</v>
      </c>
      <c r="AA96" s="29" t="s">
        <v>39</v>
      </c>
      <c r="AB96" s="29">
        <v>31</v>
      </c>
      <c r="AC96" s="23" t="str">
        <f t="shared" si="8"/>
        <v>10/08/2020</v>
      </c>
      <c r="AD96" s="23" t="str">
        <f t="shared" si="8"/>
        <v>08/09/2020</v>
      </c>
      <c r="AE96" s="8"/>
      <c r="AF96" s="8"/>
      <c r="AG96" s="8"/>
    </row>
    <row r="97" spans="1:33" hidden="1" x14ac:dyDescent="0.2">
      <c r="A97" s="8">
        <v>2504</v>
      </c>
      <c r="B97" s="16">
        <v>44073</v>
      </c>
      <c r="C97" s="8">
        <v>30012815</v>
      </c>
      <c r="D97" s="8" t="s">
        <v>91</v>
      </c>
      <c r="E97" s="8" t="s">
        <v>164</v>
      </c>
      <c r="F97" s="8" t="s">
        <v>165</v>
      </c>
      <c r="G97" s="8">
        <v>15018194</v>
      </c>
      <c r="H97" s="8">
        <v>802094732</v>
      </c>
      <c r="I97" s="8" t="s">
        <v>77</v>
      </c>
      <c r="J97" s="8" t="s">
        <v>32</v>
      </c>
      <c r="K97" s="8" t="s">
        <v>136</v>
      </c>
      <c r="L97" s="8" t="s">
        <v>973</v>
      </c>
      <c r="M97" s="8" t="s">
        <v>1736</v>
      </c>
      <c r="N97" s="8" t="s">
        <v>1734</v>
      </c>
      <c r="O97" s="8">
        <v>291.26400000000001</v>
      </c>
      <c r="P97" s="8" t="s">
        <v>48</v>
      </c>
      <c r="Q97" s="8" t="s">
        <v>498</v>
      </c>
      <c r="R97" s="8" t="s">
        <v>169</v>
      </c>
      <c r="S97" s="8">
        <v>14</v>
      </c>
      <c r="T97" s="8" t="s">
        <v>42</v>
      </c>
      <c r="U97" s="8" t="s">
        <v>37</v>
      </c>
      <c r="V97" s="8" t="s">
        <v>1706</v>
      </c>
      <c r="W97" s="29" t="s">
        <v>977</v>
      </c>
      <c r="X97" s="29"/>
      <c r="Y97" s="29">
        <v>280</v>
      </c>
      <c r="Z97" s="29" t="s">
        <v>497</v>
      </c>
      <c r="AA97" s="29" t="s">
        <v>39</v>
      </c>
      <c r="AB97" s="29">
        <v>31</v>
      </c>
      <c r="AC97" s="23" t="str">
        <f t="shared" si="8"/>
        <v>10/08/2020</v>
      </c>
      <c r="AD97" s="23" t="str">
        <f t="shared" si="8"/>
        <v>08/09/2020</v>
      </c>
      <c r="AE97" s="8"/>
      <c r="AF97" s="8"/>
      <c r="AG97" s="8"/>
    </row>
    <row r="98" spans="1:33" hidden="1" x14ac:dyDescent="0.2">
      <c r="A98" s="8">
        <v>2504</v>
      </c>
      <c r="B98" s="16">
        <v>44055</v>
      </c>
      <c r="C98" s="8">
        <v>30012815</v>
      </c>
      <c r="D98" s="8" t="s">
        <v>62</v>
      </c>
      <c r="E98" s="8" t="s">
        <v>248</v>
      </c>
      <c r="F98" s="8" t="s">
        <v>249</v>
      </c>
      <c r="G98" s="8">
        <v>15018195</v>
      </c>
      <c r="H98" s="8">
        <v>802094733</v>
      </c>
      <c r="I98" s="8" t="s">
        <v>77</v>
      </c>
      <c r="J98" s="8" t="s">
        <v>32</v>
      </c>
      <c r="K98" s="8" t="s">
        <v>136</v>
      </c>
      <c r="L98" s="8" t="s">
        <v>973</v>
      </c>
      <c r="M98" s="8" t="s">
        <v>1736</v>
      </c>
      <c r="N98" s="8" t="s">
        <v>1734</v>
      </c>
      <c r="O98" s="8">
        <v>311.78100000000001</v>
      </c>
      <c r="P98" s="8" t="s">
        <v>48</v>
      </c>
      <c r="Q98" s="8" t="s">
        <v>498</v>
      </c>
      <c r="R98" s="8" t="s">
        <v>250</v>
      </c>
      <c r="S98" s="8">
        <v>15</v>
      </c>
      <c r="T98" s="8" t="s">
        <v>42</v>
      </c>
      <c r="U98" s="8" t="s">
        <v>37</v>
      </c>
      <c r="V98" s="8" t="s">
        <v>1706</v>
      </c>
      <c r="W98" s="29" t="s">
        <v>980</v>
      </c>
      <c r="X98" s="29"/>
      <c r="Y98" s="29">
        <v>300</v>
      </c>
      <c r="Z98" s="29" t="s">
        <v>981</v>
      </c>
      <c r="AA98" s="29" t="s">
        <v>39</v>
      </c>
      <c r="AB98" s="29">
        <v>31</v>
      </c>
      <c r="AC98" s="23" t="str">
        <f t="shared" si="8"/>
        <v>10/08/2020</v>
      </c>
      <c r="AD98" s="23" t="str">
        <f t="shared" si="8"/>
        <v>08/09/2020</v>
      </c>
      <c r="AE98" s="8"/>
      <c r="AF98" s="8"/>
      <c r="AG98" s="8"/>
    </row>
    <row r="99" spans="1:33" x14ac:dyDescent="0.2">
      <c r="A99" s="8">
        <v>2501</v>
      </c>
      <c r="B99" s="16">
        <v>44048</v>
      </c>
      <c r="C99" s="8">
        <v>30012762</v>
      </c>
      <c r="D99" s="8" t="s">
        <v>62</v>
      </c>
      <c r="E99" s="8" t="s">
        <v>324</v>
      </c>
      <c r="F99" s="8" t="s">
        <v>325</v>
      </c>
      <c r="G99" s="8">
        <v>15018211</v>
      </c>
      <c r="H99" s="8">
        <v>802094829</v>
      </c>
      <c r="I99" s="8" t="s">
        <v>112</v>
      </c>
      <c r="J99" s="8" t="s">
        <v>32</v>
      </c>
      <c r="K99" s="8" t="s">
        <v>1051</v>
      </c>
      <c r="L99" s="8" t="s">
        <v>113</v>
      </c>
      <c r="M99" s="8" t="s">
        <v>1704</v>
      </c>
      <c r="N99" s="8" t="s">
        <v>1729</v>
      </c>
      <c r="O99" s="8">
        <v>500</v>
      </c>
      <c r="P99" s="8" t="s">
        <v>114</v>
      </c>
      <c r="Q99" s="8" t="s">
        <v>115</v>
      </c>
      <c r="R99" s="8" t="s">
        <v>116</v>
      </c>
      <c r="S99" s="8">
        <v>0</v>
      </c>
      <c r="T99" s="8" t="s">
        <v>117</v>
      </c>
      <c r="U99" s="8" t="s">
        <v>290</v>
      </c>
      <c r="V99" s="8" t="s">
        <v>118</v>
      </c>
      <c r="W99" s="29"/>
      <c r="X99" s="29"/>
      <c r="Y99" s="29">
        <v>493</v>
      </c>
      <c r="Z99" s="29"/>
      <c r="AA99" s="29" t="s">
        <v>39</v>
      </c>
      <c r="AB99" s="29">
        <v>32</v>
      </c>
      <c r="AC99" s="23">
        <v>44059</v>
      </c>
      <c r="AD99" s="23">
        <v>44084</v>
      </c>
      <c r="AE99" s="8">
        <v>4</v>
      </c>
      <c r="AF99" s="8"/>
      <c r="AG99" s="18" t="s">
        <v>1792</v>
      </c>
    </row>
    <row r="100" spans="1:33" hidden="1" x14ac:dyDescent="0.2">
      <c r="A100" s="8">
        <v>2503</v>
      </c>
      <c r="B100" s="16">
        <v>44058</v>
      </c>
      <c r="C100" s="8">
        <v>30012755</v>
      </c>
      <c r="D100" s="8" t="s">
        <v>54</v>
      </c>
      <c r="E100" s="8" t="s">
        <v>237</v>
      </c>
      <c r="F100" s="8" t="s">
        <v>238</v>
      </c>
      <c r="G100" s="8">
        <v>15018171</v>
      </c>
      <c r="H100" s="8">
        <v>802094713</v>
      </c>
      <c r="I100" s="8" t="s">
        <v>239</v>
      </c>
      <c r="J100" s="8" t="s">
        <v>223</v>
      </c>
      <c r="K100" s="8" t="s">
        <v>488</v>
      </c>
      <c r="L100" s="8" t="s">
        <v>1037</v>
      </c>
      <c r="M100" s="8" t="s">
        <v>1704</v>
      </c>
      <c r="N100" s="8" t="s">
        <v>1747</v>
      </c>
      <c r="O100" s="8">
        <v>107.009</v>
      </c>
      <c r="P100" s="8" t="s">
        <v>224</v>
      </c>
      <c r="Q100" s="8" t="s">
        <v>153</v>
      </c>
      <c r="R100" s="8" t="s">
        <v>154</v>
      </c>
      <c r="S100" s="8">
        <v>4</v>
      </c>
      <c r="T100" s="8" t="s">
        <v>87</v>
      </c>
      <c r="U100" s="8" t="s">
        <v>37</v>
      </c>
      <c r="V100" s="8" t="s">
        <v>88</v>
      </c>
      <c r="W100" s="29" t="s">
        <v>1038</v>
      </c>
      <c r="X100" s="29"/>
      <c r="Y100" s="29">
        <v>104</v>
      </c>
      <c r="Z100" s="29"/>
      <c r="AA100" s="29" t="s">
        <v>39</v>
      </c>
      <c r="AB100" s="29">
        <v>31</v>
      </c>
      <c r="AC100" s="23" t="s">
        <v>1704</v>
      </c>
      <c r="AD100" s="23" t="s">
        <v>1747</v>
      </c>
      <c r="AE100" s="8">
        <v>0</v>
      </c>
      <c r="AF100" s="8">
        <v>0</v>
      </c>
      <c r="AG100" s="8"/>
    </row>
    <row r="101" spans="1:33" hidden="1" x14ac:dyDescent="0.2">
      <c r="A101" s="8">
        <v>2503</v>
      </c>
      <c r="B101" s="16">
        <v>44073</v>
      </c>
      <c r="C101" s="8">
        <v>30012755</v>
      </c>
      <c r="D101" s="8" t="s">
        <v>28</v>
      </c>
      <c r="E101" s="8" t="s">
        <v>110</v>
      </c>
      <c r="F101" s="8" t="s">
        <v>111</v>
      </c>
      <c r="G101" s="8">
        <v>15018246</v>
      </c>
      <c r="H101" s="8">
        <v>802094782</v>
      </c>
      <c r="I101" s="8" t="s">
        <v>31</v>
      </c>
      <c r="J101" s="8" t="s">
        <v>32</v>
      </c>
      <c r="K101" s="8" t="s">
        <v>488</v>
      </c>
      <c r="L101" s="8" t="s">
        <v>1037</v>
      </c>
      <c r="M101" s="8" t="s">
        <v>1704</v>
      </c>
      <c r="N101" s="8" t="s">
        <v>1748</v>
      </c>
      <c r="O101" s="8">
        <v>489.25</v>
      </c>
      <c r="P101" s="8" t="s">
        <v>224</v>
      </c>
      <c r="Q101" s="8" t="s">
        <v>206</v>
      </c>
      <c r="R101" s="8" t="s">
        <v>35</v>
      </c>
      <c r="S101" s="8">
        <v>25</v>
      </c>
      <c r="T101" s="8" t="s">
        <v>87</v>
      </c>
      <c r="U101" s="8" t="s">
        <v>290</v>
      </c>
      <c r="V101" s="8" t="s">
        <v>88</v>
      </c>
      <c r="W101" s="29" t="s">
        <v>1041</v>
      </c>
      <c r="X101" s="29"/>
      <c r="Y101" s="29">
        <v>475</v>
      </c>
      <c r="Z101" s="29" t="s">
        <v>946</v>
      </c>
      <c r="AA101" s="29" t="s">
        <v>39</v>
      </c>
      <c r="AB101" s="29">
        <v>31</v>
      </c>
      <c r="AC101" s="23" t="s">
        <v>1704</v>
      </c>
      <c r="AD101" s="23" t="s">
        <v>1748</v>
      </c>
      <c r="AE101" s="8">
        <v>0</v>
      </c>
      <c r="AF101" s="8">
        <v>0</v>
      </c>
      <c r="AG101" s="8"/>
    </row>
    <row r="102" spans="1:33" hidden="1" x14ac:dyDescent="0.2">
      <c r="A102" s="8">
        <v>2503</v>
      </c>
      <c r="B102" s="16">
        <v>44073</v>
      </c>
      <c r="C102" s="8">
        <v>30012755</v>
      </c>
      <c r="D102" s="8" t="s">
        <v>28</v>
      </c>
      <c r="E102" s="8" t="s">
        <v>110</v>
      </c>
      <c r="F102" s="8" t="s">
        <v>111</v>
      </c>
      <c r="G102" s="8">
        <v>15018247</v>
      </c>
      <c r="H102" s="8">
        <v>802094783</v>
      </c>
      <c r="I102" s="8" t="s">
        <v>31</v>
      </c>
      <c r="J102" s="8" t="s">
        <v>32</v>
      </c>
      <c r="K102" s="8" t="s">
        <v>488</v>
      </c>
      <c r="L102" s="8" t="s">
        <v>1037</v>
      </c>
      <c r="M102" s="8" t="s">
        <v>1704</v>
      </c>
      <c r="N102" s="8" t="s">
        <v>1748</v>
      </c>
      <c r="O102" s="8">
        <v>489.25</v>
      </c>
      <c r="P102" s="8" t="s">
        <v>224</v>
      </c>
      <c r="Q102" s="8" t="s">
        <v>206</v>
      </c>
      <c r="R102" s="8" t="s">
        <v>35</v>
      </c>
      <c r="S102" s="8">
        <v>25</v>
      </c>
      <c r="T102" s="8" t="s">
        <v>87</v>
      </c>
      <c r="U102" s="8" t="s">
        <v>290</v>
      </c>
      <c r="V102" s="8" t="s">
        <v>88</v>
      </c>
      <c r="W102" s="29" t="s">
        <v>1044</v>
      </c>
      <c r="X102" s="29"/>
      <c r="Y102" s="29">
        <v>475</v>
      </c>
      <c r="Z102" s="29" t="s">
        <v>946</v>
      </c>
      <c r="AA102" s="29" t="s">
        <v>39</v>
      </c>
      <c r="AB102" s="29">
        <v>31</v>
      </c>
      <c r="AC102" s="23" t="s">
        <v>1704</v>
      </c>
      <c r="AD102" s="23" t="s">
        <v>1748</v>
      </c>
      <c r="AE102" s="8">
        <v>0</v>
      </c>
      <c r="AF102" s="8">
        <v>0</v>
      </c>
      <c r="AG102" s="8"/>
    </row>
    <row r="103" spans="1:33" hidden="1" x14ac:dyDescent="0.2">
      <c r="A103" s="8">
        <v>2503</v>
      </c>
      <c r="B103" s="16">
        <v>44053</v>
      </c>
      <c r="C103" s="8">
        <v>30012755</v>
      </c>
      <c r="D103" s="8" t="s">
        <v>91</v>
      </c>
      <c r="E103" s="8" t="s">
        <v>242</v>
      </c>
      <c r="F103" s="8" t="s">
        <v>243</v>
      </c>
      <c r="G103" s="8">
        <v>15018500</v>
      </c>
      <c r="H103" s="8">
        <v>802095186</v>
      </c>
      <c r="I103" s="8" t="s">
        <v>535</v>
      </c>
      <c r="J103" s="8" t="s">
        <v>47</v>
      </c>
      <c r="K103" s="8" t="s">
        <v>488</v>
      </c>
      <c r="L103" s="8" t="s">
        <v>1037</v>
      </c>
      <c r="M103" s="8" t="s">
        <v>1704</v>
      </c>
      <c r="N103" s="8" t="s">
        <v>1747</v>
      </c>
      <c r="O103" s="8">
        <v>56</v>
      </c>
      <c r="P103" s="8" t="s">
        <v>224</v>
      </c>
      <c r="Q103" s="8" t="s">
        <v>100</v>
      </c>
      <c r="R103" s="8" t="s">
        <v>101</v>
      </c>
      <c r="S103" s="8">
        <v>3</v>
      </c>
      <c r="T103" s="8" t="s">
        <v>87</v>
      </c>
      <c r="U103" s="8" t="s">
        <v>290</v>
      </c>
      <c r="V103" s="8" t="s">
        <v>88</v>
      </c>
      <c r="W103" s="29" t="s">
        <v>1047</v>
      </c>
      <c r="X103" s="29"/>
      <c r="Y103" s="29"/>
      <c r="Z103" s="29"/>
      <c r="AA103" s="29" t="s">
        <v>39</v>
      </c>
      <c r="AB103" s="29">
        <v>31</v>
      </c>
      <c r="AC103" s="23" t="s">
        <v>1704</v>
      </c>
      <c r="AD103" s="23" t="s">
        <v>1747</v>
      </c>
      <c r="AE103" s="8">
        <v>0</v>
      </c>
      <c r="AF103" s="8">
        <v>0</v>
      </c>
      <c r="AG103" s="8"/>
    </row>
    <row r="104" spans="1:33" x14ac:dyDescent="0.2">
      <c r="A104" s="8">
        <v>2501</v>
      </c>
      <c r="B104" s="16">
        <v>44048</v>
      </c>
      <c r="C104" s="8">
        <v>30012762</v>
      </c>
      <c r="D104" s="8" t="s">
        <v>62</v>
      </c>
      <c r="E104" s="8" t="s">
        <v>324</v>
      </c>
      <c r="F104" s="8" t="s">
        <v>325</v>
      </c>
      <c r="G104" s="8">
        <v>15018212</v>
      </c>
      <c r="H104" s="8">
        <v>802094830</v>
      </c>
      <c r="I104" s="8" t="s">
        <v>112</v>
      </c>
      <c r="J104" s="8" t="s">
        <v>32</v>
      </c>
      <c r="K104" s="8" t="s">
        <v>1051</v>
      </c>
      <c r="L104" s="8" t="s">
        <v>113</v>
      </c>
      <c r="M104" s="8" t="s">
        <v>1704</v>
      </c>
      <c r="N104" s="8" t="s">
        <v>1729</v>
      </c>
      <c r="O104" s="8">
        <v>500</v>
      </c>
      <c r="P104" s="8" t="s">
        <v>114</v>
      </c>
      <c r="Q104" s="8" t="s">
        <v>115</v>
      </c>
      <c r="R104" s="8" t="s">
        <v>116</v>
      </c>
      <c r="S104" s="8">
        <v>0</v>
      </c>
      <c r="T104" s="8" t="s">
        <v>117</v>
      </c>
      <c r="U104" s="8" t="s">
        <v>290</v>
      </c>
      <c r="V104" s="8" t="s">
        <v>118</v>
      </c>
      <c r="W104" s="29"/>
      <c r="X104" s="29"/>
      <c r="Y104" s="29">
        <v>493</v>
      </c>
      <c r="Z104" s="29"/>
      <c r="AA104" s="29" t="s">
        <v>39</v>
      </c>
      <c r="AB104" s="29">
        <v>32</v>
      </c>
      <c r="AC104" s="23">
        <v>44059</v>
      </c>
      <c r="AD104" s="23">
        <v>44084</v>
      </c>
      <c r="AE104" s="8">
        <v>4</v>
      </c>
      <c r="AF104" s="8"/>
      <c r="AG104" s="18" t="s">
        <v>1792</v>
      </c>
    </row>
    <row r="105" spans="1:33" x14ac:dyDescent="0.2">
      <c r="A105" s="8">
        <v>2501</v>
      </c>
      <c r="B105" s="16">
        <v>44058</v>
      </c>
      <c r="C105" s="8">
        <v>30012762</v>
      </c>
      <c r="D105" s="8" t="s">
        <v>102</v>
      </c>
      <c r="E105" s="8" t="s">
        <v>662</v>
      </c>
      <c r="F105" s="8" t="s">
        <v>663</v>
      </c>
      <c r="G105" s="8">
        <v>15018258</v>
      </c>
      <c r="H105" s="8">
        <v>802094841</v>
      </c>
      <c r="I105" s="8" t="s">
        <v>112</v>
      </c>
      <c r="J105" s="8" t="s">
        <v>32</v>
      </c>
      <c r="K105" s="8" t="s">
        <v>1051</v>
      </c>
      <c r="L105" s="8" t="s">
        <v>113</v>
      </c>
      <c r="M105" s="8" t="s">
        <v>1704</v>
      </c>
      <c r="N105" s="8" t="s">
        <v>1749</v>
      </c>
      <c r="O105" s="8">
        <v>400</v>
      </c>
      <c r="P105" s="8" t="s">
        <v>114</v>
      </c>
      <c r="Q105" s="8" t="s">
        <v>131</v>
      </c>
      <c r="R105" s="8" t="s">
        <v>132</v>
      </c>
      <c r="S105" s="8">
        <v>0</v>
      </c>
      <c r="T105" s="8" t="s">
        <v>117</v>
      </c>
      <c r="U105" s="8" t="s">
        <v>290</v>
      </c>
      <c r="V105" s="8" t="s">
        <v>118</v>
      </c>
      <c r="W105" s="29"/>
      <c r="X105" s="29"/>
      <c r="Y105" s="29">
        <v>395</v>
      </c>
      <c r="Z105" s="29"/>
      <c r="AA105" s="29" t="s">
        <v>39</v>
      </c>
      <c r="AB105" s="29">
        <v>32</v>
      </c>
      <c r="AC105" s="23">
        <v>44059</v>
      </c>
      <c r="AD105" s="23">
        <v>44091</v>
      </c>
      <c r="AE105" s="8">
        <v>4</v>
      </c>
      <c r="AF105" s="8"/>
      <c r="AG105" s="18" t="s">
        <v>1792</v>
      </c>
    </row>
    <row r="106" spans="1:33" x14ac:dyDescent="0.2">
      <c r="A106" s="8">
        <v>2501</v>
      </c>
      <c r="B106" s="16">
        <v>44058</v>
      </c>
      <c r="C106" s="8">
        <v>30012762</v>
      </c>
      <c r="D106" s="8" t="s">
        <v>102</v>
      </c>
      <c r="E106" s="8" t="s">
        <v>123</v>
      </c>
      <c r="F106" s="8" t="s">
        <v>124</v>
      </c>
      <c r="G106" s="8">
        <v>15018314</v>
      </c>
      <c r="H106" s="8">
        <v>802094874</v>
      </c>
      <c r="I106" s="8" t="s">
        <v>125</v>
      </c>
      <c r="J106" s="8" t="s">
        <v>58</v>
      </c>
      <c r="K106" s="8" t="s">
        <v>1051</v>
      </c>
      <c r="L106" s="8" t="s">
        <v>113</v>
      </c>
      <c r="M106" s="8" t="s">
        <v>1704</v>
      </c>
      <c r="N106" s="8" t="s">
        <v>1748</v>
      </c>
      <c r="O106" s="8">
        <v>45</v>
      </c>
      <c r="P106" s="8" t="s">
        <v>114</v>
      </c>
      <c r="Q106" s="8" t="s">
        <v>85</v>
      </c>
      <c r="R106" s="8" t="s">
        <v>86</v>
      </c>
      <c r="S106" s="8">
        <v>0</v>
      </c>
      <c r="T106" s="8" t="s">
        <v>117</v>
      </c>
      <c r="U106" s="8" t="s">
        <v>290</v>
      </c>
      <c r="V106" s="8" t="s">
        <v>118</v>
      </c>
      <c r="W106" s="29"/>
      <c r="X106" s="29"/>
      <c r="Y106" s="29">
        <v>22</v>
      </c>
      <c r="Z106" s="29"/>
      <c r="AA106" s="29" t="s">
        <v>39</v>
      </c>
      <c r="AB106" s="29">
        <v>32</v>
      </c>
      <c r="AC106" s="23">
        <v>44059</v>
      </c>
      <c r="AD106" s="23">
        <v>44089</v>
      </c>
      <c r="AE106" s="8">
        <v>4</v>
      </c>
      <c r="AF106" s="8"/>
      <c r="AG106" s="18" t="s">
        <v>1792</v>
      </c>
    </row>
    <row r="107" spans="1:33" x14ac:dyDescent="0.2">
      <c r="A107" s="8">
        <v>2501</v>
      </c>
      <c r="B107" s="16">
        <v>44058</v>
      </c>
      <c r="C107" s="8">
        <v>30012762</v>
      </c>
      <c r="D107" s="8" t="s">
        <v>102</v>
      </c>
      <c r="E107" s="8" t="s">
        <v>123</v>
      </c>
      <c r="F107" s="8" t="s">
        <v>124</v>
      </c>
      <c r="G107" s="8">
        <v>15018315</v>
      </c>
      <c r="H107" s="8">
        <v>802094875</v>
      </c>
      <c r="I107" s="8" t="s">
        <v>126</v>
      </c>
      <c r="J107" s="8" t="s">
        <v>58</v>
      </c>
      <c r="K107" s="8" t="s">
        <v>1051</v>
      </c>
      <c r="L107" s="8" t="s">
        <v>113</v>
      </c>
      <c r="M107" s="8" t="s">
        <v>1704</v>
      </c>
      <c r="N107" s="8" t="s">
        <v>1748</v>
      </c>
      <c r="O107" s="8">
        <v>15</v>
      </c>
      <c r="P107" s="8" t="s">
        <v>114</v>
      </c>
      <c r="Q107" s="8" t="s">
        <v>85</v>
      </c>
      <c r="R107" s="8" t="s">
        <v>86</v>
      </c>
      <c r="S107" s="8">
        <v>0</v>
      </c>
      <c r="T107" s="8" t="s">
        <v>117</v>
      </c>
      <c r="U107" s="8" t="s">
        <v>290</v>
      </c>
      <c r="V107" s="8" t="s">
        <v>118</v>
      </c>
      <c r="W107" s="29"/>
      <c r="X107" s="29"/>
      <c r="Y107" s="29">
        <v>13</v>
      </c>
      <c r="Z107" s="29"/>
      <c r="AA107" s="29" t="s">
        <v>39</v>
      </c>
      <c r="AB107" s="29">
        <v>32</v>
      </c>
      <c r="AC107" s="23">
        <v>44059</v>
      </c>
      <c r="AD107" s="23">
        <v>44089</v>
      </c>
      <c r="AE107" s="8">
        <v>4</v>
      </c>
      <c r="AF107" s="8"/>
      <c r="AG107" s="18" t="s">
        <v>1792</v>
      </c>
    </row>
    <row r="108" spans="1:33" x14ac:dyDescent="0.2">
      <c r="A108" s="8">
        <v>2501</v>
      </c>
      <c r="B108" s="16">
        <v>44058</v>
      </c>
      <c r="C108" s="8">
        <v>30012762</v>
      </c>
      <c r="D108" s="8" t="s">
        <v>102</v>
      </c>
      <c r="E108" s="8" t="s">
        <v>127</v>
      </c>
      <c r="F108" s="8" t="s">
        <v>124</v>
      </c>
      <c r="G108" s="8">
        <v>15018316</v>
      </c>
      <c r="H108" s="8">
        <v>802094876</v>
      </c>
      <c r="I108" s="8" t="s">
        <v>125</v>
      </c>
      <c r="J108" s="8" t="s">
        <v>58</v>
      </c>
      <c r="K108" s="8" t="s">
        <v>1051</v>
      </c>
      <c r="L108" s="8" t="s">
        <v>113</v>
      </c>
      <c r="M108" s="8" t="s">
        <v>1704</v>
      </c>
      <c r="N108" s="8" t="s">
        <v>1748</v>
      </c>
      <c r="O108" s="8">
        <v>60</v>
      </c>
      <c r="P108" s="8" t="s">
        <v>114</v>
      </c>
      <c r="Q108" s="8" t="s">
        <v>85</v>
      </c>
      <c r="R108" s="8" t="s">
        <v>86</v>
      </c>
      <c r="S108" s="8">
        <v>0</v>
      </c>
      <c r="T108" s="8" t="s">
        <v>117</v>
      </c>
      <c r="U108" s="8" t="s">
        <v>290</v>
      </c>
      <c r="V108" s="8" t="s">
        <v>118</v>
      </c>
      <c r="W108" s="29"/>
      <c r="X108" s="29"/>
      <c r="Y108" s="29">
        <v>29</v>
      </c>
      <c r="Z108" s="29"/>
      <c r="AA108" s="29" t="s">
        <v>39</v>
      </c>
      <c r="AB108" s="29">
        <v>32</v>
      </c>
      <c r="AC108" s="23">
        <v>44059</v>
      </c>
      <c r="AD108" s="23">
        <v>44089</v>
      </c>
      <c r="AE108" s="8">
        <v>4</v>
      </c>
      <c r="AF108" s="8"/>
      <c r="AG108" s="18" t="s">
        <v>1792</v>
      </c>
    </row>
    <row r="109" spans="1:33" x14ac:dyDescent="0.2">
      <c r="A109" s="8">
        <v>2501</v>
      </c>
      <c r="B109" s="16">
        <v>44058</v>
      </c>
      <c r="C109" s="8">
        <v>30012762</v>
      </c>
      <c r="D109" s="8" t="s">
        <v>102</v>
      </c>
      <c r="E109" s="8" t="s">
        <v>128</v>
      </c>
      <c r="F109" s="8" t="s">
        <v>124</v>
      </c>
      <c r="G109" s="8">
        <v>15018317</v>
      </c>
      <c r="H109" s="8">
        <v>802094877</v>
      </c>
      <c r="I109" s="8" t="s">
        <v>125</v>
      </c>
      <c r="J109" s="8" t="s">
        <v>58</v>
      </c>
      <c r="K109" s="8" t="s">
        <v>1051</v>
      </c>
      <c r="L109" s="8" t="s">
        <v>113</v>
      </c>
      <c r="M109" s="8" t="s">
        <v>1704</v>
      </c>
      <c r="N109" s="8" t="s">
        <v>1748</v>
      </c>
      <c r="O109" s="8">
        <v>20</v>
      </c>
      <c r="P109" s="8" t="s">
        <v>114</v>
      </c>
      <c r="Q109" s="8" t="s">
        <v>85</v>
      </c>
      <c r="R109" s="8" t="s">
        <v>86</v>
      </c>
      <c r="S109" s="8">
        <v>0</v>
      </c>
      <c r="T109" s="8" t="s">
        <v>117</v>
      </c>
      <c r="U109" s="8" t="s">
        <v>290</v>
      </c>
      <c r="V109" s="8" t="s">
        <v>118</v>
      </c>
      <c r="W109" s="29"/>
      <c r="X109" s="29"/>
      <c r="Y109" s="29">
        <v>10</v>
      </c>
      <c r="Z109" s="29"/>
      <c r="AA109" s="29" t="s">
        <v>39</v>
      </c>
      <c r="AB109" s="29">
        <v>32</v>
      </c>
      <c r="AC109" s="23">
        <v>44059</v>
      </c>
      <c r="AD109" s="23">
        <v>44089</v>
      </c>
      <c r="AE109" s="8">
        <v>4</v>
      </c>
      <c r="AF109" s="8"/>
      <c r="AG109" s="18" t="s">
        <v>1792</v>
      </c>
    </row>
    <row r="110" spans="1:33" x14ac:dyDescent="0.2">
      <c r="A110" s="8">
        <v>2501</v>
      </c>
      <c r="B110" s="16">
        <v>44058</v>
      </c>
      <c r="C110" s="8">
        <v>30012762</v>
      </c>
      <c r="D110" s="8" t="s">
        <v>102</v>
      </c>
      <c r="E110" s="8" t="s">
        <v>322</v>
      </c>
      <c r="F110" s="8" t="s">
        <v>331</v>
      </c>
      <c r="G110" s="8">
        <v>15018330</v>
      </c>
      <c r="H110" s="8">
        <v>802094895</v>
      </c>
      <c r="I110" s="8" t="s">
        <v>112</v>
      </c>
      <c r="J110" s="8" t="s">
        <v>32</v>
      </c>
      <c r="K110" s="8" t="s">
        <v>1051</v>
      </c>
      <c r="L110" s="8" t="s">
        <v>113</v>
      </c>
      <c r="M110" s="8" t="s">
        <v>1704</v>
      </c>
      <c r="N110" s="8" t="s">
        <v>1749</v>
      </c>
      <c r="O110" s="8">
        <v>50</v>
      </c>
      <c r="P110" s="8" t="s">
        <v>114</v>
      </c>
      <c r="Q110" s="8" t="s">
        <v>131</v>
      </c>
      <c r="R110" s="8" t="s">
        <v>132</v>
      </c>
      <c r="S110" s="8">
        <v>0</v>
      </c>
      <c r="T110" s="8" t="s">
        <v>117</v>
      </c>
      <c r="U110" s="8" t="s">
        <v>290</v>
      </c>
      <c r="V110" s="8" t="s">
        <v>118</v>
      </c>
      <c r="W110" s="29"/>
      <c r="X110" s="29"/>
      <c r="Y110" s="29">
        <v>50</v>
      </c>
      <c r="Z110" s="29"/>
      <c r="AA110" s="29" t="s">
        <v>39</v>
      </c>
      <c r="AB110" s="29">
        <v>32</v>
      </c>
      <c r="AC110" s="23">
        <v>44059</v>
      </c>
      <c r="AD110" s="23">
        <v>44091</v>
      </c>
      <c r="AE110" s="8">
        <v>4</v>
      </c>
      <c r="AF110" s="8"/>
      <c r="AG110" s="18" t="s">
        <v>1792</v>
      </c>
    </row>
    <row r="111" spans="1:33" x14ac:dyDescent="0.2">
      <c r="A111" s="8">
        <v>2501</v>
      </c>
      <c r="B111" s="16">
        <v>44058</v>
      </c>
      <c r="C111" s="8">
        <v>30012762</v>
      </c>
      <c r="D111" s="8" t="s">
        <v>102</v>
      </c>
      <c r="E111" s="8" t="s">
        <v>322</v>
      </c>
      <c r="F111" s="8" t="s">
        <v>687</v>
      </c>
      <c r="G111" s="8">
        <v>15018332</v>
      </c>
      <c r="H111" s="8">
        <v>802094897</v>
      </c>
      <c r="I111" s="8" t="s">
        <v>112</v>
      </c>
      <c r="J111" s="8" t="s">
        <v>32</v>
      </c>
      <c r="K111" s="8" t="s">
        <v>1051</v>
      </c>
      <c r="L111" s="8" t="s">
        <v>113</v>
      </c>
      <c r="M111" s="8" t="s">
        <v>1704</v>
      </c>
      <c r="N111" s="8" t="s">
        <v>1749</v>
      </c>
      <c r="O111" s="8">
        <v>200</v>
      </c>
      <c r="P111" s="8" t="s">
        <v>114</v>
      </c>
      <c r="Q111" s="8" t="s">
        <v>131</v>
      </c>
      <c r="R111" s="8" t="s">
        <v>132</v>
      </c>
      <c r="S111" s="8">
        <v>0</v>
      </c>
      <c r="T111" s="8" t="s">
        <v>117</v>
      </c>
      <c r="U111" s="8" t="s">
        <v>290</v>
      </c>
      <c r="V111" s="8" t="s">
        <v>118</v>
      </c>
      <c r="W111" s="29"/>
      <c r="X111" s="29"/>
      <c r="Y111" s="29">
        <v>197</v>
      </c>
      <c r="Z111" s="29"/>
      <c r="AA111" s="29" t="s">
        <v>39</v>
      </c>
      <c r="AB111" s="29">
        <v>32</v>
      </c>
      <c r="AC111" s="23">
        <v>44059</v>
      </c>
      <c r="AD111" s="23">
        <v>44091</v>
      </c>
      <c r="AE111" s="8">
        <v>4</v>
      </c>
      <c r="AF111" s="8"/>
      <c r="AG111" s="18" t="s">
        <v>1792</v>
      </c>
    </row>
    <row r="112" spans="1:33" x14ac:dyDescent="0.2">
      <c r="A112" s="8">
        <v>2501</v>
      </c>
      <c r="B112" s="16">
        <v>44073</v>
      </c>
      <c r="C112" s="8">
        <v>30012762</v>
      </c>
      <c r="D112" s="8" t="s">
        <v>28</v>
      </c>
      <c r="E112" s="8" t="s">
        <v>29</v>
      </c>
      <c r="F112" s="8" t="s">
        <v>41</v>
      </c>
      <c r="G112" s="8">
        <v>15018334</v>
      </c>
      <c r="H112" s="8">
        <v>802094899</v>
      </c>
      <c r="I112" s="8" t="s">
        <v>112</v>
      </c>
      <c r="J112" s="8" t="s">
        <v>32</v>
      </c>
      <c r="K112" s="8" t="s">
        <v>1051</v>
      </c>
      <c r="L112" s="8" t="s">
        <v>113</v>
      </c>
      <c r="M112" s="8" t="s">
        <v>1704</v>
      </c>
      <c r="N112" s="8" t="s">
        <v>1729</v>
      </c>
      <c r="O112" s="8">
        <v>500</v>
      </c>
      <c r="P112" s="8" t="s">
        <v>114</v>
      </c>
      <c r="Q112" s="8" t="s">
        <v>115</v>
      </c>
      <c r="R112" s="8" t="s">
        <v>116</v>
      </c>
      <c r="S112" s="8">
        <v>0</v>
      </c>
      <c r="T112" s="8" t="s">
        <v>117</v>
      </c>
      <c r="U112" s="8" t="s">
        <v>290</v>
      </c>
      <c r="V112" s="8" t="s">
        <v>118</v>
      </c>
      <c r="W112" s="29"/>
      <c r="X112" s="29"/>
      <c r="Y112" s="29">
        <v>493</v>
      </c>
      <c r="Z112" s="29"/>
      <c r="AA112" s="29" t="s">
        <v>39</v>
      </c>
      <c r="AB112" s="29">
        <v>32</v>
      </c>
      <c r="AC112" s="23">
        <v>44059</v>
      </c>
      <c r="AD112" s="23">
        <v>44084</v>
      </c>
      <c r="AE112" s="8">
        <v>4</v>
      </c>
      <c r="AF112" s="8"/>
      <c r="AG112" s="18" t="s">
        <v>1792</v>
      </c>
    </row>
    <row r="113" spans="1:33" x14ac:dyDescent="0.2">
      <c r="A113" s="8">
        <v>2501</v>
      </c>
      <c r="B113" s="16">
        <v>44073</v>
      </c>
      <c r="C113" s="8">
        <v>30012762</v>
      </c>
      <c r="D113" s="8" t="s">
        <v>28</v>
      </c>
      <c r="E113" s="8" t="s">
        <v>29</v>
      </c>
      <c r="F113" s="8" t="s">
        <v>41</v>
      </c>
      <c r="G113" s="8">
        <v>15018335</v>
      </c>
      <c r="H113" s="8">
        <v>802094900</v>
      </c>
      <c r="I113" s="8" t="s">
        <v>112</v>
      </c>
      <c r="J113" s="8" t="s">
        <v>32</v>
      </c>
      <c r="K113" s="8" t="s">
        <v>1051</v>
      </c>
      <c r="L113" s="8" t="s">
        <v>113</v>
      </c>
      <c r="M113" s="8" t="s">
        <v>1704</v>
      </c>
      <c r="N113" s="8" t="s">
        <v>1729</v>
      </c>
      <c r="O113" s="8">
        <v>500</v>
      </c>
      <c r="P113" s="8" t="s">
        <v>114</v>
      </c>
      <c r="Q113" s="8" t="s">
        <v>115</v>
      </c>
      <c r="R113" s="8" t="s">
        <v>116</v>
      </c>
      <c r="S113" s="8">
        <v>0</v>
      </c>
      <c r="T113" s="8" t="s">
        <v>117</v>
      </c>
      <c r="U113" s="8" t="s">
        <v>290</v>
      </c>
      <c r="V113" s="8" t="s">
        <v>118</v>
      </c>
      <c r="W113" s="29"/>
      <c r="X113" s="29"/>
      <c r="Y113" s="29">
        <v>493</v>
      </c>
      <c r="Z113" s="29"/>
      <c r="AA113" s="29" t="s">
        <v>39</v>
      </c>
      <c r="AB113" s="29">
        <v>32</v>
      </c>
      <c r="AC113" s="23">
        <v>44059</v>
      </c>
      <c r="AD113" s="23">
        <v>44084</v>
      </c>
      <c r="AE113" s="8">
        <v>4</v>
      </c>
      <c r="AF113" s="8"/>
      <c r="AG113" s="18" t="s">
        <v>1792</v>
      </c>
    </row>
    <row r="114" spans="1:33" x14ac:dyDescent="0.2">
      <c r="A114" s="8">
        <v>2501</v>
      </c>
      <c r="B114" s="16">
        <v>44048</v>
      </c>
      <c r="C114" s="8">
        <v>30012762</v>
      </c>
      <c r="D114" s="8" t="s">
        <v>62</v>
      </c>
      <c r="E114" s="8" t="s">
        <v>119</v>
      </c>
      <c r="F114" s="8" t="s">
        <v>120</v>
      </c>
      <c r="G114" s="8">
        <v>15018370</v>
      </c>
      <c r="H114" s="8">
        <v>802095013</v>
      </c>
      <c r="I114" s="8" t="s">
        <v>121</v>
      </c>
      <c r="J114" s="8" t="s">
        <v>58</v>
      </c>
      <c r="K114" s="8" t="s">
        <v>1051</v>
      </c>
      <c r="L114" s="8" t="s">
        <v>113</v>
      </c>
      <c r="M114" s="8" t="s">
        <v>1704</v>
      </c>
      <c r="N114" s="8" t="s">
        <v>1729</v>
      </c>
      <c r="O114" s="8">
        <v>200</v>
      </c>
      <c r="P114" s="8" t="s">
        <v>114</v>
      </c>
      <c r="Q114" s="8" t="s">
        <v>115</v>
      </c>
      <c r="R114" s="8" t="s">
        <v>122</v>
      </c>
      <c r="S114" s="8">
        <v>0</v>
      </c>
      <c r="T114" s="8" t="s">
        <v>117</v>
      </c>
      <c r="U114" s="8" t="s">
        <v>290</v>
      </c>
      <c r="V114" s="8" t="s">
        <v>118</v>
      </c>
      <c r="W114" s="29"/>
      <c r="X114" s="29"/>
      <c r="Y114" s="29">
        <v>84</v>
      </c>
      <c r="Z114" s="29"/>
      <c r="AA114" s="29" t="s">
        <v>39</v>
      </c>
      <c r="AB114" s="29">
        <v>32</v>
      </c>
      <c r="AC114" s="23">
        <v>44059</v>
      </c>
      <c r="AD114" s="23">
        <v>44084</v>
      </c>
      <c r="AE114" s="8">
        <v>4</v>
      </c>
      <c r="AF114" s="8"/>
      <c r="AG114" s="18" t="s">
        <v>1792</v>
      </c>
    </row>
    <row r="115" spans="1:33" x14ac:dyDescent="0.2">
      <c r="A115" s="8">
        <v>2501</v>
      </c>
      <c r="B115" s="16">
        <v>44073</v>
      </c>
      <c r="C115" s="8">
        <v>30012762</v>
      </c>
      <c r="D115" s="8" t="s">
        <v>28</v>
      </c>
      <c r="E115" s="8" t="s">
        <v>129</v>
      </c>
      <c r="F115" s="8" t="s">
        <v>346</v>
      </c>
      <c r="G115" s="8">
        <v>15018406</v>
      </c>
      <c r="H115" s="8">
        <v>802095023</v>
      </c>
      <c r="I115" s="8" t="s">
        <v>112</v>
      </c>
      <c r="J115" s="8" t="s">
        <v>32</v>
      </c>
      <c r="K115" s="8" t="s">
        <v>1051</v>
      </c>
      <c r="L115" s="8" t="s">
        <v>113</v>
      </c>
      <c r="M115" s="8" t="s">
        <v>1704</v>
      </c>
      <c r="N115" s="8" t="s">
        <v>1748</v>
      </c>
      <c r="O115" s="8">
        <v>500</v>
      </c>
      <c r="P115" s="8" t="s">
        <v>114</v>
      </c>
      <c r="Q115" s="8" t="s">
        <v>85</v>
      </c>
      <c r="R115" s="8" t="s">
        <v>86</v>
      </c>
      <c r="S115" s="8">
        <v>0</v>
      </c>
      <c r="T115" s="8" t="s">
        <v>117</v>
      </c>
      <c r="U115" s="8" t="s">
        <v>290</v>
      </c>
      <c r="V115" s="8" t="s">
        <v>118</v>
      </c>
      <c r="W115" s="29"/>
      <c r="X115" s="29"/>
      <c r="Y115" s="29">
        <v>493</v>
      </c>
      <c r="Z115" s="29"/>
      <c r="AA115" s="29" t="s">
        <v>39</v>
      </c>
      <c r="AB115" s="29">
        <v>32</v>
      </c>
      <c r="AC115" s="23">
        <v>44059</v>
      </c>
      <c r="AD115" s="23">
        <v>44089</v>
      </c>
      <c r="AE115" s="8">
        <v>4</v>
      </c>
      <c r="AF115" s="8"/>
      <c r="AG115" s="18" t="s">
        <v>1792</v>
      </c>
    </row>
    <row r="116" spans="1:33" x14ac:dyDescent="0.2">
      <c r="A116" s="8">
        <v>2501</v>
      </c>
      <c r="B116" s="16">
        <v>44073</v>
      </c>
      <c r="C116" s="8">
        <v>30012762</v>
      </c>
      <c r="D116" s="8" t="s">
        <v>28</v>
      </c>
      <c r="E116" s="8" t="s">
        <v>129</v>
      </c>
      <c r="F116" s="8" t="s">
        <v>130</v>
      </c>
      <c r="G116" s="8">
        <v>15018422</v>
      </c>
      <c r="H116" s="8">
        <v>802095059</v>
      </c>
      <c r="I116" s="8" t="s">
        <v>112</v>
      </c>
      <c r="J116" s="8" t="s">
        <v>32</v>
      </c>
      <c r="K116" s="8" t="s">
        <v>1051</v>
      </c>
      <c r="L116" s="8" t="s">
        <v>113</v>
      </c>
      <c r="M116" s="8" t="s">
        <v>1704</v>
      </c>
      <c r="N116" s="8" t="s">
        <v>1749</v>
      </c>
      <c r="O116" s="8">
        <v>500</v>
      </c>
      <c r="P116" s="8" t="s">
        <v>114</v>
      </c>
      <c r="Q116" s="8" t="s">
        <v>131</v>
      </c>
      <c r="R116" s="8" t="s">
        <v>132</v>
      </c>
      <c r="S116" s="8">
        <v>0</v>
      </c>
      <c r="T116" s="8" t="s">
        <v>117</v>
      </c>
      <c r="U116" s="8" t="s">
        <v>290</v>
      </c>
      <c r="V116" s="8" t="s">
        <v>118</v>
      </c>
      <c r="W116" s="29"/>
      <c r="X116" s="29"/>
      <c r="Y116" s="29">
        <v>493</v>
      </c>
      <c r="Z116" s="29"/>
      <c r="AA116" s="29" t="s">
        <v>39</v>
      </c>
      <c r="AB116" s="29">
        <v>32</v>
      </c>
      <c r="AC116" s="23">
        <v>44059</v>
      </c>
      <c r="AD116" s="23">
        <v>44091</v>
      </c>
      <c r="AE116" s="8">
        <v>4</v>
      </c>
      <c r="AF116" s="8"/>
      <c r="AG116" s="18" t="s">
        <v>1792</v>
      </c>
    </row>
    <row r="117" spans="1:33" x14ac:dyDescent="0.2">
      <c r="A117" s="8">
        <v>2501</v>
      </c>
      <c r="B117" s="16">
        <v>44058</v>
      </c>
      <c r="C117" s="8">
        <v>30012769</v>
      </c>
      <c r="D117" s="8" t="s">
        <v>91</v>
      </c>
      <c r="E117" s="8" t="s">
        <v>217</v>
      </c>
      <c r="F117" s="8" t="s">
        <v>218</v>
      </c>
      <c r="G117" s="8">
        <v>15018173</v>
      </c>
      <c r="H117" s="8">
        <v>802094823</v>
      </c>
      <c r="I117" s="8" t="s">
        <v>63</v>
      </c>
      <c r="J117" s="8" t="s">
        <v>64</v>
      </c>
      <c r="K117" s="8" t="s">
        <v>739</v>
      </c>
      <c r="L117" s="8" t="s">
        <v>740</v>
      </c>
      <c r="M117" s="8" t="s">
        <v>1701</v>
      </c>
      <c r="N117" s="8" t="s">
        <v>1715</v>
      </c>
      <c r="O117" s="8">
        <v>414.12</v>
      </c>
      <c r="P117" s="8" t="s">
        <v>33</v>
      </c>
      <c r="Q117" s="8" t="s">
        <v>206</v>
      </c>
      <c r="R117" s="8" t="s">
        <v>268</v>
      </c>
      <c r="S117" s="8">
        <v>17</v>
      </c>
      <c r="T117" s="8" t="s">
        <v>36</v>
      </c>
      <c r="U117" s="8" t="s">
        <v>290</v>
      </c>
      <c r="V117" s="8" t="s">
        <v>65</v>
      </c>
      <c r="W117" s="29" t="s">
        <v>950</v>
      </c>
      <c r="X117" s="29"/>
      <c r="Y117" s="29">
        <v>408</v>
      </c>
      <c r="Z117" s="29"/>
      <c r="AA117" s="29" t="s">
        <v>39</v>
      </c>
      <c r="AB117" s="29">
        <v>31</v>
      </c>
      <c r="AC117" s="23" t="str">
        <f>M117</f>
        <v>13/08/2020</v>
      </c>
      <c r="AD117" s="23" t="s">
        <v>1737</v>
      </c>
      <c r="AE117" s="8">
        <v>0</v>
      </c>
      <c r="AF117" s="8">
        <v>1</v>
      </c>
      <c r="AG117" s="8"/>
    </row>
    <row r="118" spans="1:33" hidden="1" x14ac:dyDescent="0.2">
      <c r="A118" s="8">
        <v>2502</v>
      </c>
      <c r="B118" s="16">
        <v>44068</v>
      </c>
      <c r="C118" s="8">
        <v>30012800</v>
      </c>
      <c r="D118" s="8" t="s">
        <v>28</v>
      </c>
      <c r="E118" s="8" t="s">
        <v>80</v>
      </c>
      <c r="F118" s="8" t="s">
        <v>81</v>
      </c>
      <c r="G118" s="8">
        <v>15018327</v>
      </c>
      <c r="H118" s="8">
        <v>802094892</v>
      </c>
      <c r="I118" s="8" t="s">
        <v>82</v>
      </c>
      <c r="J118" s="8" t="s">
        <v>83</v>
      </c>
      <c r="K118" s="8" t="s">
        <v>920</v>
      </c>
      <c r="L118" s="8" t="s">
        <v>831</v>
      </c>
      <c r="M118" s="8" t="s">
        <v>1698</v>
      </c>
      <c r="N118" s="8" t="s">
        <v>1734</v>
      </c>
      <c r="O118" s="8">
        <v>343.10300000000001</v>
      </c>
      <c r="P118" s="8" t="s">
        <v>492</v>
      </c>
      <c r="Q118" s="8" t="s">
        <v>85</v>
      </c>
      <c r="R118" s="8" t="s">
        <v>86</v>
      </c>
      <c r="S118" s="8">
        <v>14</v>
      </c>
      <c r="T118" s="8" t="s">
        <v>87</v>
      </c>
      <c r="U118" s="8" t="s">
        <v>37</v>
      </c>
      <c r="V118" s="8" t="s">
        <v>493</v>
      </c>
      <c r="W118" s="29" t="s">
        <v>925</v>
      </c>
      <c r="X118" s="29"/>
      <c r="Y118" s="29">
        <v>616</v>
      </c>
      <c r="Z118" s="29"/>
      <c r="AA118" s="29" t="s">
        <v>39</v>
      </c>
      <c r="AB118" s="29">
        <v>31</v>
      </c>
      <c r="AC118" s="23" t="str">
        <f>M118</f>
        <v>17/08/2020</v>
      </c>
      <c r="AD118" s="23" t="str">
        <f>N118</f>
        <v>08/09/2020</v>
      </c>
      <c r="AE118" s="8">
        <v>0</v>
      </c>
      <c r="AF118" s="8">
        <v>0</v>
      </c>
      <c r="AG118" s="8"/>
    </row>
    <row r="119" spans="1:33" hidden="1" x14ac:dyDescent="0.2">
      <c r="A119" s="8">
        <v>2502</v>
      </c>
      <c r="B119" s="16">
        <v>44053</v>
      </c>
      <c r="C119" s="8">
        <v>30012800</v>
      </c>
      <c r="D119" s="8" t="s">
        <v>102</v>
      </c>
      <c r="E119" s="8" t="s">
        <v>191</v>
      </c>
      <c r="F119" s="8" t="s">
        <v>192</v>
      </c>
      <c r="G119" s="8">
        <v>15018355</v>
      </c>
      <c r="H119" s="8">
        <v>802094915</v>
      </c>
      <c r="I119" s="8" t="s">
        <v>193</v>
      </c>
      <c r="J119" s="8" t="s">
        <v>83</v>
      </c>
      <c r="K119" s="8" t="s">
        <v>920</v>
      </c>
      <c r="L119" s="8" t="s">
        <v>831</v>
      </c>
      <c r="M119" s="8" t="s">
        <v>1698</v>
      </c>
      <c r="N119" s="8" t="s">
        <v>1734</v>
      </c>
      <c r="O119" s="8">
        <v>99.534000000000006</v>
      </c>
      <c r="P119" s="8" t="s">
        <v>492</v>
      </c>
      <c r="Q119" s="8" t="s">
        <v>85</v>
      </c>
      <c r="R119" s="8" t="s">
        <v>194</v>
      </c>
      <c r="S119" s="8">
        <v>4</v>
      </c>
      <c r="T119" s="8" t="s">
        <v>87</v>
      </c>
      <c r="U119" s="8" t="s">
        <v>37</v>
      </c>
      <c r="V119" s="8" t="s">
        <v>493</v>
      </c>
      <c r="W119" s="29" t="s">
        <v>929</v>
      </c>
      <c r="X119" s="29"/>
      <c r="Y119" s="29">
        <v>179</v>
      </c>
      <c r="Z119" s="29"/>
      <c r="AA119" s="29" t="s">
        <v>39</v>
      </c>
      <c r="AB119" s="29">
        <v>31</v>
      </c>
      <c r="AC119" s="23" t="str">
        <f>M119</f>
        <v>17/08/2020</v>
      </c>
      <c r="AD119" s="23" t="str">
        <f>N119</f>
        <v>08/09/2020</v>
      </c>
      <c r="AE119" s="8">
        <v>0</v>
      </c>
      <c r="AF119" s="8">
        <v>0</v>
      </c>
      <c r="AG119" s="8"/>
    </row>
    <row r="120" spans="1:33" hidden="1" x14ac:dyDescent="0.2">
      <c r="A120" s="8">
        <v>2504</v>
      </c>
      <c r="B120" s="16">
        <v>44048</v>
      </c>
      <c r="C120" s="8">
        <v>30012815</v>
      </c>
      <c r="D120" s="8" t="s">
        <v>28</v>
      </c>
      <c r="E120" s="8" t="s">
        <v>110</v>
      </c>
      <c r="F120" s="8" t="s">
        <v>111</v>
      </c>
      <c r="G120" s="8">
        <v>15018207</v>
      </c>
      <c r="H120" s="8">
        <v>802094741</v>
      </c>
      <c r="I120" s="8" t="s">
        <v>77</v>
      </c>
      <c r="J120" s="8" t="s">
        <v>32</v>
      </c>
      <c r="K120" s="8" t="s">
        <v>136</v>
      </c>
      <c r="L120" s="8" t="s">
        <v>973</v>
      </c>
      <c r="M120" s="8" t="s">
        <v>1736</v>
      </c>
      <c r="N120" s="8" t="s">
        <v>1746</v>
      </c>
      <c r="O120" s="8">
        <v>494.31299999999999</v>
      </c>
      <c r="P120" s="8" t="s">
        <v>48</v>
      </c>
      <c r="Q120" s="8" t="s">
        <v>206</v>
      </c>
      <c r="R120" s="8" t="s">
        <v>35</v>
      </c>
      <c r="S120" s="8">
        <v>25</v>
      </c>
      <c r="T120" s="8" t="s">
        <v>140</v>
      </c>
      <c r="U120" s="8" t="s">
        <v>37</v>
      </c>
      <c r="V120" s="8" t="s">
        <v>1706</v>
      </c>
      <c r="W120" s="29" t="s">
        <v>945</v>
      </c>
      <c r="X120" s="29"/>
      <c r="Y120" s="29">
        <v>475</v>
      </c>
      <c r="Z120" s="29" t="s">
        <v>946</v>
      </c>
      <c r="AA120" s="29" t="s">
        <v>39</v>
      </c>
      <c r="AB120" s="29">
        <v>31</v>
      </c>
      <c r="AC120" s="23" t="str">
        <f>M120</f>
        <v>10/08/2020</v>
      </c>
      <c r="AD120" s="23" t="str">
        <f>N120</f>
        <v>10/09/2020</v>
      </c>
      <c r="AE120" s="8"/>
      <c r="AF120" s="8"/>
      <c r="AG120" s="8"/>
    </row>
    <row r="121" spans="1:33" hidden="1" x14ac:dyDescent="0.2">
      <c r="A121" s="8">
        <v>2504</v>
      </c>
      <c r="B121" s="16">
        <v>44053</v>
      </c>
      <c r="C121" s="8">
        <v>30012807</v>
      </c>
      <c r="D121" s="8" t="s">
        <v>62</v>
      </c>
      <c r="E121" s="8" t="s">
        <v>217</v>
      </c>
      <c r="F121" s="8" t="s">
        <v>218</v>
      </c>
      <c r="G121" s="8">
        <v>15018222</v>
      </c>
      <c r="H121" s="8">
        <v>802094743</v>
      </c>
      <c r="I121" s="8" t="s">
        <v>77</v>
      </c>
      <c r="J121" s="8" t="s">
        <v>32</v>
      </c>
      <c r="K121" s="8" t="s">
        <v>390</v>
      </c>
      <c r="L121" s="8" t="s">
        <v>954</v>
      </c>
      <c r="M121" s="8" t="s">
        <v>1704</v>
      </c>
      <c r="N121" s="8" t="s">
        <v>1734</v>
      </c>
      <c r="O121" s="8">
        <v>499.27699999999999</v>
      </c>
      <c r="P121" s="8" t="s">
        <v>48</v>
      </c>
      <c r="Q121" s="8" t="s">
        <v>206</v>
      </c>
      <c r="R121" s="8" t="s">
        <v>35</v>
      </c>
      <c r="S121" s="8">
        <v>20</v>
      </c>
      <c r="T121" s="8" t="s">
        <v>36</v>
      </c>
      <c r="U121" s="8" t="s">
        <v>37</v>
      </c>
      <c r="V121" s="8" t="s">
        <v>65</v>
      </c>
      <c r="W121" s="29" t="s">
        <v>955</v>
      </c>
      <c r="X121" s="29"/>
      <c r="Y121" s="29">
        <v>480</v>
      </c>
      <c r="Z121" s="29"/>
      <c r="AA121" s="29" t="s">
        <v>39</v>
      </c>
      <c r="AB121" s="29">
        <v>31</v>
      </c>
      <c r="AC121" s="23" t="str">
        <f>M121</f>
        <v>12/08/2020</v>
      </c>
      <c r="AD121" s="23" t="str">
        <f>N121</f>
        <v>08/09/2020</v>
      </c>
      <c r="AE121" s="8"/>
      <c r="AF121" s="8"/>
      <c r="AG121" s="8"/>
    </row>
    <row r="122" spans="1:33" hidden="1" x14ac:dyDescent="0.2">
      <c r="A122" s="8">
        <v>2502</v>
      </c>
      <c r="B122" s="16">
        <v>44073</v>
      </c>
      <c r="C122" s="8">
        <v>30012840</v>
      </c>
      <c r="D122" s="8" t="s">
        <v>102</v>
      </c>
      <c r="E122" s="8" t="s">
        <v>195</v>
      </c>
      <c r="F122" s="8" t="s">
        <v>196</v>
      </c>
      <c r="G122" s="8">
        <v>15018365</v>
      </c>
      <c r="H122" s="8">
        <v>802094925</v>
      </c>
      <c r="I122" s="8" t="s">
        <v>94</v>
      </c>
      <c r="J122" s="8" t="s">
        <v>95</v>
      </c>
      <c r="K122" s="8" t="s">
        <v>1087</v>
      </c>
      <c r="L122" s="8" t="s">
        <v>760</v>
      </c>
      <c r="M122" s="8" t="s">
        <v>1698</v>
      </c>
      <c r="N122" s="8" t="s">
        <v>1751</v>
      </c>
      <c r="O122" s="8">
        <v>95.608000000000004</v>
      </c>
      <c r="P122" s="8" t="s">
        <v>492</v>
      </c>
      <c r="Q122" s="8" t="s">
        <v>166</v>
      </c>
      <c r="R122" s="8" t="s">
        <v>1088</v>
      </c>
      <c r="S122" s="8">
        <v>4</v>
      </c>
      <c r="T122" s="8" t="s">
        <v>87</v>
      </c>
      <c r="U122" s="8" t="s">
        <v>290</v>
      </c>
      <c r="V122" s="8" t="s">
        <v>493</v>
      </c>
      <c r="W122" s="29" t="s">
        <v>1089</v>
      </c>
      <c r="X122" s="29"/>
      <c r="Y122" s="29">
        <v>68</v>
      </c>
      <c r="Z122" s="29" t="s">
        <v>1090</v>
      </c>
      <c r="AA122" s="29" t="s">
        <v>39</v>
      </c>
      <c r="AB122" s="29">
        <v>31</v>
      </c>
      <c r="AC122" s="23">
        <v>44061</v>
      </c>
      <c r="AD122" s="23" t="str">
        <f>N122</f>
        <v>07/09/2020</v>
      </c>
      <c r="AE122" s="8">
        <v>1</v>
      </c>
      <c r="AF122" s="8">
        <v>0</v>
      </c>
      <c r="AG122" s="8" t="s">
        <v>1789</v>
      </c>
    </row>
    <row r="123" spans="1:33" hidden="1" x14ac:dyDescent="0.2">
      <c r="A123" s="8">
        <v>2502</v>
      </c>
      <c r="B123" s="16">
        <v>44073</v>
      </c>
      <c r="C123" s="8">
        <v>30012796</v>
      </c>
      <c r="D123" s="8" t="s">
        <v>54</v>
      </c>
      <c r="E123" s="8" t="s">
        <v>879</v>
      </c>
      <c r="F123" s="8" t="s">
        <v>880</v>
      </c>
      <c r="G123" s="8">
        <v>15018293</v>
      </c>
      <c r="H123" s="8">
        <v>802094854</v>
      </c>
      <c r="I123" s="8" t="s">
        <v>883</v>
      </c>
      <c r="J123" s="8" t="s">
        <v>83</v>
      </c>
      <c r="K123" s="8" t="s">
        <v>144</v>
      </c>
      <c r="L123" s="8" t="s">
        <v>1094</v>
      </c>
      <c r="M123" s="8" t="s">
        <v>1740</v>
      </c>
      <c r="N123" s="8" t="s">
        <v>1715</v>
      </c>
      <c r="O123" s="8">
        <v>184.32</v>
      </c>
      <c r="P123" s="8" t="s">
        <v>492</v>
      </c>
      <c r="Q123" s="8" t="s">
        <v>105</v>
      </c>
      <c r="R123" s="8" t="s">
        <v>106</v>
      </c>
      <c r="S123" s="8">
        <v>8</v>
      </c>
      <c r="T123" s="8" t="s">
        <v>87</v>
      </c>
      <c r="U123" s="8" t="s">
        <v>290</v>
      </c>
      <c r="V123" s="8" t="s">
        <v>1699</v>
      </c>
      <c r="W123" s="29" t="s">
        <v>1095</v>
      </c>
      <c r="X123" s="29"/>
      <c r="Y123" s="29">
        <v>192</v>
      </c>
      <c r="Z123" s="29" t="s">
        <v>1096</v>
      </c>
      <c r="AA123" s="29" t="s">
        <v>39</v>
      </c>
      <c r="AB123" s="29">
        <v>31</v>
      </c>
      <c r="AC123" s="23" t="s">
        <v>1698</v>
      </c>
      <c r="AD123" s="23" t="s">
        <v>1715</v>
      </c>
      <c r="AE123" s="8">
        <v>-1</v>
      </c>
      <c r="AF123" s="8">
        <v>0</v>
      </c>
      <c r="AG123" s="8" t="s">
        <v>1789</v>
      </c>
    </row>
    <row r="124" spans="1:33" hidden="1" x14ac:dyDescent="0.2">
      <c r="A124" s="8">
        <v>2502</v>
      </c>
      <c r="B124" s="16">
        <v>44073</v>
      </c>
      <c r="C124" s="8">
        <v>30012796</v>
      </c>
      <c r="D124" s="8" t="s">
        <v>91</v>
      </c>
      <c r="E124" s="8" t="s">
        <v>107</v>
      </c>
      <c r="F124" s="8" t="s">
        <v>537</v>
      </c>
      <c r="G124" s="8">
        <v>15018298</v>
      </c>
      <c r="H124" s="8">
        <v>802094859</v>
      </c>
      <c r="I124" s="8" t="s">
        <v>31</v>
      </c>
      <c r="J124" s="8" t="s">
        <v>32</v>
      </c>
      <c r="K124" s="8" t="s">
        <v>144</v>
      </c>
      <c r="L124" s="8" t="s">
        <v>1094</v>
      </c>
      <c r="M124" s="8" t="s">
        <v>1740</v>
      </c>
      <c r="N124" s="8" t="s">
        <v>1715</v>
      </c>
      <c r="O124" s="8">
        <v>247.94</v>
      </c>
      <c r="P124" s="8" t="s">
        <v>492</v>
      </c>
      <c r="Q124" s="8" t="s">
        <v>105</v>
      </c>
      <c r="R124" s="8" t="s">
        <v>106</v>
      </c>
      <c r="S124" s="8">
        <v>11</v>
      </c>
      <c r="T124" s="8" t="s">
        <v>87</v>
      </c>
      <c r="U124" s="8" t="s">
        <v>290</v>
      </c>
      <c r="V124" s="8" t="s">
        <v>1699</v>
      </c>
      <c r="W124" s="29" t="s">
        <v>1099</v>
      </c>
      <c r="X124" s="29"/>
      <c r="Y124" s="29">
        <v>253</v>
      </c>
      <c r="Z124" s="29" t="s">
        <v>713</v>
      </c>
      <c r="AA124" s="29" t="s">
        <v>109</v>
      </c>
      <c r="AB124" s="29">
        <v>31</v>
      </c>
      <c r="AC124" s="23" t="s">
        <v>1698</v>
      </c>
      <c r="AD124" s="23" t="s">
        <v>1715</v>
      </c>
      <c r="AE124" s="8">
        <v>-1</v>
      </c>
      <c r="AF124" s="8">
        <v>0</v>
      </c>
      <c r="AG124" s="8" t="s">
        <v>1789</v>
      </c>
    </row>
    <row r="125" spans="1:33" x14ac:dyDescent="0.2">
      <c r="A125" s="8">
        <v>2501</v>
      </c>
      <c r="B125" s="16">
        <v>44073</v>
      </c>
      <c r="C125" s="8">
        <v>30012856</v>
      </c>
      <c r="D125" s="8" t="s">
        <v>74</v>
      </c>
      <c r="E125" s="8" t="s">
        <v>75</v>
      </c>
      <c r="F125" s="8" t="s">
        <v>1142</v>
      </c>
      <c r="G125" s="8">
        <v>15018462</v>
      </c>
      <c r="H125" s="8">
        <v>802095155</v>
      </c>
      <c r="I125" s="8" t="s">
        <v>1145</v>
      </c>
      <c r="J125" s="8" t="s">
        <v>58</v>
      </c>
      <c r="K125" s="8" t="s">
        <v>578</v>
      </c>
      <c r="L125" s="8" t="s">
        <v>1146</v>
      </c>
      <c r="M125" s="8" t="s">
        <v>1714</v>
      </c>
      <c r="N125" s="8" t="s">
        <v>1755</v>
      </c>
      <c r="O125" s="8">
        <v>71.61</v>
      </c>
      <c r="P125" s="8" t="s">
        <v>33</v>
      </c>
      <c r="Q125" s="8" t="s">
        <v>353</v>
      </c>
      <c r="R125" s="8" t="s">
        <v>1147</v>
      </c>
      <c r="S125" s="8">
        <v>3</v>
      </c>
      <c r="T125" s="8" t="s">
        <v>61</v>
      </c>
      <c r="U125" s="8" t="s">
        <v>290</v>
      </c>
      <c r="V125" s="8" t="s">
        <v>65</v>
      </c>
      <c r="W125" s="29" t="s">
        <v>1148</v>
      </c>
      <c r="X125" s="29"/>
      <c r="Y125" s="29">
        <v>21</v>
      </c>
      <c r="Z125" s="29" t="s">
        <v>962</v>
      </c>
      <c r="AA125" s="29" t="s">
        <v>39</v>
      </c>
      <c r="AB125" s="29">
        <v>31</v>
      </c>
      <c r="AC125" s="23" t="s">
        <v>1714</v>
      </c>
      <c r="AD125" s="23" t="s">
        <v>1756</v>
      </c>
      <c r="AE125" s="8">
        <v>0</v>
      </c>
      <c r="AF125" s="8">
        <v>-6</v>
      </c>
      <c r="AG125" s="8"/>
    </row>
    <row r="126" spans="1:33" hidden="1" x14ac:dyDescent="0.2">
      <c r="A126" s="8">
        <v>2502</v>
      </c>
      <c r="B126" s="16">
        <v>44048</v>
      </c>
      <c r="C126" s="8">
        <v>30012785</v>
      </c>
      <c r="D126" s="8" t="s">
        <v>44</v>
      </c>
      <c r="E126" s="8" t="s">
        <v>269</v>
      </c>
      <c r="F126" s="8" t="s">
        <v>270</v>
      </c>
      <c r="G126" s="8">
        <v>15018115</v>
      </c>
      <c r="H126" s="8">
        <v>802094754</v>
      </c>
      <c r="I126" s="8" t="s">
        <v>94</v>
      </c>
      <c r="J126" s="8" t="s">
        <v>95</v>
      </c>
      <c r="K126" s="8" t="s">
        <v>177</v>
      </c>
      <c r="L126" s="8" t="s">
        <v>989</v>
      </c>
      <c r="M126" s="8" t="s">
        <v>1714</v>
      </c>
      <c r="N126" s="8" t="s">
        <v>1709</v>
      </c>
      <c r="O126" s="8">
        <v>167.31399999999999</v>
      </c>
      <c r="P126" s="8" t="s">
        <v>84</v>
      </c>
      <c r="Q126" s="8" t="s">
        <v>271</v>
      </c>
      <c r="R126" s="8" t="s">
        <v>272</v>
      </c>
      <c r="S126" s="8">
        <v>7</v>
      </c>
      <c r="T126" s="8" t="s">
        <v>87</v>
      </c>
      <c r="U126" s="8" t="s">
        <v>290</v>
      </c>
      <c r="V126" s="8" t="s">
        <v>88</v>
      </c>
      <c r="W126" s="29" t="s">
        <v>990</v>
      </c>
      <c r="X126" s="29"/>
      <c r="Y126" s="29">
        <v>119</v>
      </c>
      <c r="Z126" s="29" t="s">
        <v>992</v>
      </c>
      <c r="AA126" s="29" t="s">
        <v>39</v>
      </c>
      <c r="AB126" s="29">
        <v>31</v>
      </c>
      <c r="AC126" s="23" t="str">
        <f t="shared" ref="AC126:AC139" si="9">M126</f>
        <v>15/08/2020</v>
      </c>
      <c r="AD126" s="23" t="str">
        <f t="shared" ref="AD126:AD139" si="10">N126</f>
        <v>21/08/2020</v>
      </c>
      <c r="AE126" s="8">
        <v>0</v>
      </c>
      <c r="AF126" s="8">
        <v>0</v>
      </c>
      <c r="AG126" s="8"/>
    </row>
    <row r="127" spans="1:33" hidden="1" x14ac:dyDescent="0.2">
      <c r="A127" s="8">
        <v>2502</v>
      </c>
      <c r="B127" s="16">
        <v>44073</v>
      </c>
      <c r="C127" s="8">
        <v>30012785</v>
      </c>
      <c r="D127" s="8" t="s">
        <v>91</v>
      </c>
      <c r="E127" s="8" t="s">
        <v>107</v>
      </c>
      <c r="F127" s="8" t="s">
        <v>537</v>
      </c>
      <c r="G127" s="8">
        <v>15018299</v>
      </c>
      <c r="H127" s="8">
        <v>802094860</v>
      </c>
      <c r="I127" s="8" t="s">
        <v>31</v>
      </c>
      <c r="J127" s="8" t="s">
        <v>32</v>
      </c>
      <c r="K127" s="8" t="s">
        <v>177</v>
      </c>
      <c r="L127" s="8" t="s">
        <v>989</v>
      </c>
      <c r="M127" s="8" t="s">
        <v>1714</v>
      </c>
      <c r="N127" s="8" t="s">
        <v>1717</v>
      </c>
      <c r="O127" s="8">
        <v>247.96199999999999</v>
      </c>
      <c r="P127" s="8" t="s">
        <v>84</v>
      </c>
      <c r="Q127" s="8" t="s">
        <v>105</v>
      </c>
      <c r="R127" s="8" t="s">
        <v>106</v>
      </c>
      <c r="S127" s="8">
        <v>11</v>
      </c>
      <c r="T127" s="8" t="s">
        <v>87</v>
      </c>
      <c r="U127" s="8" t="s">
        <v>37</v>
      </c>
      <c r="V127" s="8" t="s">
        <v>88</v>
      </c>
      <c r="W127" s="29" t="s">
        <v>995</v>
      </c>
      <c r="X127" s="29"/>
      <c r="Y127" s="29">
        <v>253</v>
      </c>
      <c r="Z127" s="29" t="s">
        <v>996</v>
      </c>
      <c r="AA127" s="29" t="s">
        <v>109</v>
      </c>
      <c r="AB127" s="29">
        <v>31</v>
      </c>
      <c r="AC127" s="23" t="str">
        <f t="shared" si="9"/>
        <v>15/08/2020</v>
      </c>
      <c r="AD127" s="23" t="str">
        <f t="shared" si="10"/>
        <v>11/09/2020</v>
      </c>
      <c r="AE127" s="8">
        <v>0</v>
      </c>
      <c r="AF127" s="8">
        <v>0</v>
      </c>
      <c r="AG127" s="8"/>
    </row>
    <row r="128" spans="1:33" hidden="1" x14ac:dyDescent="0.2">
      <c r="A128" s="8">
        <v>2502</v>
      </c>
      <c r="B128" s="16">
        <v>44073</v>
      </c>
      <c r="C128" s="8">
        <v>30012785</v>
      </c>
      <c r="D128" s="8" t="s">
        <v>28</v>
      </c>
      <c r="E128" s="8" t="s">
        <v>98</v>
      </c>
      <c r="F128" s="8" t="s">
        <v>205</v>
      </c>
      <c r="G128" s="8">
        <v>15018321</v>
      </c>
      <c r="H128" s="8">
        <v>802094879</v>
      </c>
      <c r="I128" s="8" t="s">
        <v>99</v>
      </c>
      <c r="J128" s="8" t="s">
        <v>32</v>
      </c>
      <c r="K128" s="8" t="s">
        <v>177</v>
      </c>
      <c r="L128" s="8" t="s">
        <v>989</v>
      </c>
      <c r="M128" s="8" t="s">
        <v>1714</v>
      </c>
      <c r="N128" s="8" t="s">
        <v>1753</v>
      </c>
      <c r="O128" s="8">
        <v>502.12799999999999</v>
      </c>
      <c r="P128" s="8" t="s">
        <v>84</v>
      </c>
      <c r="Q128" s="8" t="s">
        <v>206</v>
      </c>
      <c r="R128" s="8" t="s">
        <v>35</v>
      </c>
      <c r="S128" s="8">
        <v>22</v>
      </c>
      <c r="T128" s="8" t="s">
        <v>87</v>
      </c>
      <c r="U128" s="8" t="s">
        <v>290</v>
      </c>
      <c r="V128" s="8" t="s">
        <v>88</v>
      </c>
      <c r="W128" s="29" t="s">
        <v>999</v>
      </c>
      <c r="X128" s="29"/>
      <c r="Y128" s="29">
        <v>528</v>
      </c>
      <c r="Z128" s="29"/>
      <c r="AA128" s="29" t="s">
        <v>39</v>
      </c>
      <c r="AB128" s="29">
        <v>31</v>
      </c>
      <c r="AC128" s="23" t="str">
        <f t="shared" si="9"/>
        <v>15/08/2020</v>
      </c>
      <c r="AD128" s="23" t="str">
        <f t="shared" si="10"/>
        <v>14/09/2020</v>
      </c>
      <c r="AE128" s="8">
        <v>0</v>
      </c>
      <c r="AF128" s="8">
        <v>0</v>
      </c>
      <c r="AG128" s="8"/>
    </row>
    <row r="129" spans="1:33" hidden="1" x14ac:dyDescent="0.2">
      <c r="A129" s="8">
        <v>2502</v>
      </c>
      <c r="B129" s="16">
        <v>44073</v>
      </c>
      <c r="C129" s="8">
        <v>30012785</v>
      </c>
      <c r="D129" s="8" t="s">
        <v>54</v>
      </c>
      <c r="E129" s="8" t="s">
        <v>103</v>
      </c>
      <c r="F129" s="8" t="s">
        <v>104</v>
      </c>
      <c r="G129" s="8">
        <v>15018350</v>
      </c>
      <c r="H129" s="8">
        <v>802094911</v>
      </c>
      <c r="I129" s="8" t="s">
        <v>31</v>
      </c>
      <c r="J129" s="8" t="s">
        <v>32</v>
      </c>
      <c r="K129" s="8" t="s">
        <v>177</v>
      </c>
      <c r="L129" s="8" t="s">
        <v>989</v>
      </c>
      <c r="M129" s="8" t="s">
        <v>1714</v>
      </c>
      <c r="N129" s="8" t="s">
        <v>1717</v>
      </c>
      <c r="O129" s="8">
        <v>188.16</v>
      </c>
      <c r="P129" s="8" t="s">
        <v>84</v>
      </c>
      <c r="Q129" s="8" t="s">
        <v>105</v>
      </c>
      <c r="R129" s="8" t="s">
        <v>106</v>
      </c>
      <c r="S129" s="8">
        <v>8</v>
      </c>
      <c r="T129" s="8" t="s">
        <v>87</v>
      </c>
      <c r="U129" s="8" t="s">
        <v>290</v>
      </c>
      <c r="V129" s="8" t="s">
        <v>88</v>
      </c>
      <c r="W129" s="29" t="s">
        <v>1002</v>
      </c>
      <c r="X129" s="29"/>
      <c r="Y129" s="29">
        <v>192</v>
      </c>
      <c r="Z129" s="29" t="s">
        <v>996</v>
      </c>
      <c r="AA129" s="29" t="s">
        <v>39</v>
      </c>
      <c r="AB129" s="29">
        <v>31</v>
      </c>
      <c r="AC129" s="23" t="str">
        <f t="shared" si="9"/>
        <v>15/08/2020</v>
      </c>
      <c r="AD129" s="23" t="str">
        <f t="shared" si="10"/>
        <v>11/09/2020</v>
      </c>
      <c r="AE129" s="8">
        <v>0</v>
      </c>
      <c r="AF129" s="8">
        <v>0</v>
      </c>
      <c r="AG129" s="8"/>
    </row>
    <row r="130" spans="1:33" hidden="1" x14ac:dyDescent="0.2">
      <c r="A130" s="8">
        <v>2502</v>
      </c>
      <c r="B130" s="16">
        <v>44073</v>
      </c>
      <c r="C130" s="8">
        <v>30012785</v>
      </c>
      <c r="D130" s="8" t="s">
        <v>54</v>
      </c>
      <c r="E130" s="8" t="s">
        <v>103</v>
      </c>
      <c r="F130" s="8" t="s">
        <v>104</v>
      </c>
      <c r="G130" s="8">
        <v>15018351</v>
      </c>
      <c r="H130" s="8">
        <v>802094912</v>
      </c>
      <c r="I130" s="8" t="s">
        <v>31</v>
      </c>
      <c r="J130" s="8" t="s">
        <v>32</v>
      </c>
      <c r="K130" s="8" t="s">
        <v>177</v>
      </c>
      <c r="L130" s="8" t="s">
        <v>989</v>
      </c>
      <c r="M130" s="8" t="s">
        <v>1714</v>
      </c>
      <c r="N130" s="8" t="s">
        <v>1717</v>
      </c>
      <c r="O130" s="8">
        <v>211.245</v>
      </c>
      <c r="P130" s="8" t="s">
        <v>84</v>
      </c>
      <c r="Q130" s="8" t="s">
        <v>105</v>
      </c>
      <c r="R130" s="8" t="s">
        <v>106</v>
      </c>
      <c r="S130" s="8">
        <v>9</v>
      </c>
      <c r="T130" s="8" t="s">
        <v>87</v>
      </c>
      <c r="U130" s="8" t="s">
        <v>37</v>
      </c>
      <c r="V130" s="8" t="s">
        <v>88</v>
      </c>
      <c r="W130" s="29" t="s">
        <v>1005</v>
      </c>
      <c r="X130" s="29"/>
      <c r="Y130" s="29">
        <v>216</v>
      </c>
      <c r="Z130" s="29" t="s">
        <v>996</v>
      </c>
      <c r="AA130" s="29" t="s">
        <v>39</v>
      </c>
      <c r="AB130" s="29">
        <v>31</v>
      </c>
      <c r="AC130" s="23" t="str">
        <f t="shared" si="9"/>
        <v>15/08/2020</v>
      </c>
      <c r="AD130" s="23" t="str">
        <f t="shared" si="10"/>
        <v>11/09/2020</v>
      </c>
      <c r="AE130" s="8">
        <v>0</v>
      </c>
      <c r="AF130" s="8">
        <v>0</v>
      </c>
      <c r="AG130" s="8"/>
    </row>
    <row r="131" spans="1:33" hidden="1" x14ac:dyDescent="0.2">
      <c r="A131" s="8">
        <v>2502</v>
      </c>
      <c r="B131" s="16">
        <v>44048</v>
      </c>
      <c r="C131" s="8">
        <v>30012785</v>
      </c>
      <c r="D131" s="8" t="s">
        <v>152</v>
      </c>
      <c r="E131" s="8" t="s">
        <v>138</v>
      </c>
      <c r="F131" s="8" t="s">
        <v>265</v>
      </c>
      <c r="G131" s="8">
        <v>15018373</v>
      </c>
      <c r="H131" s="8">
        <v>802094999</v>
      </c>
      <c r="I131" s="8" t="s">
        <v>377</v>
      </c>
      <c r="J131" s="8" t="s">
        <v>47</v>
      </c>
      <c r="K131" s="8" t="s">
        <v>177</v>
      </c>
      <c r="L131" s="8" t="s">
        <v>989</v>
      </c>
      <c r="M131" s="8" t="s">
        <v>1714</v>
      </c>
      <c r="N131" s="8" t="s">
        <v>1753</v>
      </c>
      <c r="O131" s="8">
        <v>153</v>
      </c>
      <c r="P131" s="8" t="s">
        <v>84</v>
      </c>
      <c r="Q131" s="8" t="s">
        <v>206</v>
      </c>
      <c r="R131" s="8" t="s">
        <v>266</v>
      </c>
      <c r="S131" s="8">
        <v>8</v>
      </c>
      <c r="T131" s="8" t="s">
        <v>87</v>
      </c>
      <c r="U131" s="8" t="s">
        <v>290</v>
      </c>
      <c r="V131" s="8" t="s">
        <v>88</v>
      </c>
      <c r="W131" s="29" t="s">
        <v>1008</v>
      </c>
      <c r="X131" s="29"/>
      <c r="Y131" s="29">
        <v>16</v>
      </c>
      <c r="Z131" s="29" t="s">
        <v>856</v>
      </c>
      <c r="AA131" s="29" t="s">
        <v>39</v>
      </c>
      <c r="AB131" s="29">
        <v>31</v>
      </c>
      <c r="AC131" s="23" t="str">
        <f t="shared" si="9"/>
        <v>15/08/2020</v>
      </c>
      <c r="AD131" s="23" t="str">
        <f t="shared" si="10"/>
        <v>14/09/2020</v>
      </c>
      <c r="AE131" s="8">
        <v>0</v>
      </c>
      <c r="AF131" s="8">
        <v>0</v>
      </c>
      <c r="AG131" s="8"/>
    </row>
    <row r="132" spans="1:33" hidden="1" x14ac:dyDescent="0.2">
      <c r="A132" s="8">
        <v>2502</v>
      </c>
      <c r="B132" s="16">
        <v>44048</v>
      </c>
      <c r="C132" s="8">
        <v>30012785</v>
      </c>
      <c r="D132" s="8" t="s">
        <v>152</v>
      </c>
      <c r="E132" s="8" t="s">
        <v>138</v>
      </c>
      <c r="F132" s="8" t="s">
        <v>265</v>
      </c>
      <c r="G132" s="8">
        <v>15018380</v>
      </c>
      <c r="H132" s="8">
        <v>802095001</v>
      </c>
      <c r="I132" s="8" t="s">
        <v>1011</v>
      </c>
      <c r="J132" s="8" t="s">
        <v>47</v>
      </c>
      <c r="K132" s="8" t="s">
        <v>177</v>
      </c>
      <c r="L132" s="8" t="s">
        <v>989</v>
      </c>
      <c r="M132" s="8" t="s">
        <v>1714</v>
      </c>
      <c r="N132" s="8" t="s">
        <v>1753</v>
      </c>
      <c r="O132" s="8">
        <v>221.31200000000001</v>
      </c>
      <c r="P132" s="8" t="s">
        <v>84</v>
      </c>
      <c r="Q132" s="8" t="s">
        <v>206</v>
      </c>
      <c r="R132" s="8" t="s">
        <v>266</v>
      </c>
      <c r="S132" s="8">
        <v>8</v>
      </c>
      <c r="T132" s="8" t="s">
        <v>87</v>
      </c>
      <c r="U132" s="8" t="s">
        <v>290</v>
      </c>
      <c r="V132" s="8" t="s">
        <v>88</v>
      </c>
      <c r="W132" s="29" t="s">
        <v>1012</v>
      </c>
      <c r="X132" s="29"/>
      <c r="Y132" s="29">
        <v>16</v>
      </c>
      <c r="Z132" s="29" t="s">
        <v>856</v>
      </c>
      <c r="AA132" s="29" t="s">
        <v>39</v>
      </c>
      <c r="AB132" s="29">
        <v>31</v>
      </c>
      <c r="AC132" s="23" t="str">
        <f t="shared" si="9"/>
        <v>15/08/2020</v>
      </c>
      <c r="AD132" s="23" t="str">
        <f t="shared" si="10"/>
        <v>14/09/2020</v>
      </c>
      <c r="AE132" s="8">
        <v>0</v>
      </c>
      <c r="AF132" s="8">
        <v>0</v>
      </c>
      <c r="AG132" s="8"/>
    </row>
    <row r="133" spans="1:33" hidden="1" x14ac:dyDescent="0.2">
      <c r="A133" s="8">
        <v>2502</v>
      </c>
      <c r="B133" s="16">
        <v>44048</v>
      </c>
      <c r="C133" s="8">
        <v>30012785</v>
      </c>
      <c r="D133" s="8" t="s">
        <v>152</v>
      </c>
      <c r="E133" s="8" t="s">
        <v>138</v>
      </c>
      <c r="F133" s="8" t="s">
        <v>265</v>
      </c>
      <c r="G133" s="8">
        <v>15018386</v>
      </c>
      <c r="H133" s="8">
        <v>802095002</v>
      </c>
      <c r="I133" s="8" t="s">
        <v>407</v>
      </c>
      <c r="J133" s="8" t="s">
        <v>47</v>
      </c>
      <c r="K133" s="8" t="s">
        <v>177</v>
      </c>
      <c r="L133" s="8" t="s">
        <v>989</v>
      </c>
      <c r="M133" s="8" t="s">
        <v>1714</v>
      </c>
      <c r="N133" s="8" t="s">
        <v>1753</v>
      </c>
      <c r="O133" s="8">
        <v>260</v>
      </c>
      <c r="P133" s="8" t="s">
        <v>84</v>
      </c>
      <c r="Q133" s="8" t="s">
        <v>206</v>
      </c>
      <c r="R133" s="8" t="s">
        <v>266</v>
      </c>
      <c r="S133" s="8">
        <v>13</v>
      </c>
      <c r="T133" s="8" t="s">
        <v>87</v>
      </c>
      <c r="U133" s="8" t="s">
        <v>290</v>
      </c>
      <c r="V133" s="8" t="s">
        <v>88</v>
      </c>
      <c r="W133" s="29" t="s">
        <v>1015</v>
      </c>
      <c r="X133" s="29"/>
      <c r="Y133" s="29">
        <v>25</v>
      </c>
      <c r="Z133" s="29" t="s">
        <v>856</v>
      </c>
      <c r="AA133" s="29" t="s">
        <v>39</v>
      </c>
      <c r="AB133" s="29">
        <v>31</v>
      </c>
      <c r="AC133" s="23" t="str">
        <f t="shared" si="9"/>
        <v>15/08/2020</v>
      </c>
      <c r="AD133" s="23" t="str">
        <f t="shared" si="10"/>
        <v>14/09/2020</v>
      </c>
      <c r="AE133" s="8">
        <v>0</v>
      </c>
      <c r="AF133" s="8">
        <v>0</v>
      </c>
      <c r="AG133" s="8"/>
    </row>
    <row r="134" spans="1:33" hidden="1" x14ac:dyDescent="0.2">
      <c r="A134" s="8">
        <v>2502</v>
      </c>
      <c r="B134" s="16">
        <v>44048</v>
      </c>
      <c r="C134" s="8">
        <v>30012785</v>
      </c>
      <c r="D134" s="8" t="s">
        <v>152</v>
      </c>
      <c r="E134" s="8" t="s">
        <v>138</v>
      </c>
      <c r="F134" s="8" t="s">
        <v>265</v>
      </c>
      <c r="G134" s="8">
        <v>15018387</v>
      </c>
      <c r="H134" s="8">
        <v>802095003</v>
      </c>
      <c r="I134" s="8" t="s">
        <v>408</v>
      </c>
      <c r="J134" s="8" t="s">
        <v>47</v>
      </c>
      <c r="K134" s="8" t="s">
        <v>177</v>
      </c>
      <c r="L134" s="8" t="s">
        <v>989</v>
      </c>
      <c r="M134" s="8" t="s">
        <v>1714</v>
      </c>
      <c r="N134" s="8" t="s">
        <v>1753</v>
      </c>
      <c r="O134" s="8">
        <v>111.73</v>
      </c>
      <c r="P134" s="8" t="s">
        <v>84</v>
      </c>
      <c r="Q134" s="8" t="s">
        <v>206</v>
      </c>
      <c r="R134" s="8" t="s">
        <v>266</v>
      </c>
      <c r="S134" s="8">
        <v>5</v>
      </c>
      <c r="T134" s="8" t="s">
        <v>87</v>
      </c>
      <c r="U134" s="8" t="s">
        <v>290</v>
      </c>
      <c r="V134" s="8" t="s">
        <v>88</v>
      </c>
      <c r="W134" s="29" t="s">
        <v>1018</v>
      </c>
      <c r="X134" s="29"/>
      <c r="Y134" s="29">
        <v>10</v>
      </c>
      <c r="Z134" s="29" t="s">
        <v>856</v>
      </c>
      <c r="AA134" s="29" t="s">
        <v>39</v>
      </c>
      <c r="AB134" s="29">
        <v>31</v>
      </c>
      <c r="AC134" s="23" t="str">
        <f t="shared" si="9"/>
        <v>15/08/2020</v>
      </c>
      <c r="AD134" s="23" t="str">
        <f t="shared" si="10"/>
        <v>14/09/2020</v>
      </c>
      <c r="AE134" s="8">
        <v>0</v>
      </c>
      <c r="AF134" s="8">
        <v>0</v>
      </c>
      <c r="AG134" s="8"/>
    </row>
    <row r="135" spans="1:33" hidden="1" x14ac:dyDescent="0.2">
      <c r="A135" s="8">
        <v>2502</v>
      </c>
      <c r="B135" s="16">
        <v>44048</v>
      </c>
      <c r="C135" s="8">
        <v>30012785</v>
      </c>
      <c r="D135" s="8" t="s">
        <v>152</v>
      </c>
      <c r="E135" s="8" t="s">
        <v>138</v>
      </c>
      <c r="F135" s="8" t="s">
        <v>265</v>
      </c>
      <c r="G135" s="8">
        <v>15018388</v>
      </c>
      <c r="H135" s="8">
        <v>802095004</v>
      </c>
      <c r="I135" s="8" t="s">
        <v>385</v>
      </c>
      <c r="J135" s="8" t="s">
        <v>47</v>
      </c>
      <c r="K135" s="8" t="s">
        <v>177</v>
      </c>
      <c r="L135" s="8" t="s">
        <v>989</v>
      </c>
      <c r="M135" s="8" t="s">
        <v>1714</v>
      </c>
      <c r="N135" s="8" t="s">
        <v>1753</v>
      </c>
      <c r="O135" s="8">
        <v>208.54</v>
      </c>
      <c r="P135" s="8" t="s">
        <v>84</v>
      </c>
      <c r="Q135" s="8" t="s">
        <v>206</v>
      </c>
      <c r="R135" s="8" t="s">
        <v>266</v>
      </c>
      <c r="S135" s="8">
        <v>10</v>
      </c>
      <c r="T135" s="8" t="s">
        <v>87</v>
      </c>
      <c r="U135" s="8" t="s">
        <v>290</v>
      </c>
      <c r="V135" s="8" t="s">
        <v>88</v>
      </c>
      <c r="W135" s="29" t="s">
        <v>1021</v>
      </c>
      <c r="X135" s="29"/>
      <c r="Y135" s="29">
        <v>20</v>
      </c>
      <c r="Z135" s="29" t="s">
        <v>856</v>
      </c>
      <c r="AA135" s="29" t="s">
        <v>39</v>
      </c>
      <c r="AB135" s="29">
        <v>31</v>
      </c>
      <c r="AC135" s="23" t="str">
        <f t="shared" si="9"/>
        <v>15/08/2020</v>
      </c>
      <c r="AD135" s="23" t="str">
        <f t="shared" si="10"/>
        <v>14/09/2020</v>
      </c>
      <c r="AE135" s="8">
        <v>0</v>
      </c>
      <c r="AF135" s="8">
        <v>0</v>
      </c>
      <c r="AG135" s="8"/>
    </row>
    <row r="136" spans="1:33" hidden="1" x14ac:dyDescent="0.2">
      <c r="A136" s="8">
        <v>2502</v>
      </c>
      <c r="B136" s="16">
        <v>44048</v>
      </c>
      <c r="C136" s="8">
        <v>30012785</v>
      </c>
      <c r="D136" s="8" t="s">
        <v>152</v>
      </c>
      <c r="E136" s="8" t="s">
        <v>138</v>
      </c>
      <c r="F136" s="8" t="s">
        <v>265</v>
      </c>
      <c r="G136" s="8">
        <v>15018389</v>
      </c>
      <c r="H136" s="8">
        <v>802095005</v>
      </c>
      <c r="I136" s="8" t="s">
        <v>386</v>
      </c>
      <c r="J136" s="8" t="s">
        <v>47</v>
      </c>
      <c r="K136" s="8" t="s">
        <v>177</v>
      </c>
      <c r="L136" s="8" t="s">
        <v>989</v>
      </c>
      <c r="M136" s="8" t="s">
        <v>1714</v>
      </c>
      <c r="N136" s="8" t="s">
        <v>1753</v>
      </c>
      <c r="O136" s="8">
        <v>225.4</v>
      </c>
      <c r="P136" s="8" t="s">
        <v>84</v>
      </c>
      <c r="Q136" s="8" t="s">
        <v>206</v>
      </c>
      <c r="R136" s="8" t="s">
        <v>266</v>
      </c>
      <c r="S136" s="8">
        <v>10</v>
      </c>
      <c r="T136" s="8" t="s">
        <v>87</v>
      </c>
      <c r="U136" s="8" t="s">
        <v>290</v>
      </c>
      <c r="V136" s="8" t="s">
        <v>88</v>
      </c>
      <c r="W136" s="29" t="s">
        <v>1024</v>
      </c>
      <c r="X136" s="29"/>
      <c r="Y136" s="29">
        <v>20</v>
      </c>
      <c r="Z136" s="29" t="s">
        <v>856</v>
      </c>
      <c r="AA136" s="29" t="s">
        <v>39</v>
      </c>
      <c r="AB136" s="29">
        <v>31</v>
      </c>
      <c r="AC136" s="23" t="str">
        <f t="shared" si="9"/>
        <v>15/08/2020</v>
      </c>
      <c r="AD136" s="23" t="str">
        <f t="shared" si="10"/>
        <v>14/09/2020</v>
      </c>
      <c r="AE136" s="8">
        <v>0</v>
      </c>
      <c r="AF136" s="8">
        <v>0</v>
      </c>
      <c r="AG136" s="8"/>
    </row>
    <row r="137" spans="1:33" hidden="1" x14ac:dyDescent="0.2">
      <c r="A137" s="8">
        <v>2504</v>
      </c>
      <c r="B137" s="16">
        <v>44053</v>
      </c>
      <c r="C137" s="8">
        <v>30012810</v>
      </c>
      <c r="D137" s="8" t="s">
        <v>62</v>
      </c>
      <c r="E137" s="8" t="s">
        <v>212</v>
      </c>
      <c r="F137" s="8" t="s">
        <v>213</v>
      </c>
      <c r="G137" s="8">
        <v>15018205</v>
      </c>
      <c r="H137" s="8">
        <v>802094740</v>
      </c>
      <c r="I137" s="8" t="s">
        <v>77</v>
      </c>
      <c r="J137" s="8" t="s">
        <v>32</v>
      </c>
      <c r="K137" s="8" t="s">
        <v>500</v>
      </c>
      <c r="L137" s="8" t="s">
        <v>1081</v>
      </c>
      <c r="M137" s="8" t="s">
        <v>1704</v>
      </c>
      <c r="N137" s="8" t="s">
        <v>1750</v>
      </c>
      <c r="O137" s="8">
        <v>512.86800000000005</v>
      </c>
      <c r="P137" s="8" t="s">
        <v>48</v>
      </c>
      <c r="Q137" s="8" t="s">
        <v>115</v>
      </c>
      <c r="R137" s="8" t="s">
        <v>116</v>
      </c>
      <c r="S137" s="8">
        <v>26</v>
      </c>
      <c r="T137" s="8" t="s">
        <v>140</v>
      </c>
      <c r="U137" s="8" t="s">
        <v>37</v>
      </c>
      <c r="V137" s="8" t="s">
        <v>1699</v>
      </c>
      <c r="W137" s="29" t="s">
        <v>1082</v>
      </c>
      <c r="X137" s="29"/>
      <c r="Y137" s="29">
        <v>494</v>
      </c>
      <c r="Z137" s="29" t="s">
        <v>1083</v>
      </c>
      <c r="AA137" s="29" t="s">
        <v>39</v>
      </c>
      <c r="AB137" s="29">
        <v>31</v>
      </c>
      <c r="AC137" s="23" t="str">
        <f t="shared" si="9"/>
        <v>12/08/2020</v>
      </c>
      <c r="AD137" s="23" t="str">
        <f t="shared" si="10"/>
        <v>06/09/2020</v>
      </c>
      <c r="AE137" s="8"/>
      <c r="AF137" s="8"/>
      <c r="AG137" s="8"/>
    </row>
    <row r="138" spans="1:33" hidden="1" x14ac:dyDescent="0.2">
      <c r="A138" s="8">
        <v>2504</v>
      </c>
      <c r="B138" s="16">
        <v>44055</v>
      </c>
      <c r="C138" s="8">
        <v>30012788</v>
      </c>
      <c r="D138" s="8" t="s">
        <v>54</v>
      </c>
      <c r="E138" s="8" t="s">
        <v>541</v>
      </c>
      <c r="F138" s="8" t="s">
        <v>542</v>
      </c>
      <c r="G138" s="8">
        <v>15018089</v>
      </c>
      <c r="H138" s="8">
        <v>802094725</v>
      </c>
      <c r="I138" s="8" t="s">
        <v>77</v>
      </c>
      <c r="J138" s="8" t="s">
        <v>32</v>
      </c>
      <c r="K138" s="8" t="s">
        <v>404</v>
      </c>
      <c r="L138" s="8" t="s">
        <v>622</v>
      </c>
      <c r="M138" s="8" t="s">
        <v>1714</v>
      </c>
      <c r="N138" s="8" t="s">
        <v>1751</v>
      </c>
      <c r="O138" s="8">
        <v>499.13400000000001</v>
      </c>
      <c r="P138" s="8" t="s">
        <v>48</v>
      </c>
      <c r="Q138" s="8" t="s">
        <v>498</v>
      </c>
      <c r="R138" s="8" t="s">
        <v>499</v>
      </c>
      <c r="S138" s="8">
        <v>20</v>
      </c>
      <c r="T138" s="8" t="s">
        <v>36</v>
      </c>
      <c r="U138" s="8" t="s">
        <v>37</v>
      </c>
      <c r="V138" s="8" t="s">
        <v>155</v>
      </c>
      <c r="W138" s="29" t="s">
        <v>1029</v>
      </c>
      <c r="X138" s="29"/>
      <c r="Y138" s="29">
        <v>480</v>
      </c>
      <c r="Z138" s="29" t="s">
        <v>611</v>
      </c>
      <c r="AA138" s="29" t="s">
        <v>39</v>
      </c>
      <c r="AB138" s="29">
        <v>31</v>
      </c>
      <c r="AC138" s="23" t="str">
        <f t="shared" si="9"/>
        <v>15/08/2020</v>
      </c>
      <c r="AD138" s="23" t="str">
        <f t="shared" si="10"/>
        <v>07/09/2020</v>
      </c>
      <c r="AE138" s="8"/>
      <c r="AF138" s="8"/>
      <c r="AG138" s="8"/>
    </row>
    <row r="139" spans="1:33" hidden="1" x14ac:dyDescent="0.2">
      <c r="A139" s="8">
        <v>2504</v>
      </c>
      <c r="B139" s="16">
        <v>44048</v>
      </c>
      <c r="C139" s="8">
        <v>30012788</v>
      </c>
      <c r="D139" s="8" t="s">
        <v>28</v>
      </c>
      <c r="E139" s="8" t="s">
        <v>110</v>
      </c>
      <c r="F139" s="8" t="s">
        <v>1030</v>
      </c>
      <c r="G139" s="8">
        <v>15018210</v>
      </c>
      <c r="H139" s="8">
        <v>802094742</v>
      </c>
      <c r="I139" s="8" t="s">
        <v>77</v>
      </c>
      <c r="J139" s="8" t="s">
        <v>32</v>
      </c>
      <c r="K139" s="8" t="s">
        <v>404</v>
      </c>
      <c r="L139" s="8" t="s">
        <v>622</v>
      </c>
      <c r="M139" s="8" t="s">
        <v>1714</v>
      </c>
      <c r="N139" s="8" t="s">
        <v>1734</v>
      </c>
      <c r="O139" s="8">
        <v>499.9</v>
      </c>
      <c r="P139" s="8" t="s">
        <v>48</v>
      </c>
      <c r="Q139" s="8" t="s">
        <v>134</v>
      </c>
      <c r="R139" s="8" t="s">
        <v>135</v>
      </c>
      <c r="S139" s="8">
        <v>20</v>
      </c>
      <c r="T139" s="8" t="s">
        <v>72</v>
      </c>
      <c r="U139" s="8" t="s">
        <v>37</v>
      </c>
      <c r="V139" s="8" t="s">
        <v>155</v>
      </c>
      <c r="W139" s="29" t="s">
        <v>1033</v>
      </c>
      <c r="X139" s="29"/>
      <c r="Y139" s="29">
        <v>480</v>
      </c>
      <c r="Z139" s="29" t="s">
        <v>946</v>
      </c>
      <c r="AA139" s="29" t="s">
        <v>39</v>
      </c>
      <c r="AB139" s="29">
        <v>31</v>
      </c>
      <c r="AC139" s="23" t="str">
        <f t="shared" si="9"/>
        <v>15/08/2020</v>
      </c>
      <c r="AD139" s="23" t="str">
        <f t="shared" si="10"/>
        <v>08/09/2020</v>
      </c>
      <c r="AE139" s="8"/>
      <c r="AF139" s="8"/>
      <c r="AG139" s="8"/>
    </row>
    <row r="140" spans="1:33" hidden="1" x14ac:dyDescent="0.2">
      <c r="A140" s="8">
        <v>2504</v>
      </c>
      <c r="B140" s="16">
        <v>44048</v>
      </c>
      <c r="C140" s="8">
        <v>30012804</v>
      </c>
      <c r="D140" s="8" t="s">
        <v>91</v>
      </c>
      <c r="E140" s="8" t="s">
        <v>242</v>
      </c>
      <c r="F140" s="8" t="s">
        <v>243</v>
      </c>
      <c r="G140" s="8">
        <v>15017476</v>
      </c>
      <c r="H140" s="8">
        <v>802094721</v>
      </c>
      <c r="I140" s="8" t="s">
        <v>244</v>
      </c>
      <c r="J140" s="8" t="s">
        <v>47</v>
      </c>
      <c r="K140" s="8" t="s">
        <v>503</v>
      </c>
      <c r="L140" s="8" t="s">
        <v>1116</v>
      </c>
      <c r="M140" s="8" t="s">
        <v>1714</v>
      </c>
      <c r="N140" s="8" t="s">
        <v>1729</v>
      </c>
      <c r="O140" s="8">
        <v>94.724999999999994</v>
      </c>
      <c r="P140" s="8" t="s">
        <v>48</v>
      </c>
      <c r="Q140" s="8" t="s">
        <v>100</v>
      </c>
      <c r="R140" s="8" t="s">
        <v>101</v>
      </c>
      <c r="S140" s="8">
        <v>5</v>
      </c>
      <c r="T140" s="8" t="s">
        <v>140</v>
      </c>
      <c r="U140" s="8" t="s">
        <v>37</v>
      </c>
      <c r="V140" s="8" t="s">
        <v>155</v>
      </c>
      <c r="W140" s="29" t="s">
        <v>1122</v>
      </c>
      <c r="X140" s="29"/>
      <c r="Y140" s="29">
        <v>10</v>
      </c>
      <c r="Z140" s="29" t="s">
        <v>53</v>
      </c>
      <c r="AA140" s="29" t="s">
        <v>39</v>
      </c>
      <c r="AB140" s="29">
        <v>31</v>
      </c>
      <c r="AC140" s="23">
        <v>44061</v>
      </c>
      <c r="AD140" s="23">
        <v>44080</v>
      </c>
      <c r="AE140" s="8">
        <v>3</v>
      </c>
      <c r="AF140" s="8">
        <v>2</v>
      </c>
      <c r="AG140" s="22" t="s">
        <v>1778</v>
      </c>
    </row>
    <row r="141" spans="1:33" hidden="1" x14ac:dyDescent="0.2">
      <c r="A141" s="8">
        <v>2504</v>
      </c>
      <c r="B141" s="16">
        <v>44048</v>
      </c>
      <c r="C141" s="8">
        <v>30012804</v>
      </c>
      <c r="D141" s="8" t="s">
        <v>91</v>
      </c>
      <c r="E141" s="8" t="s">
        <v>242</v>
      </c>
      <c r="F141" s="8" t="s">
        <v>243</v>
      </c>
      <c r="G141" s="8">
        <v>15017477</v>
      </c>
      <c r="H141" s="8">
        <v>802094722</v>
      </c>
      <c r="I141" s="8" t="s">
        <v>246</v>
      </c>
      <c r="J141" s="8" t="s">
        <v>47</v>
      </c>
      <c r="K141" s="8" t="s">
        <v>503</v>
      </c>
      <c r="L141" s="8" t="s">
        <v>1116</v>
      </c>
      <c r="M141" s="8" t="s">
        <v>1714</v>
      </c>
      <c r="N141" s="8" t="s">
        <v>1729</v>
      </c>
      <c r="O141" s="8">
        <v>151.61600000000001</v>
      </c>
      <c r="P141" s="8" t="s">
        <v>48</v>
      </c>
      <c r="Q141" s="8" t="s">
        <v>100</v>
      </c>
      <c r="R141" s="8" t="s">
        <v>101</v>
      </c>
      <c r="S141" s="8">
        <v>8</v>
      </c>
      <c r="T141" s="8" t="s">
        <v>140</v>
      </c>
      <c r="U141" s="8" t="s">
        <v>758</v>
      </c>
      <c r="V141" s="8" t="s">
        <v>155</v>
      </c>
      <c r="W141" s="29" t="s">
        <v>1125</v>
      </c>
      <c r="X141" s="29"/>
      <c r="Y141" s="29">
        <v>16</v>
      </c>
      <c r="Z141" s="29" t="s">
        <v>53</v>
      </c>
      <c r="AA141" s="29" t="s">
        <v>39</v>
      </c>
      <c r="AB141" s="29">
        <v>31</v>
      </c>
      <c r="AC141" s="23">
        <v>44061</v>
      </c>
      <c r="AD141" s="23">
        <v>44080</v>
      </c>
      <c r="AE141" s="8">
        <v>3</v>
      </c>
      <c r="AF141" s="8">
        <v>2</v>
      </c>
      <c r="AG141" s="22" t="s">
        <v>1778</v>
      </c>
    </row>
    <row r="142" spans="1:33" hidden="1" x14ac:dyDescent="0.2">
      <c r="A142" s="8">
        <v>2504</v>
      </c>
      <c r="B142" s="16">
        <v>44063</v>
      </c>
      <c r="C142" s="8">
        <v>30012804</v>
      </c>
      <c r="D142" s="8" t="s">
        <v>91</v>
      </c>
      <c r="E142" s="8" t="s">
        <v>553</v>
      </c>
      <c r="F142" s="8" t="s">
        <v>554</v>
      </c>
      <c r="G142" s="8">
        <v>15017812</v>
      </c>
      <c r="H142" s="8">
        <v>802094724</v>
      </c>
      <c r="I142" s="8" t="s">
        <v>77</v>
      </c>
      <c r="J142" s="8" t="s">
        <v>32</v>
      </c>
      <c r="K142" s="8" t="s">
        <v>503</v>
      </c>
      <c r="L142" s="8" t="s">
        <v>1116</v>
      </c>
      <c r="M142" s="8" t="s">
        <v>1714</v>
      </c>
      <c r="N142" s="8" t="s">
        <v>1729</v>
      </c>
      <c r="O142" s="8">
        <v>298.08</v>
      </c>
      <c r="P142" s="8" t="s">
        <v>48</v>
      </c>
      <c r="Q142" s="8" t="s">
        <v>100</v>
      </c>
      <c r="R142" s="8" t="s">
        <v>101</v>
      </c>
      <c r="S142" s="8">
        <v>12</v>
      </c>
      <c r="T142" s="8" t="s">
        <v>36</v>
      </c>
      <c r="U142" s="8" t="s">
        <v>1028</v>
      </c>
      <c r="V142" s="8" t="s">
        <v>155</v>
      </c>
      <c r="W142" s="29" t="s">
        <v>1128</v>
      </c>
      <c r="X142" s="29"/>
      <c r="Y142" s="29">
        <v>288</v>
      </c>
      <c r="Z142" s="29"/>
      <c r="AA142" s="29" t="s">
        <v>39</v>
      </c>
      <c r="AB142" s="29">
        <v>31</v>
      </c>
      <c r="AC142" s="23">
        <v>44061</v>
      </c>
      <c r="AD142" s="23">
        <v>44080</v>
      </c>
      <c r="AE142" s="8">
        <v>3</v>
      </c>
      <c r="AF142" s="8">
        <v>2</v>
      </c>
      <c r="AG142" s="22" t="s">
        <v>1778</v>
      </c>
    </row>
    <row r="143" spans="1:33" hidden="1" x14ac:dyDescent="0.2">
      <c r="A143" s="8">
        <v>2504</v>
      </c>
      <c r="B143" s="16">
        <v>44058</v>
      </c>
      <c r="C143" s="8">
        <v>30012817</v>
      </c>
      <c r="D143" s="8" t="s">
        <v>62</v>
      </c>
      <c r="E143" s="8" t="s">
        <v>217</v>
      </c>
      <c r="F143" s="8" t="s">
        <v>218</v>
      </c>
      <c r="G143" s="8">
        <v>15018224</v>
      </c>
      <c r="H143" s="8">
        <v>802094745</v>
      </c>
      <c r="I143" s="8" t="s">
        <v>77</v>
      </c>
      <c r="J143" s="8" t="s">
        <v>32</v>
      </c>
      <c r="K143" s="8" t="s">
        <v>503</v>
      </c>
      <c r="L143" s="8" t="s">
        <v>1116</v>
      </c>
      <c r="M143" s="8" t="s">
        <v>1714</v>
      </c>
      <c r="N143" s="8" t="s">
        <v>1754</v>
      </c>
      <c r="O143" s="8">
        <v>496.8</v>
      </c>
      <c r="P143" s="8" t="s">
        <v>48</v>
      </c>
      <c r="Q143" s="8" t="s">
        <v>206</v>
      </c>
      <c r="R143" s="8" t="s">
        <v>35</v>
      </c>
      <c r="S143" s="8">
        <v>20</v>
      </c>
      <c r="T143" s="8" t="s">
        <v>36</v>
      </c>
      <c r="U143" s="8" t="s">
        <v>1028</v>
      </c>
      <c r="V143" s="8" t="s">
        <v>1706</v>
      </c>
      <c r="W143" s="29" t="s">
        <v>1132</v>
      </c>
      <c r="X143" s="29"/>
      <c r="Y143" s="29">
        <v>480</v>
      </c>
      <c r="Z143" s="29"/>
      <c r="AA143" s="29" t="s">
        <v>39</v>
      </c>
      <c r="AB143" s="29">
        <v>31</v>
      </c>
      <c r="AC143" s="23">
        <v>44061</v>
      </c>
      <c r="AD143" s="23">
        <v>44092</v>
      </c>
      <c r="AE143" s="8">
        <v>3</v>
      </c>
      <c r="AF143" s="8">
        <v>2</v>
      </c>
      <c r="AG143" s="22" t="s">
        <v>1778</v>
      </c>
    </row>
    <row r="144" spans="1:33" hidden="1" x14ac:dyDescent="0.2">
      <c r="A144" s="8">
        <v>2504</v>
      </c>
      <c r="B144" s="16">
        <v>44073</v>
      </c>
      <c r="C144" s="8">
        <v>30012817</v>
      </c>
      <c r="D144" s="8" t="s">
        <v>28</v>
      </c>
      <c r="E144" s="8" t="s">
        <v>98</v>
      </c>
      <c r="F144" s="8" t="s">
        <v>205</v>
      </c>
      <c r="G144" s="8">
        <v>15018319</v>
      </c>
      <c r="H144" s="8">
        <v>802095064</v>
      </c>
      <c r="I144" s="8" t="s">
        <v>77</v>
      </c>
      <c r="J144" s="8" t="s">
        <v>32</v>
      </c>
      <c r="K144" s="8" t="s">
        <v>503</v>
      </c>
      <c r="L144" s="8" t="s">
        <v>1116</v>
      </c>
      <c r="M144" s="8" t="s">
        <v>1714</v>
      </c>
      <c r="N144" s="8" t="s">
        <v>1754</v>
      </c>
      <c r="O144" s="8">
        <v>496.8</v>
      </c>
      <c r="P144" s="8" t="s">
        <v>48</v>
      </c>
      <c r="Q144" s="8" t="s">
        <v>206</v>
      </c>
      <c r="R144" s="8" t="s">
        <v>35</v>
      </c>
      <c r="S144" s="8">
        <v>20</v>
      </c>
      <c r="T144" s="8" t="s">
        <v>36</v>
      </c>
      <c r="U144" s="8" t="s">
        <v>1028</v>
      </c>
      <c r="V144" s="8" t="s">
        <v>1706</v>
      </c>
      <c r="W144" s="29" t="s">
        <v>1135</v>
      </c>
      <c r="X144" s="29"/>
      <c r="Y144" s="29">
        <v>480</v>
      </c>
      <c r="Z144" s="29"/>
      <c r="AA144" s="29" t="s">
        <v>39</v>
      </c>
      <c r="AB144" s="29">
        <v>31</v>
      </c>
      <c r="AC144" s="23">
        <v>44061</v>
      </c>
      <c r="AD144" s="23">
        <v>44092</v>
      </c>
      <c r="AE144" s="8">
        <v>3</v>
      </c>
      <c r="AF144" s="8">
        <v>2</v>
      </c>
      <c r="AG144" s="22" t="s">
        <v>1778</v>
      </c>
    </row>
    <row r="145" spans="1:33" x14ac:dyDescent="0.2">
      <c r="A145" s="8">
        <v>2501</v>
      </c>
      <c r="B145" s="16">
        <v>44073</v>
      </c>
      <c r="C145" s="8">
        <v>30012865</v>
      </c>
      <c r="D145" s="8" t="s">
        <v>74</v>
      </c>
      <c r="E145" s="8" t="s">
        <v>75</v>
      </c>
      <c r="F145" s="8" t="s">
        <v>147</v>
      </c>
      <c r="G145" s="8">
        <v>15018250</v>
      </c>
      <c r="H145" s="8">
        <v>802094839</v>
      </c>
      <c r="I145" s="8" t="s">
        <v>148</v>
      </c>
      <c r="J145" s="8" t="s">
        <v>58</v>
      </c>
      <c r="K145" s="8" t="s">
        <v>1786</v>
      </c>
      <c r="L145" s="8" t="s">
        <v>954</v>
      </c>
      <c r="M145" s="8" t="s">
        <v>1714</v>
      </c>
      <c r="N145" s="8" t="s">
        <v>1745</v>
      </c>
      <c r="O145" s="8">
        <v>69.093000000000004</v>
      </c>
      <c r="P145" s="8" t="s">
        <v>33</v>
      </c>
      <c r="Q145" s="8" t="s">
        <v>149</v>
      </c>
      <c r="R145" s="8" t="s">
        <v>150</v>
      </c>
      <c r="S145" s="8">
        <v>3</v>
      </c>
      <c r="T145" s="8" t="s">
        <v>61</v>
      </c>
      <c r="U145" s="8" t="s">
        <v>290</v>
      </c>
      <c r="V145" s="8" t="s">
        <v>1718</v>
      </c>
      <c r="W145" s="29" t="s">
        <v>1105</v>
      </c>
      <c r="X145" s="29"/>
      <c r="Y145" s="29">
        <v>27</v>
      </c>
      <c r="Z145" s="29"/>
      <c r="AA145" s="29" t="s">
        <v>39</v>
      </c>
      <c r="AB145" s="29">
        <v>31</v>
      </c>
      <c r="AC145" s="23">
        <v>44058</v>
      </c>
      <c r="AD145" s="23" t="str">
        <f>N145</f>
        <v>06/10/2020</v>
      </c>
      <c r="AE145" s="8">
        <v>0</v>
      </c>
      <c r="AF145" s="8"/>
      <c r="AG145" s="8"/>
    </row>
    <row r="146" spans="1:33" x14ac:dyDescent="0.2">
      <c r="A146" s="8">
        <v>2501</v>
      </c>
      <c r="B146" s="16">
        <v>44073</v>
      </c>
      <c r="C146" s="8">
        <v>30012865</v>
      </c>
      <c r="D146" s="8" t="s">
        <v>74</v>
      </c>
      <c r="E146" s="8" t="s">
        <v>75</v>
      </c>
      <c r="F146" s="8" t="s">
        <v>147</v>
      </c>
      <c r="G146" s="8">
        <v>15018251</v>
      </c>
      <c r="H146" s="8">
        <v>802094840</v>
      </c>
      <c r="I146" s="8" t="s">
        <v>151</v>
      </c>
      <c r="J146" s="8" t="s">
        <v>58</v>
      </c>
      <c r="K146" s="8" t="s">
        <v>1786</v>
      </c>
      <c r="L146" s="8" t="s">
        <v>954</v>
      </c>
      <c r="M146" s="8" t="s">
        <v>1714</v>
      </c>
      <c r="N146" s="8" t="s">
        <v>1745</v>
      </c>
      <c r="O146" s="8">
        <v>69.066000000000003</v>
      </c>
      <c r="P146" s="8" t="s">
        <v>33</v>
      </c>
      <c r="Q146" s="8" t="s">
        <v>149</v>
      </c>
      <c r="R146" s="8" t="s">
        <v>150</v>
      </c>
      <c r="S146" s="8">
        <v>3</v>
      </c>
      <c r="T146" s="8" t="s">
        <v>61</v>
      </c>
      <c r="U146" s="8" t="s">
        <v>290</v>
      </c>
      <c r="V146" s="8" t="s">
        <v>1718</v>
      </c>
      <c r="W146" s="29" t="s">
        <v>1108</v>
      </c>
      <c r="X146" s="29"/>
      <c r="Y146" s="29">
        <v>27</v>
      </c>
      <c r="Z146" s="29"/>
      <c r="AA146" s="29" t="s">
        <v>39</v>
      </c>
      <c r="AB146" s="29">
        <v>31</v>
      </c>
      <c r="AC146" s="23">
        <v>44058</v>
      </c>
      <c r="AD146" s="23" t="str">
        <f>N146</f>
        <v>06/10/2020</v>
      </c>
      <c r="AE146" s="8">
        <v>0</v>
      </c>
      <c r="AF146" s="8"/>
      <c r="AG146" s="8"/>
    </row>
    <row r="147" spans="1:33" x14ac:dyDescent="0.2">
      <c r="A147" s="8">
        <v>2501</v>
      </c>
      <c r="B147" s="16">
        <v>44073</v>
      </c>
      <c r="C147" s="8">
        <v>30012765</v>
      </c>
      <c r="D147" s="8" t="s">
        <v>74</v>
      </c>
      <c r="E147" s="8" t="s">
        <v>207</v>
      </c>
      <c r="F147" s="8" t="s">
        <v>208</v>
      </c>
      <c r="G147" s="8">
        <v>15018184</v>
      </c>
      <c r="H147" s="8">
        <v>802094825</v>
      </c>
      <c r="I147" s="8" t="s">
        <v>357</v>
      </c>
      <c r="J147" s="8" t="s">
        <v>58</v>
      </c>
      <c r="K147" s="8" t="s">
        <v>496</v>
      </c>
      <c r="L147" s="8" t="s">
        <v>1152</v>
      </c>
      <c r="M147" s="8" t="s">
        <v>1707</v>
      </c>
      <c r="N147" s="8" t="s">
        <v>1757</v>
      </c>
      <c r="O147" s="8">
        <v>51.304000000000002</v>
      </c>
      <c r="P147" s="8" t="s">
        <v>33</v>
      </c>
      <c r="Q147" s="8" t="s">
        <v>210</v>
      </c>
      <c r="R147" s="8" t="s">
        <v>364</v>
      </c>
      <c r="S147" s="8">
        <v>2</v>
      </c>
      <c r="T147" s="8" t="s">
        <v>72</v>
      </c>
      <c r="U147" s="8" t="s">
        <v>290</v>
      </c>
      <c r="V147" s="8" t="s">
        <v>65</v>
      </c>
      <c r="W147" s="29" t="s">
        <v>1153</v>
      </c>
      <c r="X147" s="29"/>
      <c r="Y147" s="29">
        <v>22</v>
      </c>
      <c r="Z147" s="29" t="s">
        <v>1154</v>
      </c>
      <c r="AA147" s="29" t="s">
        <v>39</v>
      </c>
      <c r="AB147" s="29">
        <v>31</v>
      </c>
      <c r="AC147" s="23" t="s">
        <v>1707</v>
      </c>
      <c r="AD147" s="23" t="s">
        <v>1757</v>
      </c>
      <c r="AE147" s="8">
        <v>0</v>
      </c>
      <c r="AF147" s="8">
        <v>0</v>
      </c>
      <c r="AG147" s="8"/>
    </row>
    <row r="148" spans="1:33" x14ac:dyDescent="0.2">
      <c r="A148" s="8">
        <v>2501</v>
      </c>
      <c r="B148" s="16">
        <v>44058</v>
      </c>
      <c r="C148" s="8">
        <v>30012771</v>
      </c>
      <c r="D148" s="8" t="s">
        <v>74</v>
      </c>
      <c r="E148" s="8" t="s">
        <v>141</v>
      </c>
      <c r="F148" s="8" t="s">
        <v>142</v>
      </c>
      <c r="G148" s="8">
        <v>15018291</v>
      </c>
      <c r="H148" s="8">
        <v>802094852</v>
      </c>
      <c r="I148" s="8" t="s">
        <v>143</v>
      </c>
      <c r="J148" s="8" t="s">
        <v>58</v>
      </c>
      <c r="K148" s="8" t="s">
        <v>496</v>
      </c>
      <c r="L148" s="8" t="s">
        <v>1158</v>
      </c>
      <c r="M148" s="8" t="s">
        <v>1707</v>
      </c>
      <c r="N148" s="8" t="s">
        <v>1758</v>
      </c>
      <c r="O148" s="8">
        <v>111.33499999999999</v>
      </c>
      <c r="P148" s="8" t="s">
        <v>33</v>
      </c>
      <c r="Q148" s="8" t="s">
        <v>145</v>
      </c>
      <c r="R148" s="8" t="s">
        <v>146</v>
      </c>
      <c r="S148" s="8">
        <v>5</v>
      </c>
      <c r="T148" s="8" t="s">
        <v>61</v>
      </c>
      <c r="U148" s="8" t="s">
        <v>290</v>
      </c>
      <c r="V148" s="8" t="s">
        <v>1699</v>
      </c>
      <c r="W148" s="29" t="s">
        <v>1159</v>
      </c>
      <c r="X148" s="29"/>
      <c r="Y148" s="29">
        <v>35</v>
      </c>
      <c r="Z148" s="29"/>
      <c r="AA148" s="29" t="s">
        <v>39</v>
      </c>
      <c r="AB148" s="29">
        <v>31</v>
      </c>
      <c r="AC148" s="23">
        <v>44059</v>
      </c>
      <c r="AD148" s="23" t="str">
        <f>N148</f>
        <v>04/10/2020</v>
      </c>
      <c r="AE148" s="8">
        <v>0</v>
      </c>
      <c r="AF148" s="8"/>
      <c r="AG148" s="8"/>
    </row>
    <row r="149" spans="1:33" x14ac:dyDescent="0.2">
      <c r="A149" s="8">
        <v>2501</v>
      </c>
      <c r="B149" s="16">
        <v>44073</v>
      </c>
      <c r="C149" s="8">
        <v>30012779</v>
      </c>
      <c r="D149" s="8" t="s">
        <v>28</v>
      </c>
      <c r="E149" s="8" t="s">
        <v>29</v>
      </c>
      <c r="F149" s="8" t="s">
        <v>397</v>
      </c>
      <c r="G149" s="8">
        <v>15018345</v>
      </c>
      <c r="H149" s="8">
        <v>802094908</v>
      </c>
      <c r="I149" s="8" t="s">
        <v>31</v>
      </c>
      <c r="J149" s="8" t="s">
        <v>32</v>
      </c>
      <c r="K149" s="8" t="s">
        <v>404</v>
      </c>
      <c r="L149" s="8" t="s">
        <v>622</v>
      </c>
      <c r="M149" s="8" t="s">
        <v>1740</v>
      </c>
      <c r="N149" s="8" t="s">
        <v>1711</v>
      </c>
      <c r="O149" s="8">
        <v>501.904</v>
      </c>
      <c r="P149" s="8" t="s">
        <v>33</v>
      </c>
      <c r="Q149" s="8" t="s">
        <v>153</v>
      </c>
      <c r="R149" s="8" t="s">
        <v>154</v>
      </c>
      <c r="S149" s="8">
        <v>19</v>
      </c>
      <c r="T149" s="8" t="s">
        <v>362</v>
      </c>
      <c r="U149" s="8" t="s">
        <v>290</v>
      </c>
      <c r="V149" s="8" t="s">
        <v>155</v>
      </c>
      <c r="W149" s="29" t="s">
        <v>1112</v>
      </c>
      <c r="X149" s="29"/>
      <c r="Y149" s="29">
        <v>494</v>
      </c>
      <c r="Z149" s="29"/>
      <c r="AA149" s="29" t="s">
        <v>39</v>
      </c>
      <c r="AB149" s="29">
        <v>31</v>
      </c>
      <c r="AC149" s="23">
        <v>44060</v>
      </c>
      <c r="AD149" s="23" t="s">
        <v>1711</v>
      </c>
      <c r="AE149" s="8">
        <v>-1</v>
      </c>
      <c r="AF149" s="8">
        <v>0</v>
      </c>
      <c r="AG149" s="18" t="s">
        <v>1793</v>
      </c>
    </row>
    <row r="150" spans="1:33" hidden="1" x14ac:dyDescent="0.2">
      <c r="A150" s="8">
        <v>2502</v>
      </c>
      <c r="B150" s="16">
        <v>44048</v>
      </c>
      <c r="C150" s="8">
        <v>30012793</v>
      </c>
      <c r="D150" s="8" t="s">
        <v>152</v>
      </c>
      <c r="E150" s="8" t="s">
        <v>200</v>
      </c>
      <c r="F150" s="8" t="s">
        <v>201</v>
      </c>
      <c r="G150" s="8">
        <v>15018289</v>
      </c>
      <c r="H150" s="8">
        <v>802094850</v>
      </c>
      <c r="I150" s="8" t="s">
        <v>202</v>
      </c>
      <c r="J150" s="8" t="s">
        <v>95</v>
      </c>
      <c r="K150" s="8" t="s">
        <v>133</v>
      </c>
      <c r="L150" s="8" t="s">
        <v>954</v>
      </c>
      <c r="M150" s="8" t="s">
        <v>1709</v>
      </c>
      <c r="N150" s="8" t="s">
        <v>1753</v>
      </c>
      <c r="O150" s="8">
        <v>263.10899999999998</v>
      </c>
      <c r="P150" s="8" t="s">
        <v>492</v>
      </c>
      <c r="Q150" s="8" t="s">
        <v>203</v>
      </c>
      <c r="R150" s="8" t="s">
        <v>204</v>
      </c>
      <c r="S150" s="8">
        <v>11</v>
      </c>
      <c r="T150" s="8" t="s">
        <v>87</v>
      </c>
      <c r="U150" s="8" t="s">
        <v>290</v>
      </c>
      <c r="V150" s="8" t="s">
        <v>155</v>
      </c>
      <c r="W150" s="29" t="s">
        <v>1163</v>
      </c>
      <c r="X150" s="29"/>
      <c r="Y150" s="29">
        <v>187</v>
      </c>
      <c r="Z150" s="29"/>
      <c r="AA150" s="29" t="s">
        <v>39</v>
      </c>
      <c r="AB150" s="29">
        <v>31</v>
      </c>
      <c r="AC150" s="23">
        <v>44065</v>
      </c>
      <c r="AD150" s="23" t="s">
        <v>1753</v>
      </c>
      <c r="AE150" s="8">
        <v>1</v>
      </c>
      <c r="AF150" s="8">
        <v>0</v>
      </c>
      <c r="AG150" s="8" t="s">
        <v>1789</v>
      </c>
    </row>
    <row r="151" spans="1:33" hidden="1" x14ac:dyDescent="0.2">
      <c r="A151" s="8">
        <v>2502</v>
      </c>
      <c r="B151" s="16">
        <v>44073</v>
      </c>
      <c r="C151" s="8">
        <v>30012792</v>
      </c>
      <c r="D151" s="8" t="s">
        <v>152</v>
      </c>
      <c r="E151" s="8" t="s">
        <v>276</v>
      </c>
      <c r="F151" s="8" t="s">
        <v>277</v>
      </c>
      <c r="G151" s="8">
        <v>15018288</v>
      </c>
      <c r="H151" s="8">
        <v>802094849</v>
      </c>
      <c r="I151" s="8" t="s">
        <v>202</v>
      </c>
      <c r="J151" s="8" t="s">
        <v>95</v>
      </c>
      <c r="K151" s="8" t="s">
        <v>503</v>
      </c>
      <c r="L151" s="8" t="s">
        <v>1116</v>
      </c>
      <c r="M151" s="8" t="s">
        <v>1709</v>
      </c>
      <c r="N151" s="8" t="s">
        <v>1746</v>
      </c>
      <c r="O151" s="8">
        <v>406.62299999999999</v>
      </c>
      <c r="P151" s="8" t="s">
        <v>492</v>
      </c>
      <c r="Q151" s="8" t="s">
        <v>278</v>
      </c>
      <c r="R151" s="8" t="s">
        <v>279</v>
      </c>
      <c r="S151" s="8">
        <v>17</v>
      </c>
      <c r="T151" s="8" t="s">
        <v>87</v>
      </c>
      <c r="U151" s="8" t="s">
        <v>290</v>
      </c>
      <c r="V151" s="8" t="s">
        <v>155</v>
      </c>
      <c r="W151" s="29" t="s">
        <v>1117</v>
      </c>
      <c r="X151" s="29"/>
      <c r="Y151" s="29">
        <v>289</v>
      </c>
      <c r="Z151" s="29" t="s">
        <v>962</v>
      </c>
      <c r="AA151" s="29" t="s">
        <v>39</v>
      </c>
      <c r="AB151" s="29">
        <v>31</v>
      </c>
      <c r="AC151" s="23">
        <v>44065</v>
      </c>
      <c r="AD151" s="23" t="s">
        <v>1746</v>
      </c>
      <c r="AE151" s="8">
        <v>1</v>
      </c>
      <c r="AF151" s="8">
        <v>0</v>
      </c>
      <c r="AG151" s="8" t="s">
        <v>1789</v>
      </c>
    </row>
    <row r="152" spans="1:33" hidden="1" x14ac:dyDescent="0.2">
      <c r="A152" s="8">
        <v>2504</v>
      </c>
      <c r="B152" s="16">
        <v>44058</v>
      </c>
      <c r="C152" s="8">
        <v>30012853</v>
      </c>
      <c r="D152" s="8" t="s">
        <v>91</v>
      </c>
      <c r="E152" s="8" t="s">
        <v>258</v>
      </c>
      <c r="F152" s="8" t="s">
        <v>259</v>
      </c>
      <c r="G152" s="8">
        <v>15018485</v>
      </c>
      <c r="H152" s="8">
        <v>802095175</v>
      </c>
      <c r="I152" s="8" t="s">
        <v>77</v>
      </c>
      <c r="J152" s="8" t="s">
        <v>32</v>
      </c>
      <c r="K152" s="8" t="s">
        <v>144</v>
      </c>
      <c r="L152" s="8" t="s">
        <v>1094</v>
      </c>
      <c r="M152" s="8" t="s">
        <v>1714</v>
      </c>
      <c r="N152" s="8" t="s">
        <v>1750</v>
      </c>
      <c r="O152" s="8">
        <v>198.72</v>
      </c>
      <c r="P152" s="8" t="s">
        <v>48</v>
      </c>
      <c r="Q152" s="8" t="s">
        <v>134</v>
      </c>
      <c r="R152" s="8" t="s">
        <v>135</v>
      </c>
      <c r="S152" s="8">
        <v>8</v>
      </c>
      <c r="T152" s="8" t="s">
        <v>36</v>
      </c>
      <c r="U152" s="8" t="s">
        <v>1139</v>
      </c>
      <c r="V152" s="8" t="s">
        <v>1706</v>
      </c>
      <c r="W152" s="29" t="s">
        <v>1140</v>
      </c>
      <c r="X152" s="29"/>
      <c r="Y152" s="29">
        <v>192</v>
      </c>
      <c r="Z152" s="29"/>
      <c r="AA152" s="29" t="s">
        <v>39</v>
      </c>
      <c r="AB152" s="29">
        <v>31</v>
      </c>
      <c r="AC152" s="23" t="str">
        <f>M152</f>
        <v>15/08/2020</v>
      </c>
      <c r="AD152" s="23" t="str">
        <f>N152</f>
        <v>06/09/2020</v>
      </c>
      <c r="AE152" s="8"/>
      <c r="AF152" s="8"/>
      <c r="AG152" s="8"/>
    </row>
    <row r="153" spans="1:33" hidden="1" x14ac:dyDescent="0.2">
      <c r="A153" s="8">
        <v>2504</v>
      </c>
      <c r="B153" s="16">
        <v>44058</v>
      </c>
      <c r="C153" s="8">
        <v>30012808</v>
      </c>
      <c r="D153" s="8" t="s">
        <v>62</v>
      </c>
      <c r="E153" s="8" t="s">
        <v>217</v>
      </c>
      <c r="F153" s="8" t="s">
        <v>218</v>
      </c>
      <c r="G153" s="8">
        <v>15018223</v>
      </c>
      <c r="H153" s="8">
        <v>802094744</v>
      </c>
      <c r="I153" s="8" t="s">
        <v>77</v>
      </c>
      <c r="J153" s="8" t="s">
        <v>32</v>
      </c>
      <c r="K153" s="8" t="s">
        <v>494</v>
      </c>
      <c r="L153" s="8" t="s">
        <v>1152</v>
      </c>
      <c r="M153" s="8" t="s">
        <v>1707</v>
      </c>
      <c r="N153" s="8" t="s">
        <v>1717</v>
      </c>
      <c r="O153" s="8">
        <v>496.8</v>
      </c>
      <c r="P153" s="8" t="s">
        <v>48</v>
      </c>
      <c r="Q153" s="8" t="s">
        <v>206</v>
      </c>
      <c r="R153" s="8" t="s">
        <v>35</v>
      </c>
      <c r="S153" s="8">
        <v>20</v>
      </c>
      <c r="T153" s="8" t="s">
        <v>36</v>
      </c>
      <c r="U153" s="8" t="s">
        <v>763</v>
      </c>
      <c r="V153" s="8" t="s">
        <v>65</v>
      </c>
      <c r="W153" s="29" t="s">
        <v>1167</v>
      </c>
      <c r="X153" s="29"/>
      <c r="Y153" s="29">
        <v>480</v>
      </c>
      <c r="Z153" s="29"/>
      <c r="AA153" s="29" t="s">
        <v>39</v>
      </c>
      <c r="AB153" s="29">
        <v>31</v>
      </c>
      <c r="AC153" s="23" t="str">
        <f>M153</f>
        <v>16/08/2020</v>
      </c>
      <c r="AD153" s="23" t="str">
        <f>N153</f>
        <v>11/09/2020</v>
      </c>
      <c r="AE153" s="8"/>
      <c r="AF153" s="8"/>
      <c r="AG153" s="8"/>
    </row>
    <row r="154" spans="1:33" hidden="1" x14ac:dyDescent="0.2">
      <c r="A154" s="8">
        <v>2502</v>
      </c>
      <c r="B154" s="16">
        <v>44073</v>
      </c>
      <c r="C154" s="8">
        <v>30012831</v>
      </c>
      <c r="D154" s="8" t="s">
        <v>28</v>
      </c>
      <c r="E154" s="8" t="s">
        <v>98</v>
      </c>
      <c r="F154" s="8" t="s">
        <v>205</v>
      </c>
      <c r="G154" s="8">
        <v>15018324</v>
      </c>
      <c r="H154" s="8">
        <v>802094882</v>
      </c>
      <c r="I154" s="8" t="s">
        <v>99</v>
      </c>
      <c r="J154" s="8" t="s">
        <v>32</v>
      </c>
      <c r="K154" s="8" t="s">
        <v>503</v>
      </c>
      <c r="L154" s="8" t="s">
        <v>1116</v>
      </c>
      <c r="M154" s="8" t="s">
        <v>1709</v>
      </c>
      <c r="N154" s="8" t="s">
        <v>1717</v>
      </c>
      <c r="O154" s="8">
        <v>296.71199999999999</v>
      </c>
      <c r="P154" s="8" t="s">
        <v>492</v>
      </c>
      <c r="Q154" s="8" t="s">
        <v>34</v>
      </c>
      <c r="R154" s="8" t="s">
        <v>35</v>
      </c>
      <c r="S154" s="8">
        <v>13</v>
      </c>
      <c r="T154" s="8" t="s">
        <v>87</v>
      </c>
      <c r="U154" s="8" t="s">
        <v>290</v>
      </c>
      <c r="V154" s="8" t="s">
        <v>493</v>
      </c>
      <c r="W154" s="29" t="s">
        <v>1174</v>
      </c>
      <c r="X154" s="29"/>
      <c r="Y154" s="29">
        <v>312</v>
      </c>
      <c r="Z154" s="29"/>
      <c r="AA154" s="29" t="s">
        <v>39</v>
      </c>
      <c r="AB154" s="29">
        <v>31</v>
      </c>
      <c r="AC154" s="23">
        <v>44065</v>
      </c>
      <c r="AD154" s="23">
        <v>44085</v>
      </c>
      <c r="AE154" s="8">
        <v>1</v>
      </c>
      <c r="AF154" s="8">
        <v>0</v>
      </c>
      <c r="AG154" s="8" t="s">
        <v>1789</v>
      </c>
    </row>
    <row r="155" spans="1:33" hidden="1" x14ac:dyDescent="0.2">
      <c r="A155" s="8">
        <v>2504</v>
      </c>
      <c r="B155" s="16">
        <v>44073</v>
      </c>
      <c r="C155" s="8">
        <v>30012808</v>
      </c>
      <c r="D155" s="8" t="s">
        <v>28</v>
      </c>
      <c r="E155" s="8" t="s">
        <v>98</v>
      </c>
      <c r="F155" s="8" t="s">
        <v>205</v>
      </c>
      <c r="G155" s="8">
        <v>15018320</v>
      </c>
      <c r="H155" s="8">
        <v>802095106</v>
      </c>
      <c r="I155" s="8" t="s">
        <v>77</v>
      </c>
      <c r="J155" s="8" t="s">
        <v>32</v>
      </c>
      <c r="K155" s="8" t="s">
        <v>494</v>
      </c>
      <c r="L155" s="8" t="s">
        <v>1152</v>
      </c>
      <c r="M155" s="8" t="s">
        <v>1707</v>
      </c>
      <c r="N155" s="8" t="s">
        <v>1717</v>
      </c>
      <c r="O155" s="8">
        <v>198.72</v>
      </c>
      <c r="P155" s="8" t="s">
        <v>48</v>
      </c>
      <c r="Q155" s="8" t="s">
        <v>206</v>
      </c>
      <c r="R155" s="8" t="s">
        <v>35</v>
      </c>
      <c r="S155" s="8">
        <v>8</v>
      </c>
      <c r="T155" s="8" t="s">
        <v>36</v>
      </c>
      <c r="U155" s="8" t="s">
        <v>763</v>
      </c>
      <c r="V155" s="8" t="s">
        <v>65</v>
      </c>
      <c r="W155" s="29" t="s">
        <v>1170</v>
      </c>
      <c r="X155" s="29"/>
      <c r="Y155" s="29">
        <v>192</v>
      </c>
      <c r="Z155" s="29"/>
      <c r="AA155" s="29" t="s">
        <v>39</v>
      </c>
      <c r="AB155" s="29">
        <v>31</v>
      </c>
      <c r="AC155" s="23" t="str">
        <f t="shared" ref="AC155:AD157" si="11">M155</f>
        <v>16/08/2020</v>
      </c>
      <c r="AD155" s="23" t="str">
        <f t="shared" si="11"/>
        <v>11/09/2020</v>
      </c>
      <c r="AE155" s="8"/>
      <c r="AF155" s="8"/>
      <c r="AG155" s="8"/>
    </row>
    <row r="156" spans="1:33" hidden="1" x14ac:dyDescent="0.2">
      <c r="A156" s="8">
        <v>2504</v>
      </c>
      <c r="B156" s="16">
        <v>44063</v>
      </c>
      <c r="C156" s="8">
        <v>30012818</v>
      </c>
      <c r="D156" s="8" t="s">
        <v>62</v>
      </c>
      <c r="E156" s="8" t="s">
        <v>217</v>
      </c>
      <c r="F156" s="8" t="s">
        <v>218</v>
      </c>
      <c r="G156" s="8">
        <v>15018227</v>
      </c>
      <c r="H156" s="8">
        <v>802094748</v>
      </c>
      <c r="I156" s="8" t="s">
        <v>77</v>
      </c>
      <c r="J156" s="8" t="s">
        <v>32</v>
      </c>
      <c r="K156" s="8" t="s">
        <v>522</v>
      </c>
      <c r="L156" s="8" t="s">
        <v>1182</v>
      </c>
      <c r="M156" s="8" t="s">
        <v>1698</v>
      </c>
      <c r="N156" s="8" t="s">
        <v>1749</v>
      </c>
      <c r="O156" s="8">
        <v>496.8</v>
      </c>
      <c r="P156" s="8" t="s">
        <v>48</v>
      </c>
      <c r="Q156" s="8" t="s">
        <v>206</v>
      </c>
      <c r="R156" s="8" t="s">
        <v>35</v>
      </c>
      <c r="S156" s="8">
        <v>20</v>
      </c>
      <c r="T156" s="8" t="s">
        <v>36</v>
      </c>
      <c r="U156" s="8" t="s">
        <v>1139</v>
      </c>
      <c r="V156" s="8" t="s">
        <v>1706</v>
      </c>
      <c r="W156" s="29" t="s">
        <v>1183</v>
      </c>
      <c r="X156" s="29"/>
      <c r="Y156" s="29">
        <v>480</v>
      </c>
      <c r="Z156" s="29"/>
      <c r="AA156" s="29" t="s">
        <v>39</v>
      </c>
      <c r="AB156" s="29">
        <v>31</v>
      </c>
      <c r="AC156" s="23" t="str">
        <f t="shared" si="11"/>
        <v>17/08/2020</v>
      </c>
      <c r="AD156" s="23" t="str">
        <f t="shared" si="11"/>
        <v>15/09/2020</v>
      </c>
      <c r="AE156" s="8"/>
      <c r="AF156" s="8"/>
      <c r="AG156" s="8"/>
    </row>
    <row r="157" spans="1:33" hidden="1" x14ac:dyDescent="0.2">
      <c r="A157" s="8">
        <v>2503</v>
      </c>
      <c r="B157" s="16">
        <v>44073</v>
      </c>
      <c r="C157" s="8">
        <v>30012821</v>
      </c>
      <c r="D157" s="8" t="s">
        <v>28</v>
      </c>
      <c r="E157" s="8" t="s">
        <v>129</v>
      </c>
      <c r="F157" s="8" t="s">
        <v>371</v>
      </c>
      <c r="G157" s="8">
        <v>15018328</v>
      </c>
      <c r="H157" s="8">
        <v>802094893</v>
      </c>
      <c r="I157" s="8" t="s">
        <v>372</v>
      </c>
      <c r="J157" s="8" t="s">
        <v>223</v>
      </c>
      <c r="K157" s="8" t="s">
        <v>1190</v>
      </c>
      <c r="L157" s="8" t="s">
        <v>622</v>
      </c>
      <c r="M157" s="8" t="s">
        <v>1698</v>
      </c>
      <c r="N157" s="8" t="s">
        <v>1759</v>
      </c>
      <c r="O157" s="8">
        <v>412</v>
      </c>
      <c r="P157" s="8" t="s">
        <v>287</v>
      </c>
      <c r="Q157" s="8" t="s">
        <v>373</v>
      </c>
      <c r="R157" s="8" t="s">
        <v>374</v>
      </c>
      <c r="S157" s="8">
        <v>20</v>
      </c>
      <c r="T157" s="8" t="s">
        <v>87</v>
      </c>
      <c r="U157" s="8" t="s">
        <v>290</v>
      </c>
      <c r="V157" s="8" t="s">
        <v>65</v>
      </c>
      <c r="W157" s="29" t="s">
        <v>1191</v>
      </c>
      <c r="X157" s="29"/>
      <c r="Y157" s="29">
        <v>400</v>
      </c>
      <c r="Z157" s="29"/>
      <c r="AA157" s="29" t="s">
        <v>39</v>
      </c>
      <c r="AB157" s="29">
        <v>31</v>
      </c>
      <c r="AC157" s="23" t="str">
        <f t="shared" si="11"/>
        <v>17/08/2020</v>
      </c>
      <c r="AD157" s="23" t="str">
        <f t="shared" si="11"/>
        <v>09/10/2020</v>
      </c>
      <c r="AE157" s="8">
        <v>0</v>
      </c>
      <c r="AF157" s="8">
        <v>0</v>
      </c>
      <c r="AG157" s="8"/>
    </row>
    <row r="158" spans="1:33" x14ac:dyDescent="0.2">
      <c r="A158" s="8">
        <v>2501</v>
      </c>
      <c r="B158" s="16">
        <v>44058</v>
      </c>
      <c r="C158" s="8">
        <v>30012775</v>
      </c>
      <c r="D158" s="8" t="s">
        <v>62</v>
      </c>
      <c r="E158" s="8" t="s">
        <v>217</v>
      </c>
      <c r="F158" s="8" t="s">
        <v>218</v>
      </c>
      <c r="G158" s="8">
        <v>15018219</v>
      </c>
      <c r="H158" s="8">
        <v>802094836</v>
      </c>
      <c r="I158" s="8" t="s">
        <v>31</v>
      </c>
      <c r="J158" s="8" t="s">
        <v>32</v>
      </c>
      <c r="K158" s="8" t="s">
        <v>500</v>
      </c>
      <c r="L158" s="8" t="s">
        <v>1081</v>
      </c>
      <c r="M158" s="8" t="s">
        <v>1720</v>
      </c>
      <c r="N158" s="8" t="s">
        <v>1732</v>
      </c>
      <c r="O158" s="8">
        <v>512.06399999999996</v>
      </c>
      <c r="P158" s="8" t="s">
        <v>33</v>
      </c>
      <c r="Q158" s="8" t="s">
        <v>206</v>
      </c>
      <c r="R158" s="8" t="s">
        <v>35</v>
      </c>
      <c r="S158" s="8">
        <v>21</v>
      </c>
      <c r="T158" s="8" t="s">
        <v>36</v>
      </c>
      <c r="U158" s="8" t="s">
        <v>290</v>
      </c>
      <c r="V158" s="8" t="s">
        <v>1699</v>
      </c>
      <c r="W158" s="29" t="s">
        <v>1195</v>
      </c>
      <c r="X158" s="29"/>
      <c r="Y158" s="29">
        <v>504</v>
      </c>
      <c r="Z158" s="29"/>
      <c r="AA158" s="29" t="s">
        <v>39</v>
      </c>
      <c r="AB158" s="29">
        <v>31</v>
      </c>
      <c r="AC158" s="23">
        <v>44061</v>
      </c>
      <c r="AD158" s="23" t="s">
        <v>1711</v>
      </c>
      <c r="AE158" s="8">
        <v>-4</v>
      </c>
      <c r="AF158" s="8">
        <v>-1</v>
      </c>
      <c r="AG158" s="18" t="s">
        <v>1793</v>
      </c>
    </row>
    <row r="159" spans="1:33" hidden="1" x14ac:dyDescent="0.2">
      <c r="A159" s="8">
        <v>2504</v>
      </c>
      <c r="B159" s="16">
        <v>44058</v>
      </c>
      <c r="C159" s="8">
        <v>30012818</v>
      </c>
      <c r="D159" s="8" t="s">
        <v>62</v>
      </c>
      <c r="E159" s="8" t="s">
        <v>217</v>
      </c>
      <c r="F159" s="8" t="s">
        <v>218</v>
      </c>
      <c r="G159" s="8">
        <v>15018228</v>
      </c>
      <c r="H159" s="8">
        <v>802094749</v>
      </c>
      <c r="I159" s="8" t="s">
        <v>77</v>
      </c>
      <c r="J159" s="8" t="s">
        <v>32</v>
      </c>
      <c r="K159" s="8" t="s">
        <v>522</v>
      </c>
      <c r="L159" s="8" t="s">
        <v>1182</v>
      </c>
      <c r="M159" s="8" t="s">
        <v>1698</v>
      </c>
      <c r="N159" s="8" t="s">
        <v>1749</v>
      </c>
      <c r="O159" s="8">
        <v>496.8</v>
      </c>
      <c r="P159" s="8" t="s">
        <v>48</v>
      </c>
      <c r="Q159" s="8" t="s">
        <v>206</v>
      </c>
      <c r="R159" s="8" t="s">
        <v>35</v>
      </c>
      <c r="S159" s="8">
        <v>20</v>
      </c>
      <c r="T159" s="8" t="s">
        <v>36</v>
      </c>
      <c r="U159" s="8" t="s">
        <v>1139</v>
      </c>
      <c r="V159" s="8" t="s">
        <v>1706</v>
      </c>
      <c r="W159" s="29" t="s">
        <v>1186</v>
      </c>
      <c r="X159" s="29"/>
      <c r="Y159" s="29">
        <v>480</v>
      </c>
      <c r="Z159" s="29"/>
      <c r="AA159" s="29" t="s">
        <v>39</v>
      </c>
      <c r="AB159" s="29">
        <v>31</v>
      </c>
      <c r="AC159" s="23" t="str">
        <f t="shared" ref="AC159:AD162" si="12">M159</f>
        <v>17/08/2020</v>
      </c>
      <c r="AD159" s="23" t="str">
        <f t="shared" si="12"/>
        <v>15/09/2020</v>
      </c>
      <c r="AE159" s="8"/>
      <c r="AF159" s="8"/>
      <c r="AG159" s="8"/>
    </row>
    <row r="160" spans="1:33" hidden="1" x14ac:dyDescent="0.2">
      <c r="A160" s="8">
        <v>2504</v>
      </c>
      <c r="B160" s="16">
        <v>44068</v>
      </c>
      <c r="C160" s="8">
        <v>30012805</v>
      </c>
      <c r="D160" s="8" t="s">
        <v>91</v>
      </c>
      <c r="E160" s="8" t="s">
        <v>258</v>
      </c>
      <c r="F160" s="8" t="s">
        <v>259</v>
      </c>
      <c r="G160" s="8">
        <v>15018203</v>
      </c>
      <c r="H160" s="8">
        <v>802094738</v>
      </c>
      <c r="I160" s="8" t="s">
        <v>77</v>
      </c>
      <c r="J160" s="8" t="s">
        <v>32</v>
      </c>
      <c r="K160" s="8" t="s">
        <v>1199</v>
      </c>
      <c r="L160" s="8" t="s">
        <v>740</v>
      </c>
      <c r="M160" s="8" t="s">
        <v>1740</v>
      </c>
      <c r="N160" s="8" t="s">
        <v>1717</v>
      </c>
      <c r="O160" s="8">
        <v>298.08</v>
      </c>
      <c r="P160" s="8" t="s">
        <v>48</v>
      </c>
      <c r="Q160" s="8" t="s">
        <v>134</v>
      </c>
      <c r="R160" s="8" t="s">
        <v>135</v>
      </c>
      <c r="S160" s="8">
        <v>12</v>
      </c>
      <c r="T160" s="8" t="s">
        <v>36</v>
      </c>
      <c r="U160" s="8" t="s">
        <v>1139</v>
      </c>
      <c r="V160" s="8" t="s">
        <v>155</v>
      </c>
      <c r="W160" s="29" t="s">
        <v>1200</v>
      </c>
      <c r="X160" s="29"/>
      <c r="Y160" s="29">
        <v>288</v>
      </c>
      <c r="Z160" s="29"/>
      <c r="AA160" s="29" t="s">
        <v>39</v>
      </c>
      <c r="AB160" s="29">
        <v>31</v>
      </c>
      <c r="AC160" s="23" t="str">
        <f t="shared" si="12"/>
        <v>18/08/2020</v>
      </c>
      <c r="AD160" s="23" t="str">
        <f t="shared" si="12"/>
        <v>11/09/2020</v>
      </c>
      <c r="AE160" s="8"/>
      <c r="AF160" s="8"/>
      <c r="AG160" s="8"/>
    </row>
    <row r="161" spans="1:33" hidden="1" x14ac:dyDescent="0.2">
      <c r="A161" s="8">
        <v>2504</v>
      </c>
      <c r="B161" s="16">
        <v>44055</v>
      </c>
      <c r="C161" s="8">
        <v>30012816</v>
      </c>
      <c r="D161" s="8" t="s">
        <v>62</v>
      </c>
      <c r="E161" s="8" t="s">
        <v>167</v>
      </c>
      <c r="F161" s="8" t="s">
        <v>168</v>
      </c>
      <c r="G161" s="8">
        <v>15018192</v>
      </c>
      <c r="H161" s="8">
        <v>802094730</v>
      </c>
      <c r="I161" s="8" t="s">
        <v>77</v>
      </c>
      <c r="J161" s="8" t="s">
        <v>32</v>
      </c>
      <c r="K161" s="8" t="s">
        <v>1087</v>
      </c>
      <c r="L161" s="8" t="s">
        <v>760</v>
      </c>
      <c r="M161" s="8" t="s">
        <v>1740</v>
      </c>
      <c r="N161" s="8" t="s">
        <v>1751</v>
      </c>
      <c r="O161" s="8">
        <v>198.72</v>
      </c>
      <c r="P161" s="8" t="s">
        <v>48</v>
      </c>
      <c r="Q161" s="8" t="s">
        <v>498</v>
      </c>
      <c r="R161" s="8" t="s">
        <v>169</v>
      </c>
      <c r="S161" s="8">
        <v>8</v>
      </c>
      <c r="T161" s="8" t="s">
        <v>36</v>
      </c>
      <c r="U161" s="8" t="s">
        <v>1139</v>
      </c>
      <c r="V161" s="8" t="s">
        <v>1706</v>
      </c>
      <c r="W161" s="29" t="s">
        <v>1204</v>
      </c>
      <c r="X161" s="29"/>
      <c r="Y161" s="29">
        <v>192</v>
      </c>
      <c r="Z161" s="29" t="s">
        <v>1205</v>
      </c>
      <c r="AA161" s="29" t="s">
        <v>39</v>
      </c>
      <c r="AB161" s="29">
        <v>31</v>
      </c>
      <c r="AC161" s="23" t="str">
        <f t="shared" si="12"/>
        <v>18/08/2020</v>
      </c>
      <c r="AD161" s="23" t="str">
        <f t="shared" si="12"/>
        <v>07/09/2020</v>
      </c>
      <c r="AE161" s="8"/>
      <c r="AF161" s="8"/>
      <c r="AG161" s="8"/>
    </row>
    <row r="162" spans="1:33" hidden="1" x14ac:dyDescent="0.2">
      <c r="A162" s="8">
        <v>2504</v>
      </c>
      <c r="B162" s="16">
        <v>44055</v>
      </c>
      <c r="C162" s="8">
        <v>30012816</v>
      </c>
      <c r="D162" s="8" t="s">
        <v>62</v>
      </c>
      <c r="E162" s="8" t="s">
        <v>251</v>
      </c>
      <c r="F162" s="8" t="s">
        <v>252</v>
      </c>
      <c r="G162" s="8">
        <v>15018196</v>
      </c>
      <c r="H162" s="8">
        <v>802094734</v>
      </c>
      <c r="I162" s="8" t="s">
        <v>77</v>
      </c>
      <c r="J162" s="8" t="s">
        <v>32</v>
      </c>
      <c r="K162" s="8" t="s">
        <v>1087</v>
      </c>
      <c r="L162" s="8" t="s">
        <v>760</v>
      </c>
      <c r="M162" s="8" t="s">
        <v>1740</v>
      </c>
      <c r="N162" s="8" t="s">
        <v>1751</v>
      </c>
      <c r="O162" s="8">
        <v>414</v>
      </c>
      <c r="P162" s="8" t="s">
        <v>48</v>
      </c>
      <c r="Q162" s="8" t="s">
        <v>498</v>
      </c>
      <c r="R162" s="8" t="s">
        <v>250</v>
      </c>
      <c r="S162" s="8">
        <v>20</v>
      </c>
      <c r="T162" s="8" t="s">
        <v>42</v>
      </c>
      <c r="U162" s="8" t="s">
        <v>1139</v>
      </c>
      <c r="V162" s="8" t="s">
        <v>1706</v>
      </c>
      <c r="W162" s="29" t="s">
        <v>1208</v>
      </c>
      <c r="X162" s="29"/>
      <c r="Y162" s="29">
        <v>400</v>
      </c>
      <c r="Z162" s="29" t="s">
        <v>981</v>
      </c>
      <c r="AA162" s="29" t="s">
        <v>39</v>
      </c>
      <c r="AB162" s="29">
        <v>31</v>
      </c>
      <c r="AC162" s="23" t="str">
        <f t="shared" si="12"/>
        <v>18/08/2020</v>
      </c>
      <c r="AD162" s="23" t="str">
        <f t="shared" si="12"/>
        <v>07/09/2020</v>
      </c>
      <c r="AE162" s="8"/>
      <c r="AF162" s="8"/>
      <c r="AG162" s="8"/>
    </row>
    <row r="163" spans="1:33" hidden="1" x14ac:dyDescent="0.2">
      <c r="A163" s="8">
        <v>2502</v>
      </c>
      <c r="B163" s="16">
        <v>44058</v>
      </c>
      <c r="C163" s="8">
        <v>30012758</v>
      </c>
      <c r="D163" s="8" t="s">
        <v>91</v>
      </c>
      <c r="E163" s="8" t="s">
        <v>217</v>
      </c>
      <c r="F163" s="8" t="s">
        <v>218</v>
      </c>
      <c r="G163" s="8">
        <v>15018176</v>
      </c>
      <c r="H163" s="8">
        <v>802094755</v>
      </c>
      <c r="I163" s="8" t="s">
        <v>267</v>
      </c>
      <c r="J163" s="8" t="s">
        <v>47</v>
      </c>
      <c r="K163" s="8" t="s">
        <v>487</v>
      </c>
      <c r="L163" s="8" t="s">
        <v>764</v>
      </c>
      <c r="M163" s="8" t="s">
        <v>1742</v>
      </c>
      <c r="N163" s="8" t="s">
        <v>1761</v>
      </c>
      <c r="O163" s="8">
        <v>293.76</v>
      </c>
      <c r="P163" s="8" t="s">
        <v>84</v>
      </c>
      <c r="Q163" s="8" t="s">
        <v>206</v>
      </c>
      <c r="R163" s="8" t="s">
        <v>268</v>
      </c>
      <c r="S163" s="8">
        <v>15</v>
      </c>
      <c r="T163" s="8" t="s">
        <v>87</v>
      </c>
      <c r="U163" s="8" t="s">
        <v>290</v>
      </c>
      <c r="V163" s="8" t="s">
        <v>88</v>
      </c>
      <c r="W163" s="29" t="s">
        <v>1221</v>
      </c>
      <c r="X163" s="29"/>
      <c r="Y163" s="29">
        <v>30</v>
      </c>
      <c r="Z163" s="29"/>
      <c r="AA163" s="29" t="s">
        <v>39</v>
      </c>
      <c r="AB163" s="29">
        <v>31</v>
      </c>
      <c r="AC163" s="23">
        <v>44061</v>
      </c>
      <c r="AD163" s="23" t="str">
        <f t="shared" ref="AD163:AD179" si="13">N163</f>
        <v>18/09/2020</v>
      </c>
      <c r="AE163" s="8">
        <v>-1</v>
      </c>
      <c r="AF163" s="8">
        <v>0</v>
      </c>
      <c r="AG163" s="8"/>
    </row>
    <row r="164" spans="1:33" hidden="1" x14ac:dyDescent="0.2">
      <c r="A164" s="8">
        <v>2502</v>
      </c>
      <c r="B164" s="16">
        <v>44055</v>
      </c>
      <c r="C164" s="8">
        <v>30012758</v>
      </c>
      <c r="D164" s="8" t="s">
        <v>62</v>
      </c>
      <c r="E164" s="8" t="s">
        <v>375</v>
      </c>
      <c r="F164" s="8" t="s">
        <v>376</v>
      </c>
      <c r="G164" s="8">
        <v>15018189</v>
      </c>
      <c r="H164" s="8">
        <v>802094757</v>
      </c>
      <c r="I164" s="8" t="s">
        <v>94</v>
      </c>
      <c r="J164" s="8" t="s">
        <v>95</v>
      </c>
      <c r="K164" s="8" t="s">
        <v>487</v>
      </c>
      <c r="L164" s="8" t="s">
        <v>764</v>
      </c>
      <c r="M164" s="8" t="s">
        <v>1742</v>
      </c>
      <c r="N164" s="8" t="s">
        <v>1754</v>
      </c>
      <c r="O164" s="8">
        <v>168.72</v>
      </c>
      <c r="P164" s="8" t="s">
        <v>84</v>
      </c>
      <c r="Q164" s="8" t="s">
        <v>100</v>
      </c>
      <c r="R164" s="8" t="s">
        <v>101</v>
      </c>
      <c r="S164" s="8">
        <v>8</v>
      </c>
      <c r="T164" s="8" t="s">
        <v>87</v>
      </c>
      <c r="U164" s="8" t="s">
        <v>290</v>
      </c>
      <c r="V164" s="8" t="s">
        <v>88</v>
      </c>
      <c r="W164" s="29" t="s">
        <v>1224</v>
      </c>
      <c r="X164" s="29"/>
      <c r="Y164" s="29">
        <v>120</v>
      </c>
      <c r="Z164" s="29" t="s">
        <v>1225</v>
      </c>
      <c r="AA164" s="29" t="s">
        <v>39</v>
      </c>
      <c r="AB164" s="29">
        <v>31</v>
      </c>
      <c r="AC164" s="23">
        <v>44061</v>
      </c>
      <c r="AD164" s="23" t="str">
        <f t="shared" si="13"/>
        <v>16/09/2020</v>
      </c>
      <c r="AE164" s="8">
        <v>-1</v>
      </c>
      <c r="AF164" s="8">
        <v>0</v>
      </c>
      <c r="AG164" s="8"/>
    </row>
    <row r="165" spans="1:33" hidden="1" x14ac:dyDescent="0.2">
      <c r="A165" s="8">
        <v>2502</v>
      </c>
      <c r="B165" s="16">
        <v>44058</v>
      </c>
      <c r="C165" s="8">
        <v>30012758</v>
      </c>
      <c r="D165" s="8" t="s">
        <v>28</v>
      </c>
      <c r="E165" s="8" t="s">
        <v>80</v>
      </c>
      <c r="F165" s="8" t="s">
        <v>81</v>
      </c>
      <c r="G165" s="8">
        <v>15018326</v>
      </c>
      <c r="H165" s="8">
        <v>802094891</v>
      </c>
      <c r="I165" s="8" t="s">
        <v>82</v>
      </c>
      <c r="J165" s="8" t="s">
        <v>83</v>
      </c>
      <c r="K165" s="8" t="s">
        <v>487</v>
      </c>
      <c r="L165" s="8" t="s">
        <v>764</v>
      </c>
      <c r="M165" s="8" t="s">
        <v>1742</v>
      </c>
      <c r="N165" s="8" t="s">
        <v>1762</v>
      </c>
      <c r="O165" s="8">
        <v>293.56799999999998</v>
      </c>
      <c r="P165" s="8" t="s">
        <v>84</v>
      </c>
      <c r="Q165" s="8" t="s">
        <v>85</v>
      </c>
      <c r="R165" s="8" t="s">
        <v>86</v>
      </c>
      <c r="S165" s="8">
        <v>12</v>
      </c>
      <c r="T165" s="8" t="s">
        <v>87</v>
      </c>
      <c r="U165" s="8" t="s">
        <v>290</v>
      </c>
      <c r="V165" s="8" t="s">
        <v>88</v>
      </c>
      <c r="W165" s="29" t="s">
        <v>1228</v>
      </c>
      <c r="X165" s="29"/>
      <c r="Y165" s="29">
        <v>528</v>
      </c>
      <c r="Z165" s="29"/>
      <c r="AA165" s="29" t="s">
        <v>39</v>
      </c>
      <c r="AB165" s="29">
        <v>31</v>
      </c>
      <c r="AC165" s="23">
        <v>44061</v>
      </c>
      <c r="AD165" s="23" t="str">
        <f t="shared" si="13"/>
        <v>01/10/2020</v>
      </c>
      <c r="AE165" s="8">
        <v>-1</v>
      </c>
      <c r="AF165" s="8">
        <v>0</v>
      </c>
      <c r="AG165" s="8"/>
    </row>
    <row r="166" spans="1:33" hidden="1" x14ac:dyDescent="0.2">
      <c r="A166" s="8">
        <v>2502</v>
      </c>
      <c r="B166" s="16">
        <v>44073</v>
      </c>
      <c r="C166" s="8">
        <v>30012758</v>
      </c>
      <c r="D166" s="8" t="s">
        <v>28</v>
      </c>
      <c r="E166" s="8" t="s">
        <v>98</v>
      </c>
      <c r="F166" s="8" t="s">
        <v>205</v>
      </c>
      <c r="G166" s="8">
        <v>15018337</v>
      </c>
      <c r="H166" s="8">
        <v>802094902</v>
      </c>
      <c r="I166" s="8" t="s">
        <v>89</v>
      </c>
      <c r="J166" s="8" t="s">
        <v>90</v>
      </c>
      <c r="K166" s="8" t="s">
        <v>487</v>
      </c>
      <c r="L166" s="8" t="s">
        <v>764</v>
      </c>
      <c r="M166" s="8" t="s">
        <v>1742</v>
      </c>
      <c r="N166" s="8" t="s">
        <v>1743</v>
      </c>
      <c r="O166" s="8">
        <v>498.4</v>
      </c>
      <c r="P166" s="8" t="s">
        <v>84</v>
      </c>
      <c r="Q166" s="8" t="s">
        <v>1231</v>
      </c>
      <c r="R166" s="8" t="s">
        <v>1232</v>
      </c>
      <c r="S166" s="8">
        <v>20</v>
      </c>
      <c r="T166" s="8" t="s">
        <v>87</v>
      </c>
      <c r="U166" s="8" t="s">
        <v>290</v>
      </c>
      <c r="V166" s="8" t="s">
        <v>88</v>
      </c>
      <c r="W166" s="29" t="s">
        <v>1233</v>
      </c>
      <c r="X166" s="29"/>
      <c r="Y166" s="29">
        <v>700</v>
      </c>
      <c r="Z166" s="29"/>
      <c r="AA166" s="29" t="s">
        <v>39</v>
      </c>
      <c r="AB166" s="29">
        <v>31</v>
      </c>
      <c r="AC166" s="23">
        <v>44061</v>
      </c>
      <c r="AD166" s="23" t="str">
        <f t="shared" si="13"/>
        <v>25/09/2020</v>
      </c>
      <c r="AE166" s="8">
        <v>-1</v>
      </c>
      <c r="AF166" s="8">
        <v>0</v>
      </c>
      <c r="AG166" s="8"/>
    </row>
    <row r="167" spans="1:33" hidden="1" x14ac:dyDescent="0.2">
      <c r="A167" s="8">
        <v>2502</v>
      </c>
      <c r="B167" s="16">
        <v>44073</v>
      </c>
      <c r="C167" s="8">
        <v>30012758</v>
      </c>
      <c r="D167" s="8" t="s">
        <v>91</v>
      </c>
      <c r="E167" s="8" t="s">
        <v>107</v>
      </c>
      <c r="F167" s="8" t="s">
        <v>505</v>
      </c>
      <c r="G167" s="8">
        <v>15018349</v>
      </c>
      <c r="H167" s="8">
        <v>802094910</v>
      </c>
      <c r="I167" s="8" t="s">
        <v>31</v>
      </c>
      <c r="J167" s="8" t="s">
        <v>32</v>
      </c>
      <c r="K167" s="8" t="s">
        <v>487</v>
      </c>
      <c r="L167" s="8" t="s">
        <v>764</v>
      </c>
      <c r="M167" s="8" t="s">
        <v>1742</v>
      </c>
      <c r="N167" s="8" t="s">
        <v>1751</v>
      </c>
      <c r="O167" s="8">
        <v>90.16</v>
      </c>
      <c r="P167" s="8" t="s">
        <v>84</v>
      </c>
      <c r="Q167" s="8" t="s">
        <v>105</v>
      </c>
      <c r="R167" s="8" t="s">
        <v>106</v>
      </c>
      <c r="S167" s="8">
        <v>4</v>
      </c>
      <c r="T167" s="8" t="s">
        <v>87</v>
      </c>
      <c r="U167" s="8" t="s">
        <v>290</v>
      </c>
      <c r="V167" s="8" t="s">
        <v>88</v>
      </c>
      <c r="W167" s="29" t="s">
        <v>1236</v>
      </c>
      <c r="X167" s="29"/>
      <c r="Y167" s="29">
        <v>92</v>
      </c>
      <c r="Z167" s="29"/>
      <c r="AA167" s="29" t="s">
        <v>109</v>
      </c>
      <c r="AB167" s="29">
        <v>31</v>
      </c>
      <c r="AC167" s="23">
        <v>44061</v>
      </c>
      <c r="AD167" s="23" t="str">
        <f t="shared" si="13"/>
        <v>07/09/2020</v>
      </c>
      <c r="AE167" s="8">
        <v>-1</v>
      </c>
      <c r="AF167" s="8">
        <v>0</v>
      </c>
      <c r="AG167" s="8"/>
    </row>
    <row r="168" spans="1:33" hidden="1" x14ac:dyDescent="0.2">
      <c r="A168" s="8">
        <v>2502</v>
      </c>
      <c r="B168" s="16">
        <v>44053</v>
      </c>
      <c r="C168" s="8">
        <v>30012758</v>
      </c>
      <c r="D168" s="8" t="s">
        <v>44</v>
      </c>
      <c r="E168" s="8" t="s">
        <v>273</v>
      </c>
      <c r="F168" s="8" t="s">
        <v>274</v>
      </c>
      <c r="G168" s="8">
        <v>15018357</v>
      </c>
      <c r="H168" s="8">
        <v>802094917</v>
      </c>
      <c r="I168" s="8" t="s">
        <v>275</v>
      </c>
      <c r="J168" s="8" t="s">
        <v>95</v>
      </c>
      <c r="K168" s="8" t="s">
        <v>487</v>
      </c>
      <c r="L168" s="8" t="s">
        <v>764</v>
      </c>
      <c r="M168" s="8" t="s">
        <v>1742</v>
      </c>
      <c r="N168" s="8" t="s">
        <v>1753</v>
      </c>
      <c r="O168" s="8">
        <v>182.11199999999999</v>
      </c>
      <c r="P168" s="8" t="s">
        <v>84</v>
      </c>
      <c r="Q168" s="8" t="s">
        <v>131</v>
      </c>
      <c r="R168" s="8" t="s">
        <v>185</v>
      </c>
      <c r="S168" s="8">
        <v>8</v>
      </c>
      <c r="T168" s="8" t="s">
        <v>87</v>
      </c>
      <c r="U168" s="8" t="s">
        <v>290</v>
      </c>
      <c r="V168" s="8" t="s">
        <v>88</v>
      </c>
      <c r="W168" s="29" t="s">
        <v>1239</v>
      </c>
      <c r="X168" s="29"/>
      <c r="Y168" s="29">
        <v>168</v>
      </c>
      <c r="Z168" s="29"/>
      <c r="AA168" s="29" t="s">
        <v>39</v>
      </c>
      <c r="AB168" s="29">
        <v>31</v>
      </c>
      <c r="AC168" s="23">
        <v>44061</v>
      </c>
      <c r="AD168" s="23" t="str">
        <f t="shared" si="13"/>
        <v>14/09/2020</v>
      </c>
      <c r="AE168" s="8">
        <v>-1</v>
      </c>
      <c r="AF168" s="8">
        <v>0</v>
      </c>
      <c r="AG168" s="8"/>
    </row>
    <row r="169" spans="1:33" hidden="1" x14ac:dyDescent="0.2">
      <c r="A169" s="8">
        <v>2502</v>
      </c>
      <c r="B169" s="16">
        <v>44053</v>
      </c>
      <c r="C169" s="8">
        <v>30012758</v>
      </c>
      <c r="D169" s="8" t="s">
        <v>44</v>
      </c>
      <c r="E169" s="8" t="s">
        <v>273</v>
      </c>
      <c r="F169" s="8" t="s">
        <v>274</v>
      </c>
      <c r="G169" s="8">
        <v>15018358</v>
      </c>
      <c r="H169" s="8">
        <v>802094918</v>
      </c>
      <c r="I169" s="8" t="s">
        <v>275</v>
      </c>
      <c r="J169" s="8" t="s">
        <v>95</v>
      </c>
      <c r="K169" s="8" t="s">
        <v>487</v>
      </c>
      <c r="L169" s="8" t="s">
        <v>764</v>
      </c>
      <c r="M169" s="8" t="s">
        <v>1742</v>
      </c>
      <c r="N169" s="8" t="s">
        <v>1754</v>
      </c>
      <c r="O169" s="8">
        <v>68.292000000000002</v>
      </c>
      <c r="P169" s="8" t="s">
        <v>84</v>
      </c>
      <c r="Q169" s="8" t="s">
        <v>182</v>
      </c>
      <c r="R169" s="8" t="s">
        <v>183</v>
      </c>
      <c r="S169" s="8">
        <v>3</v>
      </c>
      <c r="T169" s="8" t="s">
        <v>87</v>
      </c>
      <c r="U169" s="8" t="s">
        <v>290</v>
      </c>
      <c r="V169" s="8" t="s">
        <v>88</v>
      </c>
      <c r="W169" s="29" t="s">
        <v>1243</v>
      </c>
      <c r="X169" s="29"/>
      <c r="Y169" s="29">
        <v>63</v>
      </c>
      <c r="Z169" s="29"/>
      <c r="AA169" s="29" t="s">
        <v>39</v>
      </c>
      <c r="AB169" s="29">
        <v>31</v>
      </c>
      <c r="AC169" s="23">
        <v>44061</v>
      </c>
      <c r="AD169" s="23" t="str">
        <f t="shared" si="13"/>
        <v>16/09/2020</v>
      </c>
      <c r="AE169" s="8">
        <v>-1</v>
      </c>
      <c r="AF169" s="8">
        <v>0</v>
      </c>
      <c r="AG169" s="8"/>
    </row>
    <row r="170" spans="1:33" hidden="1" x14ac:dyDescent="0.2">
      <c r="A170" s="8">
        <v>2502</v>
      </c>
      <c r="B170" s="16">
        <v>44063</v>
      </c>
      <c r="C170" s="8">
        <v>30012758</v>
      </c>
      <c r="D170" s="8" t="s">
        <v>91</v>
      </c>
      <c r="E170" s="8" t="s">
        <v>138</v>
      </c>
      <c r="F170" s="8" t="s">
        <v>265</v>
      </c>
      <c r="G170" s="8">
        <v>15018372</v>
      </c>
      <c r="H170" s="8">
        <v>802094998</v>
      </c>
      <c r="I170" s="8" t="s">
        <v>383</v>
      </c>
      <c r="J170" s="8" t="s">
        <v>83</v>
      </c>
      <c r="K170" s="8" t="s">
        <v>487</v>
      </c>
      <c r="L170" s="8" t="s">
        <v>764</v>
      </c>
      <c r="M170" s="8" t="s">
        <v>1742</v>
      </c>
      <c r="N170" s="8" t="s">
        <v>1761</v>
      </c>
      <c r="O170" s="8">
        <v>441.14</v>
      </c>
      <c r="P170" s="8" t="s">
        <v>84</v>
      </c>
      <c r="Q170" s="8" t="s">
        <v>206</v>
      </c>
      <c r="R170" s="8" t="s">
        <v>384</v>
      </c>
      <c r="S170" s="8">
        <v>23</v>
      </c>
      <c r="T170" s="8" t="s">
        <v>87</v>
      </c>
      <c r="U170" s="8" t="s">
        <v>290</v>
      </c>
      <c r="V170" s="8" t="s">
        <v>88</v>
      </c>
      <c r="W170" s="29" t="s">
        <v>1247</v>
      </c>
      <c r="X170" s="29"/>
      <c r="Y170" s="29">
        <v>460</v>
      </c>
      <c r="Z170" s="29"/>
      <c r="AA170" s="29" t="s">
        <v>39</v>
      </c>
      <c r="AB170" s="29">
        <v>31</v>
      </c>
      <c r="AC170" s="23">
        <v>44061</v>
      </c>
      <c r="AD170" s="23" t="str">
        <f t="shared" si="13"/>
        <v>18/09/2020</v>
      </c>
      <c r="AE170" s="8">
        <v>-1</v>
      </c>
      <c r="AF170" s="8">
        <v>0</v>
      </c>
      <c r="AG170" s="8"/>
    </row>
    <row r="171" spans="1:33" hidden="1" x14ac:dyDescent="0.2">
      <c r="A171" s="8">
        <v>2502</v>
      </c>
      <c r="B171" s="16">
        <v>44048</v>
      </c>
      <c r="C171" s="8">
        <v>30012758</v>
      </c>
      <c r="D171" s="8" t="s">
        <v>152</v>
      </c>
      <c r="E171" s="8" t="s">
        <v>138</v>
      </c>
      <c r="F171" s="8" t="s">
        <v>265</v>
      </c>
      <c r="G171" s="8">
        <v>15018374</v>
      </c>
      <c r="H171" s="8">
        <v>802095000</v>
      </c>
      <c r="I171" s="8" t="s">
        <v>598</v>
      </c>
      <c r="J171" s="8" t="s">
        <v>47</v>
      </c>
      <c r="K171" s="8" t="s">
        <v>487</v>
      </c>
      <c r="L171" s="8" t="s">
        <v>764</v>
      </c>
      <c r="M171" s="8" t="s">
        <v>1742</v>
      </c>
      <c r="N171" s="8" t="s">
        <v>1761</v>
      </c>
      <c r="O171" s="8">
        <v>291.48</v>
      </c>
      <c r="P171" s="8" t="s">
        <v>84</v>
      </c>
      <c r="Q171" s="8" t="s">
        <v>206</v>
      </c>
      <c r="R171" s="8" t="s">
        <v>266</v>
      </c>
      <c r="S171" s="8">
        <v>14</v>
      </c>
      <c r="T171" s="8" t="s">
        <v>87</v>
      </c>
      <c r="U171" s="8" t="s">
        <v>290</v>
      </c>
      <c r="V171" s="8" t="s">
        <v>88</v>
      </c>
      <c r="W171" s="29" t="s">
        <v>1250</v>
      </c>
      <c r="X171" s="29"/>
      <c r="Y171" s="29">
        <v>28</v>
      </c>
      <c r="Z171" s="29" t="s">
        <v>856</v>
      </c>
      <c r="AA171" s="29" t="s">
        <v>39</v>
      </c>
      <c r="AB171" s="29">
        <v>31</v>
      </c>
      <c r="AC171" s="23">
        <v>44061</v>
      </c>
      <c r="AD171" s="23" t="str">
        <f t="shared" si="13"/>
        <v>18/09/2020</v>
      </c>
      <c r="AE171" s="8">
        <v>-1</v>
      </c>
      <c r="AF171" s="8">
        <v>0</v>
      </c>
      <c r="AG171" s="8"/>
    </row>
    <row r="172" spans="1:33" hidden="1" x14ac:dyDescent="0.2">
      <c r="A172" s="8">
        <v>2502</v>
      </c>
      <c r="B172" s="16">
        <v>44048</v>
      </c>
      <c r="C172" s="8">
        <v>30012758</v>
      </c>
      <c r="D172" s="8" t="s">
        <v>152</v>
      </c>
      <c r="E172" s="8" t="s">
        <v>138</v>
      </c>
      <c r="F172" s="8" t="s">
        <v>265</v>
      </c>
      <c r="G172" s="8">
        <v>15018423</v>
      </c>
      <c r="H172" s="8">
        <v>802095061</v>
      </c>
      <c r="I172" s="8" t="s">
        <v>1253</v>
      </c>
      <c r="J172" s="8" t="s">
        <v>47</v>
      </c>
      <c r="K172" s="8" t="s">
        <v>487</v>
      </c>
      <c r="L172" s="8" t="s">
        <v>764</v>
      </c>
      <c r="M172" s="8" t="s">
        <v>1742</v>
      </c>
      <c r="N172" s="8" t="s">
        <v>1761</v>
      </c>
      <c r="O172" s="8">
        <v>387.29599999999999</v>
      </c>
      <c r="P172" s="8" t="s">
        <v>84</v>
      </c>
      <c r="Q172" s="8" t="s">
        <v>206</v>
      </c>
      <c r="R172" s="8" t="s">
        <v>266</v>
      </c>
      <c r="S172" s="8">
        <v>14</v>
      </c>
      <c r="T172" s="8" t="s">
        <v>87</v>
      </c>
      <c r="U172" s="8" t="s">
        <v>290</v>
      </c>
      <c r="V172" s="8" t="s">
        <v>88</v>
      </c>
      <c r="W172" s="29" t="s">
        <v>1254</v>
      </c>
      <c r="X172" s="29"/>
      <c r="Y172" s="29">
        <v>28</v>
      </c>
      <c r="Z172" s="29" t="s">
        <v>856</v>
      </c>
      <c r="AA172" s="29" t="s">
        <v>39</v>
      </c>
      <c r="AB172" s="29">
        <v>31</v>
      </c>
      <c r="AC172" s="23">
        <v>44061</v>
      </c>
      <c r="AD172" s="23" t="str">
        <f t="shared" si="13"/>
        <v>18/09/2020</v>
      </c>
      <c r="AE172" s="8">
        <v>-1</v>
      </c>
      <c r="AF172" s="8">
        <v>0</v>
      </c>
      <c r="AG172" s="8"/>
    </row>
    <row r="173" spans="1:33" hidden="1" x14ac:dyDescent="0.2">
      <c r="A173" s="8">
        <v>2502</v>
      </c>
      <c r="B173" s="16">
        <v>44048</v>
      </c>
      <c r="C173" s="8">
        <v>30012758</v>
      </c>
      <c r="D173" s="8" t="s">
        <v>152</v>
      </c>
      <c r="E173" s="8" t="s">
        <v>138</v>
      </c>
      <c r="F173" s="8" t="s">
        <v>265</v>
      </c>
      <c r="G173" s="8">
        <v>15018424</v>
      </c>
      <c r="H173" s="8">
        <v>802095062</v>
      </c>
      <c r="I173" s="8" t="s">
        <v>1257</v>
      </c>
      <c r="J173" s="8" t="s">
        <v>47</v>
      </c>
      <c r="K173" s="8" t="s">
        <v>487</v>
      </c>
      <c r="L173" s="8" t="s">
        <v>764</v>
      </c>
      <c r="M173" s="8" t="s">
        <v>1742</v>
      </c>
      <c r="N173" s="8" t="s">
        <v>1761</v>
      </c>
      <c r="O173" s="8">
        <v>260</v>
      </c>
      <c r="P173" s="8" t="s">
        <v>84</v>
      </c>
      <c r="Q173" s="8" t="s">
        <v>206</v>
      </c>
      <c r="R173" s="8" t="s">
        <v>266</v>
      </c>
      <c r="S173" s="8">
        <v>13</v>
      </c>
      <c r="T173" s="8" t="s">
        <v>87</v>
      </c>
      <c r="U173" s="8" t="s">
        <v>290</v>
      </c>
      <c r="V173" s="8" t="s">
        <v>88</v>
      </c>
      <c r="W173" s="29" t="s">
        <v>1258</v>
      </c>
      <c r="X173" s="29"/>
      <c r="Y173" s="29">
        <v>25</v>
      </c>
      <c r="Z173" s="29" t="s">
        <v>856</v>
      </c>
      <c r="AA173" s="29" t="s">
        <v>39</v>
      </c>
      <c r="AB173" s="29">
        <v>31</v>
      </c>
      <c r="AC173" s="23">
        <v>44061</v>
      </c>
      <c r="AD173" s="23" t="str">
        <f t="shared" si="13"/>
        <v>18/09/2020</v>
      </c>
      <c r="AE173" s="8">
        <v>-1</v>
      </c>
      <c r="AF173" s="8">
        <v>0</v>
      </c>
      <c r="AG173" s="8"/>
    </row>
    <row r="174" spans="1:33" hidden="1" x14ac:dyDescent="0.2">
      <c r="A174" s="8">
        <v>2502</v>
      </c>
      <c r="B174" s="16">
        <v>44048</v>
      </c>
      <c r="C174" s="8">
        <v>30012758</v>
      </c>
      <c r="D174" s="8" t="s">
        <v>152</v>
      </c>
      <c r="E174" s="8" t="s">
        <v>138</v>
      </c>
      <c r="F174" s="8" t="s">
        <v>265</v>
      </c>
      <c r="G174" s="8">
        <v>15018425</v>
      </c>
      <c r="H174" s="8">
        <v>802095063</v>
      </c>
      <c r="I174" s="8" t="s">
        <v>1261</v>
      </c>
      <c r="J174" s="8" t="s">
        <v>47</v>
      </c>
      <c r="K174" s="8" t="s">
        <v>487</v>
      </c>
      <c r="L174" s="8" t="s">
        <v>764</v>
      </c>
      <c r="M174" s="8" t="s">
        <v>1742</v>
      </c>
      <c r="N174" s="8" t="s">
        <v>1761</v>
      </c>
      <c r="O174" s="8">
        <v>281.30399999999997</v>
      </c>
      <c r="P174" s="8" t="s">
        <v>84</v>
      </c>
      <c r="Q174" s="8" t="s">
        <v>206</v>
      </c>
      <c r="R174" s="8" t="s">
        <v>266</v>
      </c>
      <c r="S174" s="8">
        <v>12</v>
      </c>
      <c r="T174" s="8" t="s">
        <v>87</v>
      </c>
      <c r="U174" s="8" t="s">
        <v>290</v>
      </c>
      <c r="V174" s="8" t="s">
        <v>88</v>
      </c>
      <c r="W174" s="29" t="s">
        <v>1262</v>
      </c>
      <c r="X174" s="29"/>
      <c r="Y174" s="29">
        <v>24</v>
      </c>
      <c r="Z174" s="29" t="s">
        <v>856</v>
      </c>
      <c r="AA174" s="29" t="s">
        <v>39</v>
      </c>
      <c r="AB174" s="29">
        <v>31</v>
      </c>
      <c r="AC174" s="23">
        <v>44061</v>
      </c>
      <c r="AD174" s="23" t="str">
        <f t="shared" si="13"/>
        <v>18/09/2020</v>
      </c>
      <c r="AE174" s="8">
        <v>-1</v>
      </c>
      <c r="AF174" s="8">
        <v>0</v>
      </c>
      <c r="AG174" s="8"/>
    </row>
    <row r="175" spans="1:33" hidden="1" x14ac:dyDescent="0.2">
      <c r="A175" s="8">
        <v>2502</v>
      </c>
      <c r="B175" s="16">
        <v>44042</v>
      </c>
      <c r="C175" s="8">
        <v>30012758</v>
      </c>
      <c r="D175" s="8" t="s">
        <v>91</v>
      </c>
      <c r="E175" s="8" t="s">
        <v>217</v>
      </c>
      <c r="F175" s="8" t="s">
        <v>218</v>
      </c>
      <c r="G175" s="8">
        <v>15018502</v>
      </c>
      <c r="H175" s="8">
        <v>802095187</v>
      </c>
      <c r="I175" s="8" t="s">
        <v>540</v>
      </c>
      <c r="J175" s="8" t="s">
        <v>47</v>
      </c>
      <c r="K175" s="8" t="s">
        <v>487</v>
      </c>
      <c r="L175" s="8" t="s">
        <v>764</v>
      </c>
      <c r="M175" s="8" t="s">
        <v>1742</v>
      </c>
      <c r="N175" s="8" t="s">
        <v>1761</v>
      </c>
      <c r="O175" s="8">
        <v>23.712</v>
      </c>
      <c r="P175" s="8" t="s">
        <v>84</v>
      </c>
      <c r="Q175" s="8" t="s">
        <v>206</v>
      </c>
      <c r="R175" s="8" t="s">
        <v>35</v>
      </c>
      <c r="S175" s="8">
        <v>1</v>
      </c>
      <c r="T175" s="8" t="s">
        <v>87</v>
      </c>
      <c r="U175" s="8" t="s">
        <v>290</v>
      </c>
      <c r="V175" s="8" t="s">
        <v>88</v>
      </c>
      <c r="W175" s="29" t="s">
        <v>765</v>
      </c>
      <c r="X175" s="29"/>
      <c r="Y175" s="29">
        <v>2</v>
      </c>
      <c r="Z175" s="29"/>
      <c r="AA175" s="29" t="s">
        <v>39</v>
      </c>
      <c r="AB175" s="29">
        <v>31</v>
      </c>
      <c r="AC175" s="23">
        <v>44061</v>
      </c>
      <c r="AD175" s="23" t="str">
        <f t="shared" si="13"/>
        <v>18/09/2020</v>
      </c>
      <c r="AE175" s="8">
        <v>-1</v>
      </c>
      <c r="AF175" s="8">
        <v>0</v>
      </c>
      <c r="AG175" s="8"/>
    </row>
    <row r="176" spans="1:33" hidden="1" x14ac:dyDescent="0.2">
      <c r="A176" s="8">
        <v>2504</v>
      </c>
      <c r="B176" s="16">
        <v>44058</v>
      </c>
      <c r="C176" s="8">
        <v>30012855</v>
      </c>
      <c r="D176" s="8" t="s">
        <v>1210</v>
      </c>
      <c r="E176" s="8" t="s">
        <v>1211</v>
      </c>
      <c r="F176" s="8" t="s">
        <v>1212</v>
      </c>
      <c r="G176" s="8">
        <v>15018495</v>
      </c>
      <c r="H176" s="8">
        <v>802095181</v>
      </c>
      <c r="I176" s="8" t="s">
        <v>77</v>
      </c>
      <c r="J176" s="8" t="s">
        <v>32</v>
      </c>
      <c r="K176" s="8" t="s">
        <v>1199</v>
      </c>
      <c r="L176" s="8" t="s">
        <v>740</v>
      </c>
      <c r="M176" s="8" t="s">
        <v>1740</v>
      </c>
      <c r="N176" s="8" t="s">
        <v>1760</v>
      </c>
      <c r="O176" s="8">
        <v>103.5</v>
      </c>
      <c r="P176" s="8" t="s">
        <v>48</v>
      </c>
      <c r="Q176" s="8" t="s">
        <v>1215</v>
      </c>
      <c r="R176" s="8" t="s">
        <v>1216</v>
      </c>
      <c r="S176" s="8">
        <v>4</v>
      </c>
      <c r="T176" s="8" t="s">
        <v>72</v>
      </c>
      <c r="U176" s="8" t="s">
        <v>1139</v>
      </c>
      <c r="V176" s="8" t="s">
        <v>65</v>
      </c>
      <c r="W176" s="29" t="s">
        <v>1217</v>
      </c>
      <c r="X176" s="29"/>
      <c r="Y176" s="29">
        <v>100</v>
      </c>
      <c r="Z176" s="29"/>
      <c r="AA176" s="29" t="s">
        <v>733</v>
      </c>
      <c r="AB176" s="29">
        <v>31</v>
      </c>
      <c r="AC176" s="23" t="str">
        <f>M176</f>
        <v>18/08/2020</v>
      </c>
      <c r="AD176" s="23" t="str">
        <f t="shared" si="13"/>
        <v>10/10/2020</v>
      </c>
      <c r="AE176" s="8"/>
      <c r="AF176" s="8"/>
      <c r="AG176" s="8"/>
    </row>
    <row r="177" spans="1:33" hidden="1" x14ac:dyDescent="0.2">
      <c r="A177" s="8">
        <v>2504</v>
      </c>
      <c r="B177" s="16">
        <v>44073</v>
      </c>
      <c r="C177" s="8">
        <v>30012836</v>
      </c>
      <c r="D177" s="8" t="s">
        <v>74</v>
      </c>
      <c r="E177" s="8" t="s">
        <v>75</v>
      </c>
      <c r="F177" s="8" t="s">
        <v>966</v>
      </c>
      <c r="G177" s="8">
        <v>15018455</v>
      </c>
      <c r="H177" s="8">
        <v>802095134</v>
      </c>
      <c r="I177" s="8" t="s">
        <v>77</v>
      </c>
      <c r="J177" s="8" t="s">
        <v>32</v>
      </c>
      <c r="K177" s="8" t="s">
        <v>1268</v>
      </c>
      <c r="L177" s="8" t="s">
        <v>1269</v>
      </c>
      <c r="M177" s="8" t="s">
        <v>1742</v>
      </c>
      <c r="N177" s="8" t="s">
        <v>1726</v>
      </c>
      <c r="O177" s="8">
        <v>496.8</v>
      </c>
      <c r="P177" s="8" t="s">
        <v>48</v>
      </c>
      <c r="Q177" s="8" t="s">
        <v>149</v>
      </c>
      <c r="R177" s="8" t="s">
        <v>150</v>
      </c>
      <c r="S177" s="8">
        <v>20</v>
      </c>
      <c r="T177" s="8" t="s">
        <v>36</v>
      </c>
      <c r="U177" s="8" t="s">
        <v>1692</v>
      </c>
      <c r="V177" s="8" t="s">
        <v>65</v>
      </c>
      <c r="W177" s="29" t="s">
        <v>1270</v>
      </c>
      <c r="X177" s="29"/>
      <c r="Y177" s="29">
        <v>480</v>
      </c>
      <c r="Z177" s="29"/>
      <c r="AA177" s="29" t="s">
        <v>39</v>
      </c>
      <c r="AB177" s="29">
        <v>31</v>
      </c>
      <c r="AC177" s="23" t="str">
        <f>M177</f>
        <v>19/08/2020</v>
      </c>
      <c r="AD177" s="23" t="str">
        <f t="shared" si="13"/>
        <v>05/10/2020</v>
      </c>
      <c r="AE177" s="8"/>
      <c r="AF177" s="8"/>
      <c r="AG177" s="8"/>
    </row>
    <row r="178" spans="1:33" hidden="1" x14ac:dyDescent="0.2">
      <c r="A178" s="8">
        <v>2503</v>
      </c>
      <c r="B178" s="16">
        <v>44058</v>
      </c>
      <c r="C178" s="8">
        <v>30012822</v>
      </c>
      <c r="D178" s="8" t="s">
        <v>28</v>
      </c>
      <c r="E178" s="8" t="s">
        <v>280</v>
      </c>
      <c r="F178" s="8" t="s">
        <v>281</v>
      </c>
      <c r="G178" s="8">
        <v>15018178</v>
      </c>
      <c r="H178" s="8">
        <v>802094774</v>
      </c>
      <c r="I178" s="8" t="s">
        <v>282</v>
      </c>
      <c r="J178" s="8" t="s">
        <v>223</v>
      </c>
      <c r="K178" s="8" t="s">
        <v>593</v>
      </c>
      <c r="L178" s="8" t="s">
        <v>1277</v>
      </c>
      <c r="M178" s="8" t="s">
        <v>1727</v>
      </c>
      <c r="N178" s="8" t="s">
        <v>1763</v>
      </c>
      <c r="O178" s="8">
        <v>51.5</v>
      </c>
      <c r="P178" s="8" t="s">
        <v>224</v>
      </c>
      <c r="Q178" s="8" t="s">
        <v>283</v>
      </c>
      <c r="R178" s="8" t="s">
        <v>284</v>
      </c>
      <c r="S178" s="8">
        <v>2</v>
      </c>
      <c r="T178" s="8" t="s">
        <v>87</v>
      </c>
      <c r="U178" s="8" t="s">
        <v>290</v>
      </c>
      <c r="V178" s="8" t="s">
        <v>88</v>
      </c>
      <c r="W178" s="29" t="s">
        <v>1278</v>
      </c>
      <c r="X178" s="29"/>
      <c r="Y178" s="29">
        <v>50</v>
      </c>
      <c r="Z178" s="29" t="s">
        <v>1279</v>
      </c>
      <c r="AA178" s="29" t="s">
        <v>39</v>
      </c>
      <c r="AB178" s="29">
        <v>31</v>
      </c>
      <c r="AC178" s="23" t="str">
        <f>M178</f>
        <v>20/08/2020</v>
      </c>
      <c r="AD178" s="23" t="str">
        <f t="shared" si="13"/>
        <v>30/09/2020</v>
      </c>
      <c r="AE178" s="8">
        <v>0</v>
      </c>
      <c r="AF178" s="8">
        <v>0</v>
      </c>
      <c r="AG178" s="8"/>
    </row>
    <row r="179" spans="1:33" hidden="1" x14ac:dyDescent="0.2">
      <c r="A179" s="8">
        <v>2503</v>
      </c>
      <c r="B179" s="16">
        <v>44058</v>
      </c>
      <c r="C179" s="8">
        <v>30012822</v>
      </c>
      <c r="D179" s="8" t="s">
        <v>28</v>
      </c>
      <c r="E179" s="8" t="s">
        <v>280</v>
      </c>
      <c r="F179" s="8" t="s">
        <v>281</v>
      </c>
      <c r="G179" s="8">
        <v>15018179</v>
      </c>
      <c r="H179" s="8">
        <v>802094775</v>
      </c>
      <c r="I179" s="8" t="s">
        <v>239</v>
      </c>
      <c r="J179" s="8" t="s">
        <v>223</v>
      </c>
      <c r="K179" s="8" t="s">
        <v>593</v>
      </c>
      <c r="L179" s="8" t="s">
        <v>1277</v>
      </c>
      <c r="M179" s="8" t="s">
        <v>1727</v>
      </c>
      <c r="N179" s="8" t="s">
        <v>1763</v>
      </c>
      <c r="O179" s="8">
        <v>103</v>
      </c>
      <c r="P179" s="8" t="s">
        <v>224</v>
      </c>
      <c r="Q179" s="8" t="s">
        <v>283</v>
      </c>
      <c r="R179" s="8" t="s">
        <v>284</v>
      </c>
      <c r="S179" s="8">
        <v>4</v>
      </c>
      <c r="T179" s="8" t="s">
        <v>87</v>
      </c>
      <c r="U179" s="8" t="s">
        <v>290</v>
      </c>
      <c r="V179" s="8" t="s">
        <v>88</v>
      </c>
      <c r="W179" s="29" t="s">
        <v>1282</v>
      </c>
      <c r="X179" s="29"/>
      <c r="Y179" s="29">
        <v>100</v>
      </c>
      <c r="Z179" s="29" t="s">
        <v>1279</v>
      </c>
      <c r="AA179" s="29" t="s">
        <v>39</v>
      </c>
      <c r="AB179" s="29">
        <v>31</v>
      </c>
      <c r="AC179" s="23" t="str">
        <f>M179</f>
        <v>20/08/2020</v>
      </c>
      <c r="AD179" s="23" t="str">
        <f t="shared" si="13"/>
        <v>30/09/2020</v>
      </c>
      <c r="AE179" s="8">
        <v>0</v>
      </c>
      <c r="AF179" s="8">
        <v>0</v>
      </c>
      <c r="AG179" s="8"/>
    </row>
    <row r="180" spans="1:33" hidden="1" x14ac:dyDescent="0.2">
      <c r="A180" s="8">
        <v>2503</v>
      </c>
      <c r="B180" s="16">
        <v>44058</v>
      </c>
      <c r="C180" s="8">
        <v>30012822</v>
      </c>
      <c r="D180" s="8" t="s">
        <v>137</v>
      </c>
      <c r="E180" s="8" t="s">
        <v>138</v>
      </c>
      <c r="F180" s="8" t="s">
        <v>139</v>
      </c>
      <c r="G180" s="8">
        <v>15018234</v>
      </c>
      <c r="H180" s="8">
        <v>802094778</v>
      </c>
      <c r="I180" s="8" t="s">
        <v>846</v>
      </c>
      <c r="J180" s="8" t="s">
        <v>32</v>
      </c>
      <c r="K180" s="8" t="s">
        <v>593</v>
      </c>
      <c r="L180" s="8" t="s">
        <v>1277</v>
      </c>
      <c r="M180" s="8" t="s">
        <v>1727</v>
      </c>
      <c r="N180" s="8" t="s">
        <v>1764</v>
      </c>
      <c r="O180" s="8">
        <v>508.82</v>
      </c>
      <c r="P180" s="8" t="s">
        <v>224</v>
      </c>
      <c r="Q180" s="8" t="s">
        <v>206</v>
      </c>
      <c r="R180" s="8" t="s">
        <v>35</v>
      </c>
      <c r="S180" s="8">
        <v>26</v>
      </c>
      <c r="T180" s="8" t="s">
        <v>87</v>
      </c>
      <c r="U180" s="8" t="s">
        <v>290</v>
      </c>
      <c r="V180" s="8" t="s">
        <v>88</v>
      </c>
      <c r="W180" s="29" t="s">
        <v>1285</v>
      </c>
      <c r="X180" s="29"/>
      <c r="Y180" s="29">
        <v>494</v>
      </c>
      <c r="Z180" s="29"/>
      <c r="AA180" s="29" t="s">
        <v>39</v>
      </c>
      <c r="AB180" s="29">
        <v>31</v>
      </c>
      <c r="AC180" s="23" t="s">
        <v>1727</v>
      </c>
      <c r="AD180" s="23" t="s">
        <v>1764</v>
      </c>
      <c r="AE180" s="8">
        <v>0</v>
      </c>
      <c r="AF180" s="8">
        <v>0</v>
      </c>
      <c r="AG180" s="8"/>
    </row>
    <row r="181" spans="1:33" hidden="1" x14ac:dyDescent="0.2">
      <c r="A181" s="8">
        <v>2503</v>
      </c>
      <c r="B181" s="16">
        <v>44068</v>
      </c>
      <c r="C181" s="8">
        <v>30012822</v>
      </c>
      <c r="D181" s="8" t="s">
        <v>28</v>
      </c>
      <c r="E181" s="8" t="s">
        <v>233</v>
      </c>
      <c r="F181" s="8" t="s">
        <v>234</v>
      </c>
      <c r="G181" s="8">
        <v>15018325</v>
      </c>
      <c r="H181" s="8">
        <v>802094890</v>
      </c>
      <c r="I181" s="8" t="s">
        <v>222</v>
      </c>
      <c r="J181" s="8" t="s">
        <v>223</v>
      </c>
      <c r="K181" s="8" t="s">
        <v>593</v>
      </c>
      <c r="L181" s="8" t="s">
        <v>1277</v>
      </c>
      <c r="M181" s="8" t="s">
        <v>1727</v>
      </c>
      <c r="N181" s="8" t="s">
        <v>1765</v>
      </c>
      <c r="O181" s="8">
        <v>74.16</v>
      </c>
      <c r="P181" s="8" t="s">
        <v>224</v>
      </c>
      <c r="Q181" s="8" t="s">
        <v>235</v>
      </c>
      <c r="R181" s="8" t="s">
        <v>236</v>
      </c>
      <c r="S181" s="8">
        <v>3</v>
      </c>
      <c r="T181" s="8" t="s">
        <v>87</v>
      </c>
      <c r="U181" s="8" t="s">
        <v>290</v>
      </c>
      <c r="V181" s="8" t="s">
        <v>88</v>
      </c>
      <c r="W181" s="29" t="s">
        <v>1288</v>
      </c>
      <c r="X181" s="29"/>
      <c r="Y181" s="29">
        <v>72</v>
      </c>
      <c r="Z181" s="29"/>
      <c r="AA181" s="29" t="s">
        <v>39</v>
      </c>
      <c r="AB181" s="29">
        <v>31</v>
      </c>
      <c r="AC181" s="23" t="s">
        <v>1727</v>
      </c>
      <c r="AD181" s="23" t="s">
        <v>1765</v>
      </c>
      <c r="AE181" s="8">
        <v>0</v>
      </c>
      <c r="AF181" s="8">
        <v>0</v>
      </c>
      <c r="AG181" s="8"/>
    </row>
    <row r="182" spans="1:33" hidden="1" x14ac:dyDescent="0.2">
      <c r="A182" s="8">
        <v>2503</v>
      </c>
      <c r="B182" s="16">
        <v>43951</v>
      </c>
      <c r="C182" s="8">
        <v>30012822</v>
      </c>
      <c r="D182" s="8" t="s">
        <v>152</v>
      </c>
      <c r="E182" s="8" t="s">
        <v>138</v>
      </c>
      <c r="F182" s="8" t="s">
        <v>265</v>
      </c>
      <c r="G182" s="8">
        <v>15018459</v>
      </c>
      <c r="H182" s="8">
        <v>802095165</v>
      </c>
      <c r="I182" s="8" t="s">
        <v>1291</v>
      </c>
      <c r="J182" s="8" t="s">
        <v>47</v>
      </c>
      <c r="K182" s="8" t="s">
        <v>593</v>
      </c>
      <c r="L182" s="8" t="s">
        <v>1277</v>
      </c>
      <c r="M182" s="8" t="s">
        <v>1727</v>
      </c>
      <c r="N182" s="8" t="s">
        <v>1761</v>
      </c>
      <c r="O182" s="8">
        <v>113.88</v>
      </c>
      <c r="P182" s="8" t="s">
        <v>224</v>
      </c>
      <c r="Q182" s="8" t="s">
        <v>206</v>
      </c>
      <c r="R182" s="8" t="s">
        <v>266</v>
      </c>
      <c r="S182" s="8">
        <v>6</v>
      </c>
      <c r="T182" s="8" t="s">
        <v>87</v>
      </c>
      <c r="U182" s="8" t="s">
        <v>290</v>
      </c>
      <c r="V182" s="8" t="s">
        <v>88</v>
      </c>
      <c r="W182" s="29" t="s">
        <v>1292</v>
      </c>
      <c r="X182" s="29"/>
      <c r="Y182" s="29">
        <v>12</v>
      </c>
      <c r="Z182" s="29"/>
      <c r="AA182" s="29" t="s">
        <v>39</v>
      </c>
      <c r="AB182" s="29">
        <v>31</v>
      </c>
      <c r="AC182" s="23" t="s">
        <v>1727</v>
      </c>
      <c r="AD182" s="23" t="s">
        <v>1764</v>
      </c>
      <c r="AE182" s="8">
        <v>0</v>
      </c>
      <c r="AF182" s="8">
        <v>0</v>
      </c>
      <c r="AG182" s="8"/>
    </row>
    <row r="183" spans="1:33" hidden="1" x14ac:dyDescent="0.2">
      <c r="A183" s="8">
        <v>2503</v>
      </c>
      <c r="B183" s="16">
        <v>43951</v>
      </c>
      <c r="C183" s="8">
        <v>30012822</v>
      </c>
      <c r="D183" s="8" t="s">
        <v>152</v>
      </c>
      <c r="E183" s="8" t="s">
        <v>138</v>
      </c>
      <c r="F183" s="8" t="s">
        <v>265</v>
      </c>
      <c r="G183" s="8">
        <v>15018460</v>
      </c>
      <c r="H183" s="8">
        <v>802095164</v>
      </c>
      <c r="I183" s="8" t="s">
        <v>1295</v>
      </c>
      <c r="J183" s="8" t="s">
        <v>47</v>
      </c>
      <c r="K183" s="8" t="s">
        <v>593</v>
      </c>
      <c r="L183" s="8" t="s">
        <v>1277</v>
      </c>
      <c r="M183" s="8" t="s">
        <v>1727</v>
      </c>
      <c r="N183" s="8" t="s">
        <v>1761</v>
      </c>
      <c r="O183" s="8">
        <v>284.7</v>
      </c>
      <c r="P183" s="8" t="s">
        <v>224</v>
      </c>
      <c r="Q183" s="8" t="s">
        <v>206</v>
      </c>
      <c r="R183" s="8" t="s">
        <v>266</v>
      </c>
      <c r="S183" s="8">
        <v>15</v>
      </c>
      <c r="T183" s="8" t="s">
        <v>87</v>
      </c>
      <c r="U183" s="8" t="s">
        <v>290</v>
      </c>
      <c r="V183" s="8" t="s">
        <v>88</v>
      </c>
      <c r="W183" s="29" t="s">
        <v>1296</v>
      </c>
      <c r="X183" s="29"/>
      <c r="Y183" s="29">
        <v>30</v>
      </c>
      <c r="Z183" s="29"/>
      <c r="AA183" s="29" t="s">
        <v>39</v>
      </c>
      <c r="AB183" s="29">
        <v>31</v>
      </c>
      <c r="AC183" s="23" t="s">
        <v>1727</v>
      </c>
      <c r="AD183" s="23" t="s">
        <v>1764</v>
      </c>
      <c r="AE183" s="8">
        <v>0</v>
      </c>
      <c r="AF183" s="8">
        <v>0</v>
      </c>
      <c r="AG183" s="8"/>
    </row>
    <row r="184" spans="1:33" hidden="1" x14ac:dyDescent="0.2">
      <c r="A184" s="8">
        <v>2503</v>
      </c>
      <c r="B184" s="16">
        <v>44073</v>
      </c>
      <c r="C184" s="8">
        <v>30012822</v>
      </c>
      <c r="D184" s="8" t="s">
        <v>28</v>
      </c>
      <c r="E184" s="8" t="s">
        <v>129</v>
      </c>
      <c r="F184" s="8" t="s">
        <v>507</v>
      </c>
      <c r="G184" s="8">
        <v>15018549</v>
      </c>
      <c r="H184" s="8">
        <v>802095697</v>
      </c>
      <c r="I184" s="8" t="s">
        <v>31</v>
      </c>
      <c r="J184" s="8" t="s">
        <v>32</v>
      </c>
      <c r="K184" s="8" t="s">
        <v>593</v>
      </c>
      <c r="L184" s="8" t="s">
        <v>1277</v>
      </c>
      <c r="M184" s="8" t="s">
        <v>1727</v>
      </c>
      <c r="N184" s="8" t="s">
        <v>1749</v>
      </c>
      <c r="O184" s="8">
        <v>508.82</v>
      </c>
      <c r="P184" s="8" t="s">
        <v>224</v>
      </c>
      <c r="Q184" s="8" t="s">
        <v>405</v>
      </c>
      <c r="R184" s="8" t="s">
        <v>406</v>
      </c>
      <c r="S184" s="8">
        <v>19</v>
      </c>
      <c r="T184" s="8" t="s">
        <v>87</v>
      </c>
      <c r="U184" s="8" t="s">
        <v>290</v>
      </c>
      <c r="V184" s="8" t="s">
        <v>88</v>
      </c>
      <c r="W184" s="29"/>
      <c r="X184" s="29"/>
      <c r="Y184" s="29">
        <v>494</v>
      </c>
      <c r="Z184" s="29"/>
      <c r="AA184" s="29" t="s">
        <v>39</v>
      </c>
      <c r="AB184" s="29">
        <v>31</v>
      </c>
      <c r="AC184" s="23" t="s">
        <v>1727</v>
      </c>
      <c r="AD184" s="23" t="s">
        <v>1767</v>
      </c>
      <c r="AE184" s="8">
        <v>0</v>
      </c>
      <c r="AF184" s="8">
        <v>0</v>
      </c>
      <c r="AG184" s="8"/>
    </row>
    <row r="185" spans="1:33" hidden="1" x14ac:dyDescent="0.2">
      <c r="A185" s="8">
        <v>2503</v>
      </c>
      <c r="B185" s="16">
        <v>44058</v>
      </c>
      <c r="C185" s="8">
        <v>30012757</v>
      </c>
      <c r="D185" s="8" t="s">
        <v>91</v>
      </c>
      <c r="E185" s="8" t="s">
        <v>217</v>
      </c>
      <c r="F185" s="8" t="s">
        <v>218</v>
      </c>
      <c r="G185" s="8">
        <v>15018174</v>
      </c>
      <c r="H185" s="8">
        <v>802094771</v>
      </c>
      <c r="I185" s="8" t="s">
        <v>302</v>
      </c>
      <c r="J185" s="8" t="s">
        <v>47</v>
      </c>
      <c r="K185" s="8" t="s">
        <v>1300</v>
      </c>
      <c r="L185" s="8" t="s">
        <v>113</v>
      </c>
      <c r="M185" s="8" t="s">
        <v>1727</v>
      </c>
      <c r="N185" s="8" t="s">
        <v>1766</v>
      </c>
      <c r="O185" s="8">
        <v>396.197</v>
      </c>
      <c r="P185" s="8" t="s">
        <v>303</v>
      </c>
      <c r="Q185" s="8" t="s">
        <v>206</v>
      </c>
      <c r="R185" s="8" t="s">
        <v>268</v>
      </c>
      <c r="S185" s="8">
        <v>0</v>
      </c>
      <c r="T185" s="8" t="s">
        <v>117</v>
      </c>
      <c r="U185" s="8" t="s">
        <v>304</v>
      </c>
      <c r="V185" s="8" t="s">
        <v>118</v>
      </c>
      <c r="W185" s="29"/>
      <c r="X185" s="29"/>
      <c r="Y185" s="29">
        <v>54</v>
      </c>
      <c r="Z185" s="29"/>
      <c r="AA185" s="29" t="s">
        <v>39</v>
      </c>
      <c r="AB185" s="29">
        <v>32</v>
      </c>
      <c r="AC185" s="23" t="str">
        <f t="shared" ref="AC185:AC224" si="14">M185</f>
        <v>20/08/2020</v>
      </c>
      <c r="AD185" s="23" t="str">
        <f t="shared" ref="AD185:AD224" si="15">N185</f>
        <v>27/09/2020</v>
      </c>
      <c r="AE185" s="8"/>
      <c r="AF185" s="8"/>
      <c r="AG185" s="8"/>
    </row>
    <row r="186" spans="1:33" hidden="1" x14ac:dyDescent="0.2">
      <c r="A186" s="8">
        <v>2503</v>
      </c>
      <c r="B186" s="16">
        <v>44058</v>
      </c>
      <c r="C186" s="8">
        <v>30012757</v>
      </c>
      <c r="D186" s="8" t="s">
        <v>91</v>
      </c>
      <c r="E186" s="8" t="s">
        <v>217</v>
      </c>
      <c r="F186" s="8" t="s">
        <v>218</v>
      </c>
      <c r="G186" s="8">
        <v>15018175</v>
      </c>
      <c r="H186" s="8">
        <v>802094772</v>
      </c>
      <c r="I186" s="8" t="s">
        <v>305</v>
      </c>
      <c r="J186" s="8" t="s">
        <v>47</v>
      </c>
      <c r="K186" s="8" t="s">
        <v>1300</v>
      </c>
      <c r="L186" s="8" t="s">
        <v>113</v>
      </c>
      <c r="M186" s="8" t="s">
        <v>1727</v>
      </c>
      <c r="N186" s="8" t="s">
        <v>1766</v>
      </c>
      <c r="O186" s="8">
        <v>202.946</v>
      </c>
      <c r="P186" s="8" t="s">
        <v>303</v>
      </c>
      <c r="Q186" s="8" t="s">
        <v>206</v>
      </c>
      <c r="R186" s="8" t="s">
        <v>268</v>
      </c>
      <c r="S186" s="8">
        <v>0</v>
      </c>
      <c r="T186" s="8" t="s">
        <v>117</v>
      </c>
      <c r="U186" s="8" t="s">
        <v>304</v>
      </c>
      <c r="V186" s="8" t="s">
        <v>118</v>
      </c>
      <c r="W186" s="29"/>
      <c r="X186" s="29"/>
      <c r="Y186" s="29">
        <v>21</v>
      </c>
      <c r="Z186" s="29"/>
      <c r="AA186" s="29" t="s">
        <v>39</v>
      </c>
      <c r="AB186" s="29">
        <v>32</v>
      </c>
      <c r="AC186" s="23" t="str">
        <f t="shared" si="14"/>
        <v>20/08/2020</v>
      </c>
      <c r="AD186" s="23" t="str">
        <f t="shared" si="15"/>
        <v>27/09/2020</v>
      </c>
      <c r="AE186" s="8"/>
      <c r="AF186" s="8"/>
      <c r="AG186" s="8"/>
    </row>
    <row r="187" spans="1:33" hidden="1" x14ac:dyDescent="0.2">
      <c r="A187" s="8">
        <v>2503</v>
      </c>
      <c r="B187" s="16">
        <v>44058</v>
      </c>
      <c r="C187" s="8">
        <v>30012757</v>
      </c>
      <c r="D187" s="8" t="s">
        <v>91</v>
      </c>
      <c r="E187" s="8" t="s">
        <v>217</v>
      </c>
      <c r="F187" s="8" t="s">
        <v>218</v>
      </c>
      <c r="G187" s="8">
        <v>15018177</v>
      </c>
      <c r="H187" s="8">
        <v>802094773</v>
      </c>
      <c r="I187" s="8" t="s">
        <v>306</v>
      </c>
      <c r="J187" s="8" t="s">
        <v>47</v>
      </c>
      <c r="K187" s="8" t="s">
        <v>1300</v>
      </c>
      <c r="L187" s="8" t="s">
        <v>113</v>
      </c>
      <c r="M187" s="8" t="s">
        <v>1727</v>
      </c>
      <c r="N187" s="8" t="s">
        <v>1766</v>
      </c>
      <c r="O187" s="8">
        <v>97.042000000000002</v>
      </c>
      <c r="P187" s="8" t="s">
        <v>303</v>
      </c>
      <c r="Q187" s="8" t="s">
        <v>206</v>
      </c>
      <c r="R187" s="8" t="s">
        <v>268</v>
      </c>
      <c r="S187" s="8">
        <v>0</v>
      </c>
      <c r="T187" s="8" t="s">
        <v>117</v>
      </c>
      <c r="U187" s="8" t="s">
        <v>304</v>
      </c>
      <c r="V187" s="8" t="s">
        <v>118</v>
      </c>
      <c r="W187" s="29"/>
      <c r="X187" s="29"/>
      <c r="Y187" s="29">
        <v>12</v>
      </c>
      <c r="Z187" s="29"/>
      <c r="AA187" s="29" t="s">
        <v>39</v>
      </c>
      <c r="AB187" s="29">
        <v>32</v>
      </c>
      <c r="AC187" s="23" t="str">
        <f t="shared" si="14"/>
        <v>20/08/2020</v>
      </c>
      <c r="AD187" s="23" t="str">
        <f t="shared" si="15"/>
        <v>27/09/2020</v>
      </c>
      <c r="AE187" s="8"/>
      <c r="AF187" s="8"/>
      <c r="AG187" s="8"/>
    </row>
    <row r="188" spans="1:33" hidden="1" x14ac:dyDescent="0.2">
      <c r="A188" s="8">
        <v>2503</v>
      </c>
      <c r="B188" s="16">
        <v>44058</v>
      </c>
      <c r="C188" s="8">
        <v>30012757</v>
      </c>
      <c r="D188" s="8" t="s">
        <v>62</v>
      </c>
      <c r="E188" s="8" t="s">
        <v>307</v>
      </c>
      <c r="F188" s="8" t="s">
        <v>308</v>
      </c>
      <c r="G188" s="8">
        <v>15018240</v>
      </c>
      <c r="H188" s="8">
        <v>802094781</v>
      </c>
      <c r="I188" s="8" t="s">
        <v>309</v>
      </c>
      <c r="J188" s="8" t="s">
        <v>223</v>
      </c>
      <c r="K188" s="8" t="s">
        <v>1300</v>
      </c>
      <c r="L188" s="8" t="s">
        <v>113</v>
      </c>
      <c r="M188" s="8" t="s">
        <v>1727</v>
      </c>
      <c r="N188" s="8" t="s">
        <v>1758</v>
      </c>
      <c r="O188" s="8">
        <v>123.893</v>
      </c>
      <c r="P188" s="8" t="s">
        <v>303</v>
      </c>
      <c r="Q188" s="8" t="s">
        <v>115</v>
      </c>
      <c r="R188" s="8" t="s">
        <v>116</v>
      </c>
      <c r="S188" s="8">
        <v>0</v>
      </c>
      <c r="T188" s="8" t="s">
        <v>117</v>
      </c>
      <c r="U188" s="8" t="s">
        <v>304</v>
      </c>
      <c r="V188" s="8" t="s">
        <v>118</v>
      </c>
      <c r="W188" s="29"/>
      <c r="X188" s="29"/>
      <c r="Y188" s="29">
        <v>120</v>
      </c>
      <c r="Z188" s="29"/>
      <c r="AA188" s="29" t="s">
        <v>39</v>
      </c>
      <c r="AB188" s="29">
        <v>32</v>
      </c>
      <c r="AC188" s="23" t="str">
        <f t="shared" si="14"/>
        <v>20/08/2020</v>
      </c>
      <c r="AD188" s="23" t="str">
        <f t="shared" si="15"/>
        <v>04/10/2020</v>
      </c>
      <c r="AE188" s="8"/>
      <c r="AF188" s="8"/>
      <c r="AG188" s="8"/>
    </row>
    <row r="189" spans="1:33" hidden="1" x14ac:dyDescent="0.2">
      <c r="A189" s="8">
        <v>2503</v>
      </c>
      <c r="B189" s="16">
        <v>44073</v>
      </c>
      <c r="C189" s="8">
        <v>30012757</v>
      </c>
      <c r="D189" s="8" t="s">
        <v>28</v>
      </c>
      <c r="E189" s="8" t="s">
        <v>162</v>
      </c>
      <c r="F189" s="8" t="s">
        <v>163</v>
      </c>
      <c r="G189" s="8">
        <v>15018252</v>
      </c>
      <c r="H189" s="8">
        <v>802094784</v>
      </c>
      <c r="I189" s="8" t="s">
        <v>112</v>
      </c>
      <c r="J189" s="8" t="s">
        <v>32</v>
      </c>
      <c r="K189" s="8" t="s">
        <v>1300</v>
      </c>
      <c r="L189" s="8" t="s">
        <v>113</v>
      </c>
      <c r="M189" s="8" t="s">
        <v>1727</v>
      </c>
      <c r="N189" s="8" t="s">
        <v>1758</v>
      </c>
      <c r="O189" s="8">
        <v>494.78</v>
      </c>
      <c r="P189" s="8" t="s">
        <v>303</v>
      </c>
      <c r="Q189" s="8" t="s">
        <v>115</v>
      </c>
      <c r="R189" s="8" t="s">
        <v>116</v>
      </c>
      <c r="S189" s="8">
        <v>0</v>
      </c>
      <c r="T189" s="8" t="s">
        <v>117</v>
      </c>
      <c r="U189" s="8" t="s">
        <v>304</v>
      </c>
      <c r="V189" s="8" t="s">
        <v>118</v>
      </c>
      <c r="W189" s="29"/>
      <c r="X189" s="29"/>
      <c r="Y189" s="29">
        <v>480</v>
      </c>
      <c r="Z189" s="29"/>
      <c r="AA189" s="29" t="s">
        <v>39</v>
      </c>
      <c r="AB189" s="29">
        <v>32</v>
      </c>
      <c r="AC189" s="23" t="str">
        <f t="shared" si="14"/>
        <v>20/08/2020</v>
      </c>
      <c r="AD189" s="23" t="str">
        <f t="shared" si="15"/>
        <v>04/10/2020</v>
      </c>
      <c r="AE189" s="8"/>
      <c r="AF189" s="8"/>
      <c r="AG189" s="8"/>
    </row>
    <row r="190" spans="1:33" hidden="1" x14ac:dyDescent="0.2">
      <c r="A190" s="8">
        <v>2503</v>
      </c>
      <c r="B190" s="16">
        <v>44073</v>
      </c>
      <c r="C190" s="8">
        <v>30012757</v>
      </c>
      <c r="D190" s="8" t="s">
        <v>28</v>
      </c>
      <c r="E190" s="8" t="s">
        <v>162</v>
      </c>
      <c r="F190" s="8" t="s">
        <v>163</v>
      </c>
      <c r="G190" s="8">
        <v>15018253</v>
      </c>
      <c r="H190" s="8">
        <v>802094785</v>
      </c>
      <c r="I190" s="8" t="s">
        <v>112</v>
      </c>
      <c r="J190" s="8" t="s">
        <v>32</v>
      </c>
      <c r="K190" s="8" t="s">
        <v>1300</v>
      </c>
      <c r="L190" s="8" t="s">
        <v>113</v>
      </c>
      <c r="M190" s="8" t="s">
        <v>1727</v>
      </c>
      <c r="N190" s="8" t="s">
        <v>1758</v>
      </c>
      <c r="O190" s="8">
        <v>494.77</v>
      </c>
      <c r="P190" s="8" t="s">
        <v>303</v>
      </c>
      <c r="Q190" s="8" t="s">
        <v>115</v>
      </c>
      <c r="R190" s="8" t="s">
        <v>116</v>
      </c>
      <c r="S190" s="8">
        <v>0</v>
      </c>
      <c r="T190" s="8" t="s">
        <v>117</v>
      </c>
      <c r="U190" s="8" t="s">
        <v>304</v>
      </c>
      <c r="V190" s="8" t="s">
        <v>118</v>
      </c>
      <c r="W190" s="29"/>
      <c r="X190" s="29"/>
      <c r="Y190" s="29">
        <v>480</v>
      </c>
      <c r="Z190" s="29"/>
      <c r="AA190" s="29" t="s">
        <v>39</v>
      </c>
      <c r="AB190" s="29">
        <v>32</v>
      </c>
      <c r="AC190" s="23" t="str">
        <f t="shared" si="14"/>
        <v>20/08/2020</v>
      </c>
      <c r="AD190" s="23" t="str">
        <f t="shared" si="15"/>
        <v>04/10/2020</v>
      </c>
      <c r="AE190" s="8"/>
      <c r="AF190" s="8"/>
      <c r="AG190" s="8"/>
    </row>
    <row r="191" spans="1:33" hidden="1" x14ac:dyDescent="0.2">
      <c r="A191" s="8">
        <v>2503</v>
      </c>
      <c r="B191" s="16">
        <v>44073</v>
      </c>
      <c r="C191" s="8">
        <v>30012757</v>
      </c>
      <c r="D191" s="8" t="s">
        <v>28</v>
      </c>
      <c r="E191" s="8" t="s">
        <v>162</v>
      </c>
      <c r="F191" s="8" t="s">
        <v>163</v>
      </c>
      <c r="G191" s="8">
        <v>15018254</v>
      </c>
      <c r="H191" s="8">
        <v>802094786</v>
      </c>
      <c r="I191" s="8" t="s">
        <v>112</v>
      </c>
      <c r="J191" s="8" t="s">
        <v>32</v>
      </c>
      <c r="K191" s="8" t="s">
        <v>1300</v>
      </c>
      <c r="L191" s="8" t="s">
        <v>113</v>
      </c>
      <c r="M191" s="8" t="s">
        <v>1727</v>
      </c>
      <c r="N191" s="8" t="s">
        <v>1758</v>
      </c>
      <c r="O191" s="8">
        <v>500</v>
      </c>
      <c r="P191" s="8" t="s">
        <v>303</v>
      </c>
      <c r="Q191" s="8" t="s">
        <v>115</v>
      </c>
      <c r="R191" s="8" t="s">
        <v>116</v>
      </c>
      <c r="S191" s="8">
        <v>0</v>
      </c>
      <c r="T191" s="8" t="s">
        <v>117</v>
      </c>
      <c r="U191" s="8" t="s">
        <v>290</v>
      </c>
      <c r="V191" s="8" t="s">
        <v>118</v>
      </c>
      <c r="W191" s="29"/>
      <c r="X191" s="29"/>
      <c r="Y191" s="29">
        <v>491</v>
      </c>
      <c r="Z191" s="29"/>
      <c r="AA191" s="29" t="s">
        <v>39</v>
      </c>
      <c r="AB191" s="29">
        <v>32</v>
      </c>
      <c r="AC191" s="23" t="str">
        <f t="shared" si="14"/>
        <v>20/08/2020</v>
      </c>
      <c r="AD191" s="23" t="str">
        <f t="shared" si="15"/>
        <v>04/10/2020</v>
      </c>
      <c r="AE191" s="8"/>
      <c r="AF191" s="8"/>
      <c r="AG191" s="8"/>
    </row>
    <row r="192" spans="1:33" hidden="1" x14ac:dyDescent="0.2">
      <c r="A192" s="8">
        <v>2503</v>
      </c>
      <c r="B192" s="16">
        <v>44073</v>
      </c>
      <c r="C192" s="8">
        <v>30012757</v>
      </c>
      <c r="D192" s="8" t="s">
        <v>28</v>
      </c>
      <c r="E192" s="8" t="s">
        <v>162</v>
      </c>
      <c r="F192" s="8" t="s">
        <v>163</v>
      </c>
      <c r="G192" s="8">
        <v>15018255</v>
      </c>
      <c r="H192" s="8">
        <v>802094787</v>
      </c>
      <c r="I192" s="8" t="s">
        <v>112</v>
      </c>
      <c r="J192" s="8" t="s">
        <v>32</v>
      </c>
      <c r="K192" s="8" t="s">
        <v>1300</v>
      </c>
      <c r="L192" s="8" t="s">
        <v>113</v>
      </c>
      <c r="M192" s="8" t="s">
        <v>1727</v>
      </c>
      <c r="N192" s="8" t="s">
        <v>1758</v>
      </c>
      <c r="O192" s="8">
        <v>500</v>
      </c>
      <c r="P192" s="8" t="s">
        <v>303</v>
      </c>
      <c r="Q192" s="8" t="s">
        <v>115</v>
      </c>
      <c r="R192" s="8" t="s">
        <v>116</v>
      </c>
      <c r="S192" s="8">
        <v>0</v>
      </c>
      <c r="T192" s="8" t="s">
        <v>117</v>
      </c>
      <c r="U192" s="8" t="s">
        <v>290</v>
      </c>
      <c r="V192" s="8" t="s">
        <v>118</v>
      </c>
      <c r="W192" s="29"/>
      <c r="X192" s="29"/>
      <c r="Y192" s="29">
        <v>491</v>
      </c>
      <c r="Z192" s="29"/>
      <c r="AA192" s="29" t="s">
        <v>39</v>
      </c>
      <c r="AB192" s="29">
        <v>32</v>
      </c>
      <c r="AC192" s="23" t="str">
        <f t="shared" si="14"/>
        <v>20/08/2020</v>
      </c>
      <c r="AD192" s="23" t="str">
        <f t="shared" si="15"/>
        <v>04/10/2020</v>
      </c>
      <c r="AE192" s="8"/>
      <c r="AF192" s="8"/>
      <c r="AG192" s="8"/>
    </row>
    <row r="193" spans="1:33" hidden="1" x14ac:dyDescent="0.2">
      <c r="A193" s="8">
        <v>2503</v>
      </c>
      <c r="B193" s="16">
        <v>44073</v>
      </c>
      <c r="C193" s="8">
        <v>30012757</v>
      </c>
      <c r="D193" s="8" t="s">
        <v>28</v>
      </c>
      <c r="E193" s="8" t="s">
        <v>162</v>
      </c>
      <c r="F193" s="8" t="s">
        <v>163</v>
      </c>
      <c r="G193" s="8">
        <v>15018256</v>
      </c>
      <c r="H193" s="8">
        <v>802094788</v>
      </c>
      <c r="I193" s="8" t="s">
        <v>112</v>
      </c>
      <c r="J193" s="8" t="s">
        <v>32</v>
      </c>
      <c r="K193" s="8" t="s">
        <v>1300</v>
      </c>
      <c r="L193" s="8" t="s">
        <v>113</v>
      </c>
      <c r="M193" s="8" t="s">
        <v>1727</v>
      </c>
      <c r="N193" s="8" t="s">
        <v>1758</v>
      </c>
      <c r="O193" s="8">
        <v>500</v>
      </c>
      <c r="P193" s="8" t="s">
        <v>303</v>
      </c>
      <c r="Q193" s="8" t="s">
        <v>115</v>
      </c>
      <c r="R193" s="8" t="s">
        <v>116</v>
      </c>
      <c r="S193" s="8">
        <v>0</v>
      </c>
      <c r="T193" s="8" t="s">
        <v>117</v>
      </c>
      <c r="U193" s="8" t="s">
        <v>290</v>
      </c>
      <c r="V193" s="8" t="s">
        <v>118</v>
      </c>
      <c r="W193" s="29"/>
      <c r="X193" s="29"/>
      <c r="Y193" s="29">
        <v>491</v>
      </c>
      <c r="Z193" s="29"/>
      <c r="AA193" s="29" t="s">
        <v>39</v>
      </c>
      <c r="AB193" s="29">
        <v>32</v>
      </c>
      <c r="AC193" s="23" t="str">
        <f t="shared" si="14"/>
        <v>20/08/2020</v>
      </c>
      <c r="AD193" s="23" t="str">
        <f t="shared" si="15"/>
        <v>04/10/2020</v>
      </c>
      <c r="AE193" s="8"/>
      <c r="AF193" s="8"/>
      <c r="AG193" s="8"/>
    </row>
    <row r="194" spans="1:33" hidden="1" x14ac:dyDescent="0.2">
      <c r="A194" s="8">
        <v>2503</v>
      </c>
      <c r="B194" s="16">
        <v>44048</v>
      </c>
      <c r="C194" s="8">
        <v>30012757</v>
      </c>
      <c r="D194" s="8" t="s">
        <v>152</v>
      </c>
      <c r="E194" s="8" t="s">
        <v>127</v>
      </c>
      <c r="F194" s="8" t="s">
        <v>314</v>
      </c>
      <c r="G194" s="8">
        <v>15018268</v>
      </c>
      <c r="H194" s="8">
        <v>802094789</v>
      </c>
      <c r="I194" s="8" t="s">
        <v>315</v>
      </c>
      <c r="J194" s="8" t="s">
        <v>58</v>
      </c>
      <c r="K194" s="8" t="s">
        <v>1300</v>
      </c>
      <c r="L194" s="8" t="s">
        <v>113</v>
      </c>
      <c r="M194" s="8" t="s">
        <v>1727</v>
      </c>
      <c r="N194" s="8" t="s">
        <v>1754</v>
      </c>
      <c r="O194" s="8">
        <v>100</v>
      </c>
      <c r="P194" s="8" t="s">
        <v>303</v>
      </c>
      <c r="Q194" s="8" t="s">
        <v>85</v>
      </c>
      <c r="R194" s="8" t="s">
        <v>86</v>
      </c>
      <c r="S194" s="8">
        <v>0</v>
      </c>
      <c r="T194" s="8" t="s">
        <v>117</v>
      </c>
      <c r="U194" s="8" t="s">
        <v>290</v>
      </c>
      <c r="V194" s="8" t="s">
        <v>118</v>
      </c>
      <c r="W194" s="29"/>
      <c r="X194" s="29"/>
      <c r="Y194" s="29">
        <v>47</v>
      </c>
      <c r="Z194" s="29"/>
      <c r="AA194" s="29" t="s">
        <v>39</v>
      </c>
      <c r="AB194" s="29">
        <v>32</v>
      </c>
      <c r="AC194" s="23" t="str">
        <f t="shared" si="14"/>
        <v>20/08/2020</v>
      </c>
      <c r="AD194" s="23" t="str">
        <f t="shared" si="15"/>
        <v>16/09/2020</v>
      </c>
      <c r="AE194" s="8"/>
      <c r="AF194" s="8"/>
      <c r="AG194" s="8"/>
    </row>
    <row r="195" spans="1:33" hidden="1" x14ac:dyDescent="0.2">
      <c r="A195" s="8">
        <v>2503</v>
      </c>
      <c r="B195" s="16">
        <v>44048</v>
      </c>
      <c r="C195" s="8">
        <v>30012757</v>
      </c>
      <c r="D195" s="8" t="s">
        <v>152</v>
      </c>
      <c r="E195" s="8" t="s">
        <v>316</v>
      </c>
      <c r="F195" s="8" t="s">
        <v>314</v>
      </c>
      <c r="G195" s="8">
        <v>15018269</v>
      </c>
      <c r="H195" s="8">
        <v>802094790</v>
      </c>
      <c r="I195" s="8" t="s">
        <v>315</v>
      </c>
      <c r="J195" s="8" t="s">
        <v>58</v>
      </c>
      <c r="K195" s="8" t="s">
        <v>1300</v>
      </c>
      <c r="L195" s="8" t="s">
        <v>113</v>
      </c>
      <c r="M195" s="8" t="s">
        <v>1727</v>
      </c>
      <c r="N195" s="8" t="s">
        <v>1754</v>
      </c>
      <c r="O195" s="8">
        <v>100</v>
      </c>
      <c r="P195" s="8" t="s">
        <v>303</v>
      </c>
      <c r="Q195" s="8" t="s">
        <v>85</v>
      </c>
      <c r="R195" s="8" t="s">
        <v>86</v>
      </c>
      <c r="S195" s="8">
        <v>0</v>
      </c>
      <c r="T195" s="8" t="s">
        <v>117</v>
      </c>
      <c r="U195" s="8" t="s">
        <v>290</v>
      </c>
      <c r="V195" s="8" t="s">
        <v>118</v>
      </c>
      <c r="W195" s="29"/>
      <c r="X195" s="29"/>
      <c r="Y195" s="29">
        <v>47</v>
      </c>
      <c r="Z195" s="29"/>
      <c r="AA195" s="29" t="s">
        <v>39</v>
      </c>
      <c r="AB195" s="29">
        <v>32</v>
      </c>
      <c r="AC195" s="23" t="str">
        <f t="shared" si="14"/>
        <v>20/08/2020</v>
      </c>
      <c r="AD195" s="23" t="str">
        <f t="shared" si="15"/>
        <v>16/09/2020</v>
      </c>
      <c r="AE195" s="8"/>
      <c r="AF195" s="8"/>
      <c r="AG195" s="8"/>
    </row>
    <row r="196" spans="1:33" hidden="1" x14ac:dyDescent="0.2">
      <c r="A196" s="8">
        <v>2503</v>
      </c>
      <c r="B196" s="16">
        <v>44048</v>
      </c>
      <c r="C196" s="8">
        <v>30012757</v>
      </c>
      <c r="D196" s="8" t="s">
        <v>102</v>
      </c>
      <c r="E196" s="8" t="s">
        <v>316</v>
      </c>
      <c r="F196" s="8" t="s">
        <v>317</v>
      </c>
      <c r="G196" s="8">
        <v>15018301</v>
      </c>
      <c r="H196" s="8">
        <v>802094861</v>
      </c>
      <c r="I196" s="8" t="s">
        <v>318</v>
      </c>
      <c r="J196" s="8" t="s">
        <v>58</v>
      </c>
      <c r="K196" s="8" t="s">
        <v>1300</v>
      </c>
      <c r="L196" s="8" t="s">
        <v>113</v>
      </c>
      <c r="M196" s="8" t="s">
        <v>1727</v>
      </c>
      <c r="N196" s="8" t="s">
        <v>1754</v>
      </c>
      <c r="O196" s="8">
        <v>25.738</v>
      </c>
      <c r="P196" s="8" t="s">
        <v>303</v>
      </c>
      <c r="Q196" s="8" t="s">
        <v>85</v>
      </c>
      <c r="R196" s="8" t="s">
        <v>319</v>
      </c>
      <c r="S196" s="8">
        <v>0</v>
      </c>
      <c r="T196" s="8" t="s">
        <v>117</v>
      </c>
      <c r="U196" s="8" t="s">
        <v>304</v>
      </c>
      <c r="V196" s="8" t="s">
        <v>118</v>
      </c>
      <c r="W196" s="29"/>
      <c r="X196" s="29"/>
      <c r="Y196" s="29">
        <v>10</v>
      </c>
      <c r="Z196" s="29"/>
      <c r="AA196" s="29" t="s">
        <v>109</v>
      </c>
      <c r="AB196" s="29">
        <v>32</v>
      </c>
      <c r="AC196" s="23" t="str">
        <f t="shared" si="14"/>
        <v>20/08/2020</v>
      </c>
      <c r="AD196" s="23" t="str">
        <f t="shared" si="15"/>
        <v>16/09/2020</v>
      </c>
      <c r="AE196" s="8"/>
      <c r="AF196" s="8"/>
      <c r="AG196" s="8"/>
    </row>
    <row r="197" spans="1:33" hidden="1" x14ac:dyDescent="0.2">
      <c r="A197" s="8">
        <v>2503</v>
      </c>
      <c r="B197" s="16">
        <v>44048</v>
      </c>
      <c r="C197" s="8">
        <v>30012757</v>
      </c>
      <c r="D197" s="8" t="s">
        <v>102</v>
      </c>
      <c r="E197" s="8" t="s">
        <v>316</v>
      </c>
      <c r="F197" s="8" t="s">
        <v>317</v>
      </c>
      <c r="G197" s="8">
        <v>15018302</v>
      </c>
      <c r="H197" s="8">
        <v>802094862</v>
      </c>
      <c r="I197" s="8" t="s">
        <v>320</v>
      </c>
      <c r="J197" s="8" t="s">
        <v>58</v>
      </c>
      <c r="K197" s="8" t="s">
        <v>1300</v>
      </c>
      <c r="L197" s="8" t="s">
        <v>113</v>
      </c>
      <c r="M197" s="8" t="s">
        <v>1727</v>
      </c>
      <c r="N197" s="8" t="s">
        <v>1754</v>
      </c>
      <c r="O197" s="8">
        <v>28.32</v>
      </c>
      <c r="P197" s="8" t="s">
        <v>303</v>
      </c>
      <c r="Q197" s="8" t="s">
        <v>85</v>
      </c>
      <c r="R197" s="8" t="s">
        <v>319</v>
      </c>
      <c r="S197" s="8">
        <v>0</v>
      </c>
      <c r="T197" s="8" t="s">
        <v>117</v>
      </c>
      <c r="U197" s="8" t="s">
        <v>304</v>
      </c>
      <c r="V197" s="8" t="s">
        <v>118</v>
      </c>
      <c r="W197" s="29"/>
      <c r="X197" s="29"/>
      <c r="Y197" s="29">
        <v>11</v>
      </c>
      <c r="Z197" s="29"/>
      <c r="AA197" s="29" t="s">
        <v>109</v>
      </c>
      <c r="AB197" s="29">
        <v>32</v>
      </c>
      <c r="AC197" s="23" t="str">
        <f t="shared" si="14"/>
        <v>20/08/2020</v>
      </c>
      <c r="AD197" s="23" t="str">
        <f t="shared" si="15"/>
        <v>16/09/2020</v>
      </c>
      <c r="AE197" s="8"/>
      <c r="AF197" s="8"/>
      <c r="AG197" s="8"/>
    </row>
    <row r="198" spans="1:33" hidden="1" x14ac:dyDescent="0.2">
      <c r="A198" s="8">
        <v>2503</v>
      </c>
      <c r="B198" s="16">
        <v>44048</v>
      </c>
      <c r="C198" s="8">
        <v>30012757</v>
      </c>
      <c r="D198" s="8" t="s">
        <v>102</v>
      </c>
      <c r="E198" s="8" t="s">
        <v>316</v>
      </c>
      <c r="F198" s="8" t="s">
        <v>317</v>
      </c>
      <c r="G198" s="8">
        <v>15018303</v>
      </c>
      <c r="H198" s="8">
        <v>802094863</v>
      </c>
      <c r="I198" s="8" t="s">
        <v>321</v>
      </c>
      <c r="J198" s="8" t="s">
        <v>58</v>
      </c>
      <c r="K198" s="8" t="s">
        <v>1300</v>
      </c>
      <c r="L198" s="8" t="s">
        <v>113</v>
      </c>
      <c r="M198" s="8" t="s">
        <v>1727</v>
      </c>
      <c r="N198" s="8" t="s">
        <v>1754</v>
      </c>
      <c r="O198" s="8">
        <v>79.772000000000006</v>
      </c>
      <c r="P198" s="8" t="s">
        <v>303</v>
      </c>
      <c r="Q198" s="8" t="s">
        <v>85</v>
      </c>
      <c r="R198" s="8" t="s">
        <v>319</v>
      </c>
      <c r="S198" s="8">
        <v>0</v>
      </c>
      <c r="T198" s="8" t="s">
        <v>117</v>
      </c>
      <c r="U198" s="8" t="s">
        <v>304</v>
      </c>
      <c r="V198" s="8" t="s">
        <v>118</v>
      </c>
      <c r="W198" s="29"/>
      <c r="X198" s="29"/>
      <c r="Y198" s="29">
        <v>31</v>
      </c>
      <c r="Z198" s="29"/>
      <c r="AA198" s="29" t="s">
        <v>109</v>
      </c>
      <c r="AB198" s="29">
        <v>32</v>
      </c>
      <c r="AC198" s="23" t="str">
        <f t="shared" si="14"/>
        <v>20/08/2020</v>
      </c>
      <c r="AD198" s="23" t="str">
        <f t="shared" si="15"/>
        <v>16/09/2020</v>
      </c>
      <c r="AE198" s="8"/>
      <c r="AF198" s="8"/>
      <c r="AG198" s="8"/>
    </row>
    <row r="199" spans="1:33" hidden="1" x14ac:dyDescent="0.2">
      <c r="A199" s="8">
        <v>2503</v>
      </c>
      <c r="B199" s="16">
        <v>44048</v>
      </c>
      <c r="C199" s="8">
        <v>30012757</v>
      </c>
      <c r="D199" s="8" t="s">
        <v>102</v>
      </c>
      <c r="E199" s="8" t="s">
        <v>316</v>
      </c>
      <c r="F199" s="8" t="s">
        <v>326</v>
      </c>
      <c r="G199" s="8">
        <v>15018304</v>
      </c>
      <c r="H199" s="8">
        <v>802094864</v>
      </c>
      <c r="I199" s="8" t="s">
        <v>327</v>
      </c>
      <c r="J199" s="8" t="s">
        <v>58</v>
      </c>
      <c r="K199" s="8" t="s">
        <v>1300</v>
      </c>
      <c r="L199" s="8" t="s">
        <v>113</v>
      </c>
      <c r="M199" s="8" t="s">
        <v>1727</v>
      </c>
      <c r="N199" s="8" t="s">
        <v>1767</v>
      </c>
      <c r="O199" s="8">
        <v>205.886</v>
      </c>
      <c r="P199" s="8" t="s">
        <v>303</v>
      </c>
      <c r="Q199" s="8" t="s">
        <v>131</v>
      </c>
      <c r="R199" s="8" t="s">
        <v>313</v>
      </c>
      <c r="S199" s="8">
        <v>0</v>
      </c>
      <c r="T199" s="8" t="s">
        <v>117</v>
      </c>
      <c r="U199" s="8" t="s">
        <v>304</v>
      </c>
      <c r="V199" s="8" t="s">
        <v>118</v>
      </c>
      <c r="W199" s="29"/>
      <c r="X199" s="29"/>
      <c r="Y199" s="29">
        <v>52</v>
      </c>
      <c r="Z199" s="29"/>
      <c r="AA199" s="29" t="s">
        <v>109</v>
      </c>
      <c r="AB199" s="29">
        <v>32</v>
      </c>
      <c r="AC199" s="23" t="str">
        <f t="shared" si="14"/>
        <v>20/08/2020</v>
      </c>
      <c r="AD199" s="23" t="str">
        <f t="shared" si="15"/>
        <v>13/09/2020</v>
      </c>
      <c r="AE199" s="8"/>
      <c r="AF199" s="8"/>
      <c r="AG199" s="8"/>
    </row>
    <row r="200" spans="1:33" hidden="1" x14ac:dyDescent="0.2">
      <c r="A200" s="8">
        <v>2503</v>
      </c>
      <c r="B200" s="16">
        <v>44048</v>
      </c>
      <c r="C200" s="8">
        <v>30012757</v>
      </c>
      <c r="D200" s="8" t="s">
        <v>102</v>
      </c>
      <c r="E200" s="8" t="s">
        <v>316</v>
      </c>
      <c r="F200" s="8" t="s">
        <v>326</v>
      </c>
      <c r="G200" s="8">
        <v>15018305</v>
      </c>
      <c r="H200" s="8">
        <v>802094865</v>
      </c>
      <c r="I200" s="8" t="s">
        <v>328</v>
      </c>
      <c r="J200" s="8" t="s">
        <v>58</v>
      </c>
      <c r="K200" s="8" t="s">
        <v>1300</v>
      </c>
      <c r="L200" s="8" t="s">
        <v>113</v>
      </c>
      <c r="M200" s="8" t="s">
        <v>1727</v>
      </c>
      <c r="N200" s="8" t="s">
        <v>1767</v>
      </c>
      <c r="O200" s="8">
        <v>200</v>
      </c>
      <c r="P200" s="8" t="s">
        <v>303</v>
      </c>
      <c r="Q200" s="8" t="s">
        <v>131</v>
      </c>
      <c r="R200" s="8" t="s">
        <v>313</v>
      </c>
      <c r="S200" s="8">
        <v>0</v>
      </c>
      <c r="T200" s="8" t="s">
        <v>117</v>
      </c>
      <c r="U200" s="8" t="s">
        <v>290</v>
      </c>
      <c r="V200" s="8" t="s">
        <v>118</v>
      </c>
      <c r="W200" s="29"/>
      <c r="X200" s="29"/>
      <c r="Y200" s="29">
        <v>101</v>
      </c>
      <c r="Z200" s="29"/>
      <c r="AA200" s="29" t="s">
        <v>109</v>
      </c>
      <c r="AB200" s="29">
        <v>32</v>
      </c>
      <c r="AC200" s="23" t="str">
        <f t="shared" si="14"/>
        <v>20/08/2020</v>
      </c>
      <c r="AD200" s="23" t="str">
        <f t="shared" si="15"/>
        <v>13/09/2020</v>
      </c>
      <c r="AE200" s="8"/>
      <c r="AF200" s="8"/>
      <c r="AG200" s="8"/>
    </row>
    <row r="201" spans="1:33" hidden="1" x14ac:dyDescent="0.2">
      <c r="A201" s="8">
        <v>2503</v>
      </c>
      <c r="B201" s="16">
        <v>44048</v>
      </c>
      <c r="C201" s="8">
        <v>30012757</v>
      </c>
      <c r="D201" s="8" t="s">
        <v>102</v>
      </c>
      <c r="E201" s="8" t="s">
        <v>316</v>
      </c>
      <c r="F201" s="8" t="s">
        <v>326</v>
      </c>
      <c r="G201" s="8">
        <v>15018306</v>
      </c>
      <c r="H201" s="8">
        <v>802094866</v>
      </c>
      <c r="I201" s="8" t="s">
        <v>1335</v>
      </c>
      <c r="J201" s="8" t="s">
        <v>58</v>
      </c>
      <c r="K201" s="8" t="s">
        <v>1300</v>
      </c>
      <c r="L201" s="8" t="s">
        <v>113</v>
      </c>
      <c r="M201" s="8" t="s">
        <v>1727</v>
      </c>
      <c r="N201" s="8" t="s">
        <v>1767</v>
      </c>
      <c r="O201" s="8">
        <v>52.017000000000003</v>
      </c>
      <c r="P201" s="8" t="s">
        <v>303</v>
      </c>
      <c r="Q201" s="8" t="s">
        <v>131</v>
      </c>
      <c r="R201" s="8" t="s">
        <v>313</v>
      </c>
      <c r="S201" s="8">
        <v>0</v>
      </c>
      <c r="T201" s="8" t="s">
        <v>117</v>
      </c>
      <c r="U201" s="8" t="s">
        <v>304</v>
      </c>
      <c r="V201" s="8" t="s">
        <v>118</v>
      </c>
      <c r="W201" s="29"/>
      <c r="X201" s="29"/>
      <c r="Y201" s="29">
        <v>35</v>
      </c>
      <c r="Z201" s="29"/>
      <c r="AA201" s="29" t="s">
        <v>109</v>
      </c>
      <c r="AB201" s="29">
        <v>32</v>
      </c>
      <c r="AC201" s="23" t="str">
        <f t="shared" si="14"/>
        <v>20/08/2020</v>
      </c>
      <c r="AD201" s="23" t="str">
        <f t="shared" si="15"/>
        <v>13/09/2020</v>
      </c>
      <c r="AE201" s="8"/>
      <c r="AF201" s="8"/>
      <c r="AG201" s="8"/>
    </row>
    <row r="202" spans="1:33" hidden="1" x14ac:dyDescent="0.2">
      <c r="A202" s="8">
        <v>2503</v>
      </c>
      <c r="B202" s="16">
        <v>44048</v>
      </c>
      <c r="C202" s="8">
        <v>30012757</v>
      </c>
      <c r="D202" s="8" t="s">
        <v>102</v>
      </c>
      <c r="E202" s="8" t="s">
        <v>316</v>
      </c>
      <c r="F202" s="8" t="s">
        <v>326</v>
      </c>
      <c r="G202" s="8">
        <v>15018307</v>
      </c>
      <c r="H202" s="8">
        <v>802094867</v>
      </c>
      <c r="I202" s="8" t="s">
        <v>329</v>
      </c>
      <c r="J202" s="8" t="s">
        <v>58</v>
      </c>
      <c r="K202" s="8" t="s">
        <v>1300</v>
      </c>
      <c r="L202" s="8" t="s">
        <v>113</v>
      </c>
      <c r="M202" s="8" t="s">
        <v>1727</v>
      </c>
      <c r="N202" s="8" t="s">
        <v>1767</v>
      </c>
      <c r="O202" s="8">
        <v>108.19199999999999</v>
      </c>
      <c r="P202" s="8" t="s">
        <v>303</v>
      </c>
      <c r="Q202" s="8" t="s">
        <v>131</v>
      </c>
      <c r="R202" s="8" t="s">
        <v>313</v>
      </c>
      <c r="S202" s="8">
        <v>0</v>
      </c>
      <c r="T202" s="8" t="s">
        <v>117</v>
      </c>
      <c r="U202" s="8" t="s">
        <v>304</v>
      </c>
      <c r="V202" s="8" t="s">
        <v>118</v>
      </c>
      <c r="W202" s="29"/>
      <c r="X202" s="29"/>
      <c r="Y202" s="29">
        <v>49</v>
      </c>
      <c r="Z202" s="29"/>
      <c r="AA202" s="29" t="s">
        <v>109</v>
      </c>
      <c r="AB202" s="29">
        <v>32</v>
      </c>
      <c r="AC202" s="23" t="str">
        <f t="shared" si="14"/>
        <v>20/08/2020</v>
      </c>
      <c r="AD202" s="23" t="str">
        <f t="shared" si="15"/>
        <v>13/09/2020</v>
      </c>
      <c r="AE202" s="8"/>
      <c r="AF202" s="8"/>
      <c r="AG202" s="8"/>
    </row>
    <row r="203" spans="1:33" hidden="1" x14ac:dyDescent="0.2">
      <c r="A203" s="8">
        <v>2503</v>
      </c>
      <c r="B203" s="16">
        <v>44048</v>
      </c>
      <c r="C203" s="8">
        <v>30012757</v>
      </c>
      <c r="D203" s="8" t="s">
        <v>102</v>
      </c>
      <c r="E203" s="8" t="s">
        <v>316</v>
      </c>
      <c r="F203" s="8" t="s">
        <v>326</v>
      </c>
      <c r="G203" s="8">
        <v>15018308</v>
      </c>
      <c r="H203" s="8">
        <v>802094868</v>
      </c>
      <c r="I203" s="8" t="s">
        <v>330</v>
      </c>
      <c r="J203" s="8" t="s">
        <v>58</v>
      </c>
      <c r="K203" s="8" t="s">
        <v>1300</v>
      </c>
      <c r="L203" s="8" t="s">
        <v>113</v>
      </c>
      <c r="M203" s="8" t="s">
        <v>1727</v>
      </c>
      <c r="N203" s="8" t="s">
        <v>1767</v>
      </c>
      <c r="O203" s="8">
        <v>52.192999999999998</v>
      </c>
      <c r="P203" s="8" t="s">
        <v>303</v>
      </c>
      <c r="Q203" s="8" t="s">
        <v>131</v>
      </c>
      <c r="R203" s="8" t="s">
        <v>313</v>
      </c>
      <c r="S203" s="8">
        <v>0</v>
      </c>
      <c r="T203" s="8" t="s">
        <v>117</v>
      </c>
      <c r="U203" s="8" t="s">
        <v>304</v>
      </c>
      <c r="V203" s="8" t="s">
        <v>118</v>
      </c>
      <c r="W203" s="29"/>
      <c r="X203" s="29"/>
      <c r="Y203" s="29">
        <v>35</v>
      </c>
      <c r="Z203" s="29"/>
      <c r="AA203" s="29" t="s">
        <v>109</v>
      </c>
      <c r="AB203" s="29">
        <v>32</v>
      </c>
      <c r="AC203" s="23" t="str">
        <f t="shared" si="14"/>
        <v>20/08/2020</v>
      </c>
      <c r="AD203" s="23" t="str">
        <f t="shared" si="15"/>
        <v>13/09/2020</v>
      </c>
      <c r="AE203" s="8"/>
      <c r="AF203" s="8"/>
      <c r="AG203" s="8"/>
    </row>
    <row r="204" spans="1:33" hidden="1" x14ac:dyDescent="0.2">
      <c r="A204" s="8">
        <v>2503</v>
      </c>
      <c r="B204" s="16">
        <v>44048</v>
      </c>
      <c r="C204" s="8">
        <v>30012757</v>
      </c>
      <c r="D204" s="8" t="s">
        <v>102</v>
      </c>
      <c r="E204" s="8" t="s">
        <v>322</v>
      </c>
      <c r="F204" s="8" t="s">
        <v>311</v>
      </c>
      <c r="G204" s="8">
        <v>15018309</v>
      </c>
      <c r="H204" s="8">
        <v>802094869</v>
      </c>
      <c r="I204" s="8" t="s">
        <v>323</v>
      </c>
      <c r="J204" s="8" t="s">
        <v>223</v>
      </c>
      <c r="K204" s="8" t="s">
        <v>1300</v>
      </c>
      <c r="L204" s="8" t="s">
        <v>113</v>
      </c>
      <c r="M204" s="8" t="s">
        <v>1727</v>
      </c>
      <c r="N204" s="8" t="s">
        <v>1767</v>
      </c>
      <c r="O204" s="8">
        <v>495.09800000000001</v>
      </c>
      <c r="P204" s="8" t="s">
        <v>303</v>
      </c>
      <c r="Q204" s="8" t="s">
        <v>131</v>
      </c>
      <c r="R204" s="8" t="s">
        <v>132</v>
      </c>
      <c r="S204" s="8">
        <v>0</v>
      </c>
      <c r="T204" s="8" t="s">
        <v>117</v>
      </c>
      <c r="U204" s="8" t="s">
        <v>304</v>
      </c>
      <c r="V204" s="8" t="s">
        <v>118</v>
      </c>
      <c r="W204" s="29"/>
      <c r="X204" s="29"/>
      <c r="Y204" s="29">
        <v>480</v>
      </c>
      <c r="Z204" s="29"/>
      <c r="AA204" s="29" t="s">
        <v>39</v>
      </c>
      <c r="AB204" s="29">
        <v>32</v>
      </c>
      <c r="AC204" s="23" t="str">
        <f t="shared" si="14"/>
        <v>20/08/2020</v>
      </c>
      <c r="AD204" s="23" t="str">
        <f t="shared" si="15"/>
        <v>13/09/2020</v>
      </c>
      <c r="AE204" s="8"/>
      <c r="AF204" s="8"/>
      <c r="AG204" s="8"/>
    </row>
    <row r="205" spans="1:33" hidden="1" x14ac:dyDescent="0.2">
      <c r="A205" s="8">
        <v>2503</v>
      </c>
      <c r="B205" s="16">
        <v>44048</v>
      </c>
      <c r="C205" s="8">
        <v>30012757</v>
      </c>
      <c r="D205" s="8" t="s">
        <v>102</v>
      </c>
      <c r="E205" s="8" t="s">
        <v>322</v>
      </c>
      <c r="F205" s="8" t="s">
        <v>311</v>
      </c>
      <c r="G205" s="8">
        <v>15018310</v>
      </c>
      <c r="H205" s="8">
        <v>802094870</v>
      </c>
      <c r="I205" s="8" t="s">
        <v>323</v>
      </c>
      <c r="J205" s="8" t="s">
        <v>223</v>
      </c>
      <c r="K205" s="8" t="s">
        <v>1300</v>
      </c>
      <c r="L205" s="8" t="s">
        <v>113</v>
      </c>
      <c r="M205" s="8" t="s">
        <v>1727</v>
      </c>
      <c r="N205" s="8" t="s">
        <v>1767</v>
      </c>
      <c r="O205" s="8">
        <v>197.964</v>
      </c>
      <c r="P205" s="8" t="s">
        <v>303</v>
      </c>
      <c r="Q205" s="8" t="s">
        <v>131</v>
      </c>
      <c r="R205" s="8" t="s">
        <v>132</v>
      </c>
      <c r="S205" s="8">
        <v>0</v>
      </c>
      <c r="T205" s="8" t="s">
        <v>117</v>
      </c>
      <c r="U205" s="8" t="s">
        <v>304</v>
      </c>
      <c r="V205" s="8" t="s">
        <v>118</v>
      </c>
      <c r="W205" s="29"/>
      <c r="X205" s="29"/>
      <c r="Y205" s="29">
        <v>192</v>
      </c>
      <c r="Z205" s="29"/>
      <c r="AA205" s="29" t="s">
        <v>39</v>
      </c>
      <c r="AB205" s="29">
        <v>32</v>
      </c>
      <c r="AC205" s="23" t="str">
        <f t="shared" si="14"/>
        <v>20/08/2020</v>
      </c>
      <c r="AD205" s="23" t="str">
        <f t="shared" si="15"/>
        <v>13/09/2020</v>
      </c>
      <c r="AE205" s="8"/>
      <c r="AF205" s="8"/>
      <c r="AG205" s="8"/>
    </row>
    <row r="206" spans="1:33" hidden="1" x14ac:dyDescent="0.2">
      <c r="A206" s="8">
        <v>2503</v>
      </c>
      <c r="B206" s="16">
        <v>44048</v>
      </c>
      <c r="C206" s="8">
        <v>30012757</v>
      </c>
      <c r="D206" s="8" t="s">
        <v>102</v>
      </c>
      <c r="E206" s="8" t="s">
        <v>310</v>
      </c>
      <c r="F206" s="8" t="s">
        <v>311</v>
      </c>
      <c r="G206" s="8">
        <v>15018311</v>
      </c>
      <c r="H206" s="8">
        <v>802094871</v>
      </c>
      <c r="I206" s="8" t="s">
        <v>528</v>
      </c>
      <c r="J206" s="8" t="s">
        <v>47</v>
      </c>
      <c r="K206" s="8" t="s">
        <v>1300</v>
      </c>
      <c r="L206" s="8" t="s">
        <v>113</v>
      </c>
      <c r="M206" s="8" t="s">
        <v>1727</v>
      </c>
      <c r="N206" s="8" t="s">
        <v>1767</v>
      </c>
      <c r="O206" s="8">
        <v>503</v>
      </c>
      <c r="P206" s="8" t="s">
        <v>303</v>
      </c>
      <c r="Q206" s="8" t="s">
        <v>131</v>
      </c>
      <c r="R206" s="8" t="s">
        <v>313</v>
      </c>
      <c r="S206" s="8">
        <v>0</v>
      </c>
      <c r="T206" s="8" t="s">
        <v>117</v>
      </c>
      <c r="U206" s="8" t="s">
        <v>290</v>
      </c>
      <c r="V206" s="8" t="s">
        <v>118</v>
      </c>
      <c r="W206" s="29"/>
      <c r="X206" s="29"/>
      <c r="Y206" s="29">
        <v>39</v>
      </c>
      <c r="Z206" s="29"/>
      <c r="AA206" s="29" t="s">
        <v>109</v>
      </c>
      <c r="AB206" s="29">
        <v>32</v>
      </c>
      <c r="AC206" s="23" t="str">
        <f t="shared" si="14"/>
        <v>20/08/2020</v>
      </c>
      <c r="AD206" s="23" t="str">
        <f t="shared" si="15"/>
        <v>13/09/2020</v>
      </c>
      <c r="AE206" s="8"/>
      <c r="AF206" s="8"/>
      <c r="AG206" s="8"/>
    </row>
    <row r="207" spans="1:33" hidden="1" x14ac:dyDescent="0.2">
      <c r="A207" s="8">
        <v>2503</v>
      </c>
      <c r="B207" s="16">
        <v>44048</v>
      </c>
      <c r="C207" s="8">
        <v>30012757</v>
      </c>
      <c r="D207" s="8" t="s">
        <v>102</v>
      </c>
      <c r="E207" s="8" t="s">
        <v>310</v>
      </c>
      <c r="F207" s="8" t="s">
        <v>311</v>
      </c>
      <c r="G207" s="8">
        <v>15018312</v>
      </c>
      <c r="H207" s="8">
        <v>802094872</v>
      </c>
      <c r="I207" s="8" t="s">
        <v>312</v>
      </c>
      <c r="J207" s="8" t="s">
        <v>47</v>
      </c>
      <c r="K207" s="8" t="s">
        <v>1300</v>
      </c>
      <c r="L207" s="8" t="s">
        <v>113</v>
      </c>
      <c r="M207" s="8" t="s">
        <v>1727</v>
      </c>
      <c r="N207" s="8" t="s">
        <v>1767</v>
      </c>
      <c r="O207" s="8">
        <v>692</v>
      </c>
      <c r="P207" s="8" t="s">
        <v>303</v>
      </c>
      <c r="Q207" s="8" t="s">
        <v>131</v>
      </c>
      <c r="R207" s="8" t="s">
        <v>313</v>
      </c>
      <c r="S207" s="8">
        <v>0</v>
      </c>
      <c r="T207" s="8" t="s">
        <v>117</v>
      </c>
      <c r="U207" s="8" t="s">
        <v>290</v>
      </c>
      <c r="V207" s="8" t="s">
        <v>118</v>
      </c>
      <c r="W207" s="29"/>
      <c r="X207" s="29"/>
      <c r="Y207" s="29">
        <v>66</v>
      </c>
      <c r="Z207" s="29"/>
      <c r="AA207" s="29" t="s">
        <v>109</v>
      </c>
      <c r="AB207" s="29">
        <v>32</v>
      </c>
      <c r="AC207" s="23" t="str">
        <f t="shared" si="14"/>
        <v>20/08/2020</v>
      </c>
      <c r="AD207" s="23" t="str">
        <f t="shared" si="15"/>
        <v>13/09/2020</v>
      </c>
      <c r="AE207" s="8"/>
      <c r="AF207" s="8"/>
      <c r="AG207" s="8"/>
    </row>
    <row r="208" spans="1:33" hidden="1" x14ac:dyDescent="0.2">
      <c r="A208" s="8">
        <v>2503</v>
      </c>
      <c r="B208" s="16">
        <v>44048</v>
      </c>
      <c r="C208" s="8">
        <v>30012757</v>
      </c>
      <c r="D208" s="8" t="s">
        <v>102</v>
      </c>
      <c r="E208" s="8" t="s">
        <v>310</v>
      </c>
      <c r="F208" s="8" t="s">
        <v>311</v>
      </c>
      <c r="G208" s="8">
        <v>15018313</v>
      </c>
      <c r="H208" s="8">
        <v>802094873</v>
      </c>
      <c r="I208" s="8" t="s">
        <v>530</v>
      </c>
      <c r="J208" s="8" t="s">
        <v>47</v>
      </c>
      <c r="K208" s="8" t="s">
        <v>1300</v>
      </c>
      <c r="L208" s="8" t="s">
        <v>113</v>
      </c>
      <c r="M208" s="8" t="s">
        <v>1727</v>
      </c>
      <c r="N208" s="8" t="s">
        <v>1767</v>
      </c>
      <c r="O208" s="8">
        <v>194</v>
      </c>
      <c r="P208" s="8" t="s">
        <v>303</v>
      </c>
      <c r="Q208" s="8" t="s">
        <v>131</v>
      </c>
      <c r="R208" s="8" t="s">
        <v>313</v>
      </c>
      <c r="S208" s="8">
        <v>0</v>
      </c>
      <c r="T208" s="8" t="s">
        <v>117</v>
      </c>
      <c r="U208" s="8" t="s">
        <v>290</v>
      </c>
      <c r="V208" s="8" t="s">
        <v>118</v>
      </c>
      <c r="W208" s="29"/>
      <c r="X208" s="29"/>
      <c r="Y208" s="29">
        <v>18</v>
      </c>
      <c r="Z208" s="29"/>
      <c r="AA208" s="29" t="s">
        <v>109</v>
      </c>
      <c r="AB208" s="29">
        <v>32</v>
      </c>
      <c r="AC208" s="23" t="str">
        <f t="shared" si="14"/>
        <v>20/08/2020</v>
      </c>
      <c r="AD208" s="23" t="str">
        <f t="shared" si="15"/>
        <v>13/09/2020</v>
      </c>
      <c r="AE208" s="8"/>
      <c r="AF208" s="8"/>
      <c r="AG208" s="8"/>
    </row>
    <row r="209" spans="1:33" hidden="1" x14ac:dyDescent="0.2">
      <c r="A209" s="8">
        <v>2503</v>
      </c>
      <c r="B209" s="16">
        <v>44048</v>
      </c>
      <c r="C209" s="8">
        <v>30012757</v>
      </c>
      <c r="D209" s="8" t="s">
        <v>102</v>
      </c>
      <c r="E209" s="8" t="s">
        <v>333</v>
      </c>
      <c r="F209" s="8" t="s">
        <v>334</v>
      </c>
      <c r="G209" s="8">
        <v>15018361</v>
      </c>
      <c r="H209" s="8">
        <v>802094921</v>
      </c>
      <c r="I209" s="8" t="s">
        <v>335</v>
      </c>
      <c r="J209" s="8" t="s">
        <v>223</v>
      </c>
      <c r="K209" s="8" t="s">
        <v>1300</v>
      </c>
      <c r="L209" s="8" t="s">
        <v>113</v>
      </c>
      <c r="M209" s="8" t="s">
        <v>1727</v>
      </c>
      <c r="N209" s="8" t="s">
        <v>1764</v>
      </c>
      <c r="O209" s="8">
        <v>247.44900000000001</v>
      </c>
      <c r="P209" s="8" t="s">
        <v>303</v>
      </c>
      <c r="Q209" s="8" t="s">
        <v>182</v>
      </c>
      <c r="R209" s="8" t="s">
        <v>183</v>
      </c>
      <c r="S209" s="8">
        <v>0</v>
      </c>
      <c r="T209" s="8" t="s">
        <v>117</v>
      </c>
      <c r="U209" s="8" t="s">
        <v>304</v>
      </c>
      <c r="V209" s="8" t="s">
        <v>118</v>
      </c>
      <c r="W209" s="29"/>
      <c r="X209" s="29"/>
      <c r="Y209" s="29">
        <v>240</v>
      </c>
      <c r="Z209" s="29"/>
      <c r="AA209" s="29" t="s">
        <v>39</v>
      </c>
      <c r="AB209" s="29">
        <v>32</v>
      </c>
      <c r="AC209" s="23" t="str">
        <f t="shared" si="14"/>
        <v>20/08/2020</v>
      </c>
      <c r="AD209" s="23" t="str">
        <f t="shared" si="15"/>
        <v>19/09/2020</v>
      </c>
      <c r="AE209" s="8"/>
      <c r="AF209" s="8"/>
      <c r="AG209" s="8"/>
    </row>
    <row r="210" spans="1:33" hidden="1" x14ac:dyDescent="0.2">
      <c r="A210" s="8">
        <v>2503</v>
      </c>
      <c r="B210" s="16">
        <v>44048</v>
      </c>
      <c r="C210" s="8">
        <v>30012757</v>
      </c>
      <c r="D210" s="8" t="s">
        <v>102</v>
      </c>
      <c r="E210" s="8" t="s">
        <v>333</v>
      </c>
      <c r="F210" s="8" t="s">
        <v>334</v>
      </c>
      <c r="G210" s="8">
        <v>15018362</v>
      </c>
      <c r="H210" s="8">
        <v>802094922</v>
      </c>
      <c r="I210" s="8" t="s">
        <v>336</v>
      </c>
      <c r="J210" s="8" t="s">
        <v>223</v>
      </c>
      <c r="K210" s="8" t="s">
        <v>1300</v>
      </c>
      <c r="L210" s="8" t="s">
        <v>113</v>
      </c>
      <c r="M210" s="8" t="s">
        <v>1727</v>
      </c>
      <c r="N210" s="8" t="s">
        <v>1764</v>
      </c>
      <c r="O210" s="8">
        <v>493.68599999999998</v>
      </c>
      <c r="P210" s="8" t="s">
        <v>303</v>
      </c>
      <c r="Q210" s="8" t="s">
        <v>182</v>
      </c>
      <c r="R210" s="8" t="s">
        <v>183</v>
      </c>
      <c r="S210" s="8">
        <v>0</v>
      </c>
      <c r="T210" s="8" t="s">
        <v>117</v>
      </c>
      <c r="U210" s="8" t="s">
        <v>304</v>
      </c>
      <c r="V210" s="8" t="s">
        <v>118</v>
      </c>
      <c r="W210" s="29"/>
      <c r="X210" s="29"/>
      <c r="Y210" s="29">
        <v>480</v>
      </c>
      <c r="Z210" s="29"/>
      <c r="AA210" s="29" t="s">
        <v>39</v>
      </c>
      <c r="AB210" s="29">
        <v>32</v>
      </c>
      <c r="AC210" s="23" t="str">
        <f t="shared" si="14"/>
        <v>20/08/2020</v>
      </c>
      <c r="AD210" s="23" t="str">
        <f t="shared" si="15"/>
        <v>19/09/2020</v>
      </c>
      <c r="AE210" s="8"/>
      <c r="AF210" s="8"/>
      <c r="AG210" s="8"/>
    </row>
    <row r="211" spans="1:33" hidden="1" x14ac:dyDescent="0.2">
      <c r="A211" s="8">
        <v>2503</v>
      </c>
      <c r="B211" s="16">
        <v>44048</v>
      </c>
      <c r="C211" s="8">
        <v>30012757</v>
      </c>
      <c r="D211" s="8" t="s">
        <v>102</v>
      </c>
      <c r="E211" s="8" t="s">
        <v>333</v>
      </c>
      <c r="F211" s="8" t="s">
        <v>334</v>
      </c>
      <c r="G211" s="8">
        <v>15018363</v>
      </c>
      <c r="H211" s="8">
        <v>802094923</v>
      </c>
      <c r="I211" s="8" t="s">
        <v>336</v>
      </c>
      <c r="J211" s="8" t="s">
        <v>223</v>
      </c>
      <c r="K211" s="8" t="s">
        <v>1300</v>
      </c>
      <c r="L211" s="8" t="s">
        <v>113</v>
      </c>
      <c r="M211" s="8" t="s">
        <v>1727</v>
      </c>
      <c r="N211" s="8" t="s">
        <v>1764</v>
      </c>
      <c r="O211" s="8">
        <v>99.207999999999998</v>
      </c>
      <c r="P211" s="8" t="s">
        <v>303</v>
      </c>
      <c r="Q211" s="8" t="s">
        <v>182</v>
      </c>
      <c r="R211" s="8" t="s">
        <v>183</v>
      </c>
      <c r="S211" s="8">
        <v>0</v>
      </c>
      <c r="T211" s="8" t="s">
        <v>117</v>
      </c>
      <c r="U211" s="8" t="s">
        <v>304</v>
      </c>
      <c r="V211" s="8" t="s">
        <v>118</v>
      </c>
      <c r="W211" s="29"/>
      <c r="X211" s="29"/>
      <c r="Y211" s="29">
        <v>96</v>
      </c>
      <c r="Z211" s="29"/>
      <c r="AA211" s="29" t="s">
        <v>39</v>
      </c>
      <c r="AB211" s="29">
        <v>32</v>
      </c>
      <c r="AC211" s="23" t="str">
        <f t="shared" si="14"/>
        <v>20/08/2020</v>
      </c>
      <c r="AD211" s="23" t="str">
        <f t="shared" si="15"/>
        <v>19/09/2020</v>
      </c>
      <c r="AE211" s="8"/>
      <c r="AF211" s="8"/>
      <c r="AG211" s="8"/>
    </row>
    <row r="212" spans="1:33" hidden="1" x14ac:dyDescent="0.2">
      <c r="A212" s="8">
        <v>2503</v>
      </c>
      <c r="B212" s="16">
        <v>44048</v>
      </c>
      <c r="C212" s="8">
        <v>30012757</v>
      </c>
      <c r="D212" s="8" t="s">
        <v>102</v>
      </c>
      <c r="E212" s="8" t="s">
        <v>333</v>
      </c>
      <c r="F212" s="8" t="s">
        <v>334</v>
      </c>
      <c r="G212" s="8">
        <v>15018364</v>
      </c>
      <c r="H212" s="8">
        <v>802094924</v>
      </c>
      <c r="I212" s="8" t="s">
        <v>1360</v>
      </c>
      <c r="J212" s="8" t="s">
        <v>223</v>
      </c>
      <c r="K212" s="8" t="s">
        <v>1300</v>
      </c>
      <c r="L212" s="8" t="s">
        <v>113</v>
      </c>
      <c r="M212" s="8" t="s">
        <v>1727</v>
      </c>
      <c r="N212" s="8" t="s">
        <v>1764</v>
      </c>
      <c r="O212" s="8">
        <v>49.414000000000001</v>
      </c>
      <c r="P212" s="8" t="s">
        <v>303</v>
      </c>
      <c r="Q212" s="8" t="s">
        <v>182</v>
      </c>
      <c r="R212" s="8" t="s">
        <v>183</v>
      </c>
      <c r="S212" s="8">
        <v>0</v>
      </c>
      <c r="T212" s="8" t="s">
        <v>117</v>
      </c>
      <c r="U212" s="8" t="s">
        <v>304</v>
      </c>
      <c r="V212" s="8" t="s">
        <v>118</v>
      </c>
      <c r="W212" s="29"/>
      <c r="X212" s="29"/>
      <c r="Y212" s="29">
        <v>48</v>
      </c>
      <c r="Z212" s="29"/>
      <c r="AA212" s="29" t="s">
        <v>39</v>
      </c>
      <c r="AB212" s="29">
        <v>32</v>
      </c>
      <c r="AC212" s="23" t="str">
        <f t="shared" si="14"/>
        <v>20/08/2020</v>
      </c>
      <c r="AD212" s="23" t="str">
        <f t="shared" si="15"/>
        <v>19/09/2020</v>
      </c>
      <c r="AE212" s="8"/>
      <c r="AF212" s="8"/>
      <c r="AG212" s="8"/>
    </row>
    <row r="213" spans="1:33" hidden="1" x14ac:dyDescent="0.2">
      <c r="A213" s="8">
        <v>2503</v>
      </c>
      <c r="B213" s="16">
        <v>44073</v>
      </c>
      <c r="C213" s="8">
        <v>30012757</v>
      </c>
      <c r="D213" s="8" t="s">
        <v>28</v>
      </c>
      <c r="E213" s="8" t="s">
        <v>162</v>
      </c>
      <c r="F213" s="8" t="s">
        <v>1361</v>
      </c>
      <c r="G213" s="8">
        <v>15018384</v>
      </c>
      <c r="H213" s="8">
        <v>802095007</v>
      </c>
      <c r="I213" s="8" t="s">
        <v>112</v>
      </c>
      <c r="J213" s="8" t="s">
        <v>32</v>
      </c>
      <c r="K213" s="8" t="s">
        <v>1300</v>
      </c>
      <c r="L213" s="8" t="s">
        <v>113</v>
      </c>
      <c r="M213" s="8" t="s">
        <v>1727</v>
      </c>
      <c r="N213" s="8" t="s">
        <v>1754</v>
      </c>
      <c r="O213" s="8">
        <v>500</v>
      </c>
      <c r="P213" s="8" t="s">
        <v>303</v>
      </c>
      <c r="Q213" s="8" t="s">
        <v>85</v>
      </c>
      <c r="R213" s="8" t="s">
        <v>86</v>
      </c>
      <c r="S213" s="8">
        <v>0</v>
      </c>
      <c r="T213" s="8" t="s">
        <v>117</v>
      </c>
      <c r="U213" s="8" t="s">
        <v>290</v>
      </c>
      <c r="V213" s="8" t="s">
        <v>118</v>
      </c>
      <c r="W213" s="29"/>
      <c r="X213" s="29"/>
      <c r="Y213" s="29">
        <v>491</v>
      </c>
      <c r="Z213" s="29"/>
      <c r="AA213" s="29" t="s">
        <v>39</v>
      </c>
      <c r="AB213" s="29">
        <v>32</v>
      </c>
      <c r="AC213" s="23" t="str">
        <f t="shared" si="14"/>
        <v>20/08/2020</v>
      </c>
      <c r="AD213" s="23" t="str">
        <f t="shared" si="15"/>
        <v>16/09/2020</v>
      </c>
      <c r="AE213" s="8"/>
      <c r="AF213" s="8"/>
      <c r="AG213" s="8"/>
    </row>
    <row r="214" spans="1:33" hidden="1" x14ac:dyDescent="0.2">
      <c r="A214" s="8">
        <v>2503</v>
      </c>
      <c r="B214" s="16">
        <v>44058</v>
      </c>
      <c r="C214" s="8">
        <v>30012757</v>
      </c>
      <c r="D214" s="8" t="s">
        <v>54</v>
      </c>
      <c r="E214" s="8" t="s">
        <v>212</v>
      </c>
      <c r="F214" s="8" t="s">
        <v>213</v>
      </c>
      <c r="G214" s="8">
        <v>15018385</v>
      </c>
      <c r="H214" s="8">
        <v>802095060</v>
      </c>
      <c r="I214" s="8" t="s">
        <v>337</v>
      </c>
      <c r="J214" s="8" t="s">
        <v>58</v>
      </c>
      <c r="K214" s="8" t="s">
        <v>1300</v>
      </c>
      <c r="L214" s="8" t="s">
        <v>113</v>
      </c>
      <c r="M214" s="8" t="s">
        <v>1727</v>
      </c>
      <c r="N214" s="8" t="s">
        <v>1758</v>
      </c>
      <c r="O214" s="8">
        <v>150</v>
      </c>
      <c r="P214" s="8" t="s">
        <v>303</v>
      </c>
      <c r="Q214" s="8" t="s">
        <v>115</v>
      </c>
      <c r="R214" s="8" t="s">
        <v>338</v>
      </c>
      <c r="S214" s="8">
        <v>0</v>
      </c>
      <c r="T214" s="8" t="s">
        <v>117</v>
      </c>
      <c r="U214" s="8" t="s">
        <v>290</v>
      </c>
      <c r="V214" s="8" t="s">
        <v>118</v>
      </c>
      <c r="W214" s="29"/>
      <c r="X214" s="29"/>
      <c r="Y214" s="29">
        <v>47</v>
      </c>
      <c r="Z214" s="29"/>
      <c r="AA214" s="29" t="s">
        <v>39</v>
      </c>
      <c r="AB214" s="29">
        <v>32</v>
      </c>
      <c r="AC214" s="23" t="str">
        <f t="shared" si="14"/>
        <v>20/08/2020</v>
      </c>
      <c r="AD214" s="23" t="str">
        <f t="shared" si="15"/>
        <v>04/10/2020</v>
      </c>
      <c r="AE214" s="8"/>
      <c r="AF214" s="8"/>
      <c r="AG214" s="8"/>
    </row>
    <row r="215" spans="1:33" hidden="1" x14ac:dyDescent="0.2">
      <c r="A215" s="8">
        <v>2503</v>
      </c>
      <c r="B215" s="16">
        <v>44048</v>
      </c>
      <c r="C215" s="8">
        <v>30012757</v>
      </c>
      <c r="D215" s="8" t="s">
        <v>102</v>
      </c>
      <c r="E215" s="8" t="s">
        <v>195</v>
      </c>
      <c r="F215" s="8" t="s">
        <v>355</v>
      </c>
      <c r="G215" s="8">
        <v>15018394</v>
      </c>
      <c r="H215" s="8">
        <v>802095008</v>
      </c>
      <c r="I215" s="8" t="s">
        <v>112</v>
      </c>
      <c r="J215" s="8" t="s">
        <v>32</v>
      </c>
      <c r="K215" s="8" t="s">
        <v>1300</v>
      </c>
      <c r="L215" s="8" t="s">
        <v>113</v>
      </c>
      <c r="M215" s="8" t="s">
        <v>1727</v>
      </c>
      <c r="N215" s="8" t="s">
        <v>1767</v>
      </c>
      <c r="O215" s="8">
        <v>247.26499999999999</v>
      </c>
      <c r="P215" s="8" t="s">
        <v>303</v>
      </c>
      <c r="Q215" s="8" t="s">
        <v>131</v>
      </c>
      <c r="R215" s="8" t="s">
        <v>185</v>
      </c>
      <c r="S215" s="8">
        <v>0</v>
      </c>
      <c r="T215" s="8" t="s">
        <v>117</v>
      </c>
      <c r="U215" s="8" t="s">
        <v>304</v>
      </c>
      <c r="V215" s="8" t="s">
        <v>118</v>
      </c>
      <c r="W215" s="29"/>
      <c r="X215" s="29"/>
      <c r="Y215" s="29">
        <v>240</v>
      </c>
      <c r="Z215" s="29"/>
      <c r="AA215" s="29" t="s">
        <v>39</v>
      </c>
      <c r="AB215" s="29">
        <v>32</v>
      </c>
      <c r="AC215" s="23" t="str">
        <f t="shared" si="14"/>
        <v>20/08/2020</v>
      </c>
      <c r="AD215" s="23" t="str">
        <f t="shared" si="15"/>
        <v>13/09/2020</v>
      </c>
      <c r="AE215" s="8"/>
      <c r="AF215" s="8"/>
      <c r="AG215" s="8"/>
    </row>
    <row r="216" spans="1:33" hidden="1" x14ac:dyDescent="0.2">
      <c r="A216" s="8">
        <v>2503</v>
      </c>
      <c r="B216" s="16">
        <v>44048</v>
      </c>
      <c r="C216" s="8">
        <v>30012757</v>
      </c>
      <c r="D216" s="8" t="s">
        <v>44</v>
      </c>
      <c r="E216" s="8" t="s">
        <v>341</v>
      </c>
      <c r="F216" s="8" t="s">
        <v>342</v>
      </c>
      <c r="G216" s="8">
        <v>15018413</v>
      </c>
      <c r="H216" s="8">
        <v>802095028</v>
      </c>
      <c r="I216" s="8" t="s">
        <v>343</v>
      </c>
      <c r="J216" s="8" t="s">
        <v>58</v>
      </c>
      <c r="K216" s="8" t="s">
        <v>1300</v>
      </c>
      <c r="L216" s="8" t="s">
        <v>113</v>
      </c>
      <c r="M216" s="8" t="s">
        <v>1727</v>
      </c>
      <c r="N216" s="8" t="s">
        <v>1767</v>
      </c>
      <c r="O216" s="8">
        <v>200</v>
      </c>
      <c r="P216" s="8" t="s">
        <v>303</v>
      </c>
      <c r="Q216" s="8" t="s">
        <v>131</v>
      </c>
      <c r="R216" s="8" t="s">
        <v>185</v>
      </c>
      <c r="S216" s="8">
        <v>0</v>
      </c>
      <c r="T216" s="8" t="s">
        <v>117</v>
      </c>
      <c r="U216" s="8" t="s">
        <v>290</v>
      </c>
      <c r="V216" s="8" t="s">
        <v>118</v>
      </c>
      <c r="W216" s="29"/>
      <c r="X216" s="29"/>
      <c r="Y216" s="29">
        <v>69</v>
      </c>
      <c r="Z216" s="29"/>
      <c r="AA216" s="29" t="s">
        <v>39</v>
      </c>
      <c r="AB216" s="29">
        <v>32</v>
      </c>
      <c r="AC216" s="23" t="str">
        <f t="shared" si="14"/>
        <v>20/08/2020</v>
      </c>
      <c r="AD216" s="23" t="str">
        <f t="shared" si="15"/>
        <v>13/09/2020</v>
      </c>
      <c r="AE216" s="8"/>
      <c r="AF216" s="8"/>
      <c r="AG216" s="8"/>
    </row>
    <row r="217" spans="1:33" hidden="1" x14ac:dyDescent="0.2">
      <c r="A217" s="8">
        <v>2503</v>
      </c>
      <c r="B217" s="16">
        <v>44048</v>
      </c>
      <c r="C217" s="8">
        <v>30012757</v>
      </c>
      <c r="D217" s="8" t="s">
        <v>44</v>
      </c>
      <c r="E217" s="8" t="s">
        <v>341</v>
      </c>
      <c r="F217" s="8" t="s">
        <v>342</v>
      </c>
      <c r="G217" s="8">
        <v>15018414</v>
      </c>
      <c r="H217" s="8">
        <v>802095029</v>
      </c>
      <c r="I217" s="8" t="s">
        <v>344</v>
      </c>
      <c r="J217" s="8" t="s">
        <v>58</v>
      </c>
      <c r="K217" s="8" t="s">
        <v>1300</v>
      </c>
      <c r="L217" s="8" t="s">
        <v>113</v>
      </c>
      <c r="M217" s="8" t="s">
        <v>1727</v>
      </c>
      <c r="N217" s="8" t="s">
        <v>1767</v>
      </c>
      <c r="O217" s="8">
        <v>250</v>
      </c>
      <c r="P217" s="8" t="s">
        <v>303</v>
      </c>
      <c r="Q217" s="8" t="s">
        <v>131</v>
      </c>
      <c r="R217" s="8" t="s">
        <v>185</v>
      </c>
      <c r="S217" s="8">
        <v>0</v>
      </c>
      <c r="T217" s="8" t="s">
        <v>117</v>
      </c>
      <c r="U217" s="8" t="s">
        <v>290</v>
      </c>
      <c r="V217" s="8" t="s">
        <v>118</v>
      </c>
      <c r="W217" s="29"/>
      <c r="X217" s="29"/>
      <c r="Y217" s="29">
        <v>88</v>
      </c>
      <c r="Z217" s="29"/>
      <c r="AA217" s="29" t="s">
        <v>39</v>
      </c>
      <c r="AB217" s="29">
        <v>32</v>
      </c>
      <c r="AC217" s="23" t="str">
        <f t="shared" si="14"/>
        <v>20/08/2020</v>
      </c>
      <c r="AD217" s="23" t="str">
        <f t="shared" si="15"/>
        <v>13/09/2020</v>
      </c>
      <c r="AE217" s="8"/>
      <c r="AF217" s="8"/>
      <c r="AG217" s="8"/>
    </row>
    <row r="218" spans="1:33" hidden="1" x14ac:dyDescent="0.2">
      <c r="A218" s="8">
        <v>2503</v>
      </c>
      <c r="B218" s="16">
        <v>44048</v>
      </c>
      <c r="C218" s="8">
        <v>30012757</v>
      </c>
      <c r="D218" s="8" t="s">
        <v>44</v>
      </c>
      <c r="E218" s="8" t="s">
        <v>341</v>
      </c>
      <c r="F218" s="8" t="s">
        <v>342</v>
      </c>
      <c r="G218" s="8">
        <v>15018415</v>
      </c>
      <c r="H218" s="8">
        <v>802095030</v>
      </c>
      <c r="I218" s="8" t="s">
        <v>345</v>
      </c>
      <c r="J218" s="8" t="s">
        <v>223</v>
      </c>
      <c r="K218" s="8" t="s">
        <v>1300</v>
      </c>
      <c r="L218" s="8" t="s">
        <v>113</v>
      </c>
      <c r="M218" s="8" t="s">
        <v>1727</v>
      </c>
      <c r="N218" s="8" t="s">
        <v>1754</v>
      </c>
      <c r="O218" s="8">
        <v>74.275999999999996</v>
      </c>
      <c r="P218" s="8" t="s">
        <v>303</v>
      </c>
      <c r="Q218" s="8" t="s">
        <v>85</v>
      </c>
      <c r="R218" s="8" t="s">
        <v>194</v>
      </c>
      <c r="S218" s="8">
        <v>0</v>
      </c>
      <c r="T218" s="8" t="s">
        <v>117</v>
      </c>
      <c r="U218" s="8" t="s">
        <v>304</v>
      </c>
      <c r="V218" s="8" t="s">
        <v>118</v>
      </c>
      <c r="W218" s="29"/>
      <c r="X218" s="29"/>
      <c r="Y218" s="29">
        <v>72</v>
      </c>
      <c r="Z218" s="29"/>
      <c r="AA218" s="29" t="s">
        <v>39</v>
      </c>
      <c r="AB218" s="29">
        <v>32</v>
      </c>
      <c r="AC218" s="23" t="str">
        <f t="shared" si="14"/>
        <v>20/08/2020</v>
      </c>
      <c r="AD218" s="23" t="str">
        <f t="shared" si="15"/>
        <v>16/09/2020</v>
      </c>
      <c r="AE218" s="8"/>
      <c r="AF218" s="8"/>
      <c r="AG218" s="8"/>
    </row>
    <row r="219" spans="1:33" hidden="1" x14ac:dyDescent="0.2">
      <c r="A219" s="8">
        <v>2503</v>
      </c>
      <c r="B219" s="16">
        <v>44058</v>
      </c>
      <c r="C219" s="8">
        <v>30012757</v>
      </c>
      <c r="D219" s="8" t="s">
        <v>62</v>
      </c>
      <c r="E219" s="8" t="s">
        <v>212</v>
      </c>
      <c r="F219" s="8" t="s">
        <v>213</v>
      </c>
      <c r="G219" s="8">
        <v>15018429</v>
      </c>
      <c r="H219" s="8">
        <v>802095109</v>
      </c>
      <c r="I219" s="8" t="s">
        <v>337</v>
      </c>
      <c r="J219" s="8" t="s">
        <v>58</v>
      </c>
      <c r="K219" s="8" t="s">
        <v>1300</v>
      </c>
      <c r="L219" s="8" t="s">
        <v>113</v>
      </c>
      <c r="M219" s="8" t="s">
        <v>1727</v>
      </c>
      <c r="N219" s="8" t="s">
        <v>1758</v>
      </c>
      <c r="O219" s="8">
        <v>400</v>
      </c>
      <c r="P219" s="8" t="s">
        <v>303</v>
      </c>
      <c r="Q219" s="8" t="s">
        <v>115</v>
      </c>
      <c r="R219" s="8" t="s">
        <v>338</v>
      </c>
      <c r="S219" s="8">
        <v>0</v>
      </c>
      <c r="T219" s="8" t="s">
        <v>117</v>
      </c>
      <c r="U219" s="8" t="s">
        <v>290</v>
      </c>
      <c r="V219" s="8" t="s">
        <v>118</v>
      </c>
      <c r="W219" s="29"/>
      <c r="X219" s="29"/>
      <c r="Y219" s="29">
        <v>125</v>
      </c>
      <c r="Z219" s="29"/>
      <c r="AA219" s="29" t="s">
        <v>39</v>
      </c>
      <c r="AB219" s="29">
        <v>32</v>
      </c>
      <c r="AC219" s="23" t="str">
        <f t="shared" si="14"/>
        <v>20/08/2020</v>
      </c>
      <c r="AD219" s="23" t="str">
        <f t="shared" si="15"/>
        <v>04/10/2020</v>
      </c>
      <c r="AE219" s="8"/>
      <c r="AF219" s="8"/>
      <c r="AG219" s="8"/>
    </row>
    <row r="220" spans="1:33" hidden="1" x14ac:dyDescent="0.2">
      <c r="A220" s="8">
        <v>2503</v>
      </c>
      <c r="B220" s="16">
        <v>44058</v>
      </c>
      <c r="C220" s="8">
        <v>30012757</v>
      </c>
      <c r="D220" s="8" t="s">
        <v>62</v>
      </c>
      <c r="E220" s="8" t="s">
        <v>212</v>
      </c>
      <c r="F220" s="8" t="s">
        <v>213</v>
      </c>
      <c r="G220" s="8">
        <v>15018430</v>
      </c>
      <c r="H220" s="8">
        <v>802095110</v>
      </c>
      <c r="I220" s="8" t="s">
        <v>339</v>
      </c>
      <c r="J220" s="8" t="s">
        <v>58</v>
      </c>
      <c r="K220" s="8" t="s">
        <v>1300</v>
      </c>
      <c r="L220" s="8" t="s">
        <v>113</v>
      </c>
      <c r="M220" s="8" t="s">
        <v>1727</v>
      </c>
      <c r="N220" s="8" t="s">
        <v>1758</v>
      </c>
      <c r="O220" s="8">
        <v>61.195</v>
      </c>
      <c r="P220" s="8" t="s">
        <v>303</v>
      </c>
      <c r="Q220" s="8" t="s">
        <v>115</v>
      </c>
      <c r="R220" s="8" t="s">
        <v>338</v>
      </c>
      <c r="S220" s="8">
        <v>0</v>
      </c>
      <c r="T220" s="8" t="s">
        <v>117</v>
      </c>
      <c r="U220" s="8" t="s">
        <v>304</v>
      </c>
      <c r="V220" s="8" t="s">
        <v>118</v>
      </c>
      <c r="W220" s="29"/>
      <c r="X220" s="29"/>
      <c r="Y220" s="29">
        <v>25</v>
      </c>
      <c r="Z220" s="29"/>
      <c r="AA220" s="29" t="s">
        <v>39</v>
      </c>
      <c r="AB220" s="29">
        <v>32</v>
      </c>
      <c r="AC220" s="23" t="str">
        <f t="shared" si="14"/>
        <v>20/08/2020</v>
      </c>
      <c r="AD220" s="23" t="str">
        <f t="shared" si="15"/>
        <v>04/10/2020</v>
      </c>
      <c r="AE220" s="8"/>
      <c r="AF220" s="8"/>
      <c r="AG220" s="8"/>
    </row>
    <row r="221" spans="1:33" hidden="1" x14ac:dyDescent="0.2">
      <c r="A221" s="8">
        <v>2503</v>
      </c>
      <c r="B221" s="16">
        <v>44058</v>
      </c>
      <c r="C221" s="8">
        <v>30012757</v>
      </c>
      <c r="D221" s="8" t="s">
        <v>62</v>
      </c>
      <c r="E221" s="8" t="s">
        <v>212</v>
      </c>
      <c r="F221" s="8" t="s">
        <v>213</v>
      </c>
      <c r="G221" s="8">
        <v>15018431</v>
      </c>
      <c r="H221" s="8">
        <v>802095111</v>
      </c>
      <c r="I221" s="8" t="s">
        <v>340</v>
      </c>
      <c r="J221" s="8" t="s">
        <v>58</v>
      </c>
      <c r="K221" s="8" t="s">
        <v>1300</v>
      </c>
      <c r="L221" s="8" t="s">
        <v>113</v>
      </c>
      <c r="M221" s="8" t="s">
        <v>1727</v>
      </c>
      <c r="N221" s="8" t="s">
        <v>1758</v>
      </c>
      <c r="O221" s="8">
        <v>40</v>
      </c>
      <c r="P221" s="8" t="s">
        <v>303</v>
      </c>
      <c r="Q221" s="8" t="s">
        <v>115</v>
      </c>
      <c r="R221" s="8" t="s">
        <v>338</v>
      </c>
      <c r="S221" s="8">
        <v>0</v>
      </c>
      <c r="T221" s="8" t="s">
        <v>117</v>
      </c>
      <c r="U221" s="8" t="s">
        <v>290</v>
      </c>
      <c r="V221" s="8" t="s">
        <v>118</v>
      </c>
      <c r="W221" s="29"/>
      <c r="X221" s="29"/>
      <c r="Y221" s="29">
        <v>10</v>
      </c>
      <c r="Z221" s="29"/>
      <c r="AA221" s="29" t="s">
        <v>39</v>
      </c>
      <c r="AB221" s="29">
        <v>32</v>
      </c>
      <c r="AC221" s="23" t="str">
        <f t="shared" si="14"/>
        <v>20/08/2020</v>
      </c>
      <c r="AD221" s="23" t="str">
        <f t="shared" si="15"/>
        <v>04/10/2020</v>
      </c>
      <c r="AE221" s="8"/>
      <c r="AF221" s="8"/>
      <c r="AG221" s="8"/>
    </row>
    <row r="222" spans="1:33" hidden="1" x14ac:dyDescent="0.2">
      <c r="A222" s="8">
        <v>2503</v>
      </c>
      <c r="B222" s="16">
        <v>44079</v>
      </c>
      <c r="C222" s="8">
        <v>30012757</v>
      </c>
      <c r="D222" s="8" t="s">
        <v>152</v>
      </c>
      <c r="E222" s="8" t="s">
        <v>138</v>
      </c>
      <c r="F222" s="8" t="s">
        <v>265</v>
      </c>
      <c r="G222" s="8">
        <v>15018437</v>
      </c>
      <c r="H222" s="8">
        <v>802095120</v>
      </c>
      <c r="I222" s="8" t="s">
        <v>1383</v>
      </c>
      <c r="J222" s="8" t="s">
        <v>47</v>
      </c>
      <c r="K222" s="8" t="s">
        <v>1300</v>
      </c>
      <c r="L222" s="8" t="s">
        <v>113</v>
      </c>
      <c r="M222" s="8" t="s">
        <v>1727</v>
      </c>
      <c r="N222" s="8" t="s">
        <v>1766</v>
      </c>
      <c r="O222" s="8">
        <v>113.77200000000001</v>
      </c>
      <c r="P222" s="8" t="s">
        <v>303</v>
      </c>
      <c r="Q222" s="8" t="s">
        <v>206</v>
      </c>
      <c r="R222" s="8" t="s">
        <v>266</v>
      </c>
      <c r="S222" s="8">
        <v>0</v>
      </c>
      <c r="T222" s="8" t="s">
        <v>117</v>
      </c>
      <c r="U222" s="8" t="s">
        <v>290</v>
      </c>
      <c r="V222" s="8" t="s">
        <v>118</v>
      </c>
      <c r="W222" s="29"/>
      <c r="X222" s="29"/>
      <c r="Y222" s="29">
        <v>12</v>
      </c>
      <c r="Z222" s="29"/>
      <c r="AA222" s="29" t="s">
        <v>39</v>
      </c>
      <c r="AB222" s="29">
        <v>32</v>
      </c>
      <c r="AC222" s="23" t="str">
        <f t="shared" si="14"/>
        <v>20/08/2020</v>
      </c>
      <c r="AD222" s="23" t="str">
        <f t="shared" si="15"/>
        <v>27/09/2020</v>
      </c>
      <c r="AE222" s="8"/>
      <c r="AF222" s="8"/>
      <c r="AG222" s="8"/>
    </row>
    <row r="223" spans="1:33" hidden="1" x14ac:dyDescent="0.2">
      <c r="A223" s="8">
        <v>2503</v>
      </c>
      <c r="B223" s="16">
        <v>44079</v>
      </c>
      <c r="C223" s="8">
        <v>30012757</v>
      </c>
      <c r="D223" s="8" t="s">
        <v>152</v>
      </c>
      <c r="E223" s="8" t="s">
        <v>138</v>
      </c>
      <c r="F223" s="8" t="s">
        <v>265</v>
      </c>
      <c r="G223" s="8">
        <v>15018438</v>
      </c>
      <c r="H223" s="8">
        <v>802095121</v>
      </c>
      <c r="I223" s="8" t="s">
        <v>533</v>
      </c>
      <c r="J223" s="8" t="s">
        <v>47</v>
      </c>
      <c r="K223" s="8" t="s">
        <v>1300</v>
      </c>
      <c r="L223" s="8" t="s">
        <v>113</v>
      </c>
      <c r="M223" s="8" t="s">
        <v>1727</v>
      </c>
      <c r="N223" s="8" t="s">
        <v>1766</v>
      </c>
      <c r="O223" s="8">
        <v>199.12200000000001</v>
      </c>
      <c r="P223" s="8" t="s">
        <v>303</v>
      </c>
      <c r="Q223" s="8" t="s">
        <v>206</v>
      </c>
      <c r="R223" s="8" t="s">
        <v>266</v>
      </c>
      <c r="S223" s="8">
        <v>0</v>
      </c>
      <c r="T223" s="8" t="s">
        <v>117</v>
      </c>
      <c r="U223" s="8" t="s">
        <v>290</v>
      </c>
      <c r="V223" s="8" t="s">
        <v>118</v>
      </c>
      <c r="W223" s="29"/>
      <c r="X223" s="29"/>
      <c r="Y223" s="29">
        <v>21</v>
      </c>
      <c r="Z223" s="29"/>
      <c r="AA223" s="29" t="s">
        <v>39</v>
      </c>
      <c r="AB223" s="29">
        <v>32</v>
      </c>
      <c r="AC223" s="23" t="str">
        <f t="shared" si="14"/>
        <v>20/08/2020</v>
      </c>
      <c r="AD223" s="23" t="str">
        <f t="shared" si="15"/>
        <v>27/09/2020</v>
      </c>
      <c r="AE223" s="8"/>
      <c r="AF223" s="8"/>
      <c r="AG223" s="8"/>
    </row>
    <row r="224" spans="1:33" hidden="1" x14ac:dyDescent="0.2">
      <c r="A224" s="8">
        <v>2503</v>
      </c>
      <c r="B224" s="16">
        <v>44048</v>
      </c>
      <c r="C224" s="8">
        <v>30012757</v>
      </c>
      <c r="D224" s="8" t="s">
        <v>152</v>
      </c>
      <c r="E224" s="8" t="s">
        <v>138</v>
      </c>
      <c r="F224" s="8" t="s">
        <v>265</v>
      </c>
      <c r="G224" s="8">
        <v>15018482</v>
      </c>
      <c r="H224" s="8">
        <v>802095173</v>
      </c>
      <c r="I224" s="8" t="s">
        <v>1388</v>
      </c>
      <c r="J224" s="8" t="s">
        <v>47</v>
      </c>
      <c r="K224" s="8" t="s">
        <v>1300</v>
      </c>
      <c r="L224" s="8" t="s">
        <v>113</v>
      </c>
      <c r="M224" s="8" t="s">
        <v>1727</v>
      </c>
      <c r="N224" s="8" t="s">
        <v>1766</v>
      </c>
      <c r="O224" s="8">
        <v>50.77</v>
      </c>
      <c r="P224" s="8" t="s">
        <v>303</v>
      </c>
      <c r="Q224" s="8" t="s">
        <v>206</v>
      </c>
      <c r="R224" s="8" t="s">
        <v>266</v>
      </c>
      <c r="S224" s="8">
        <v>0</v>
      </c>
      <c r="T224" s="8" t="s">
        <v>117</v>
      </c>
      <c r="U224" s="8" t="s">
        <v>304</v>
      </c>
      <c r="V224" s="8" t="s">
        <v>118</v>
      </c>
      <c r="W224" s="29"/>
      <c r="X224" s="29"/>
      <c r="Y224" s="29">
        <v>5</v>
      </c>
      <c r="Z224" s="29"/>
      <c r="AA224" s="29" t="s">
        <v>39</v>
      </c>
      <c r="AB224" s="29">
        <v>32</v>
      </c>
      <c r="AC224" s="23" t="str">
        <f t="shared" si="14"/>
        <v>20/08/2020</v>
      </c>
      <c r="AD224" s="23" t="str">
        <f t="shared" si="15"/>
        <v>27/09/2020</v>
      </c>
      <c r="AE224" s="8"/>
      <c r="AF224" s="8"/>
      <c r="AG224" s="8"/>
    </row>
    <row r="225" spans="1:33" x14ac:dyDescent="0.2">
      <c r="A225" s="8">
        <v>2501</v>
      </c>
      <c r="B225" s="16">
        <v>44048</v>
      </c>
      <c r="C225" s="8">
        <v>30012860</v>
      </c>
      <c r="D225" s="8" t="s">
        <v>62</v>
      </c>
      <c r="E225" s="8" t="s">
        <v>324</v>
      </c>
      <c r="F225" s="8" t="s">
        <v>325</v>
      </c>
      <c r="G225" s="8">
        <v>15018214</v>
      </c>
      <c r="H225" s="8">
        <v>802094832</v>
      </c>
      <c r="I225" s="8" t="s">
        <v>31</v>
      </c>
      <c r="J225" s="8" t="s">
        <v>32</v>
      </c>
      <c r="K225" s="8" t="s">
        <v>500</v>
      </c>
      <c r="L225" s="8" t="s">
        <v>1081</v>
      </c>
      <c r="M225" s="8" t="s">
        <v>1720</v>
      </c>
      <c r="N225" s="8" t="s">
        <v>1732</v>
      </c>
      <c r="O225" s="8">
        <v>501.904</v>
      </c>
      <c r="P225" s="8" t="s">
        <v>33</v>
      </c>
      <c r="Q225" s="8" t="s">
        <v>206</v>
      </c>
      <c r="R225" s="8" t="s">
        <v>35</v>
      </c>
      <c r="S225" s="8">
        <v>26</v>
      </c>
      <c r="T225" s="8" t="s">
        <v>140</v>
      </c>
      <c r="U225" s="8" t="s">
        <v>290</v>
      </c>
      <c r="V225" s="8" t="s">
        <v>1702</v>
      </c>
      <c r="W225" s="29" t="s">
        <v>1411</v>
      </c>
      <c r="X225" s="29"/>
      <c r="Y225" s="29">
        <v>494</v>
      </c>
      <c r="Z225" s="29"/>
      <c r="AA225" s="29" t="s">
        <v>39</v>
      </c>
      <c r="AB225" s="29">
        <v>31</v>
      </c>
      <c r="AC225" s="23">
        <v>44061</v>
      </c>
      <c r="AD225" s="23" t="s">
        <v>1711</v>
      </c>
      <c r="AE225" s="8">
        <v>-4</v>
      </c>
      <c r="AF225" s="8">
        <v>-1</v>
      </c>
      <c r="AG225" s="18" t="s">
        <v>1793</v>
      </c>
    </row>
    <row r="226" spans="1:33" hidden="1" x14ac:dyDescent="0.2">
      <c r="A226" s="8">
        <v>2502</v>
      </c>
      <c r="B226" s="16">
        <v>44073</v>
      </c>
      <c r="C226" s="8">
        <v>30012797</v>
      </c>
      <c r="D226" s="8" t="s">
        <v>54</v>
      </c>
      <c r="E226" s="8" t="s">
        <v>879</v>
      </c>
      <c r="F226" s="8" t="s">
        <v>880</v>
      </c>
      <c r="G226" s="8">
        <v>15018294</v>
      </c>
      <c r="H226" s="8">
        <v>802094855</v>
      </c>
      <c r="I226" s="8" t="s">
        <v>883</v>
      </c>
      <c r="J226" s="8" t="s">
        <v>83</v>
      </c>
      <c r="K226" s="8" t="s">
        <v>209</v>
      </c>
      <c r="L226" s="8" t="s">
        <v>1396</v>
      </c>
      <c r="M226" s="8" t="s">
        <v>1725</v>
      </c>
      <c r="N226" s="8" t="s">
        <v>1735</v>
      </c>
      <c r="O226" s="8">
        <v>161.28</v>
      </c>
      <c r="P226" s="8" t="s">
        <v>492</v>
      </c>
      <c r="Q226" s="8" t="s">
        <v>105</v>
      </c>
      <c r="R226" s="8" t="s">
        <v>106</v>
      </c>
      <c r="S226" s="8">
        <v>7</v>
      </c>
      <c r="T226" s="8" t="s">
        <v>87</v>
      </c>
      <c r="U226" s="8" t="s">
        <v>290</v>
      </c>
      <c r="V226" s="8" t="s">
        <v>1699</v>
      </c>
      <c r="W226" s="29" t="s">
        <v>1397</v>
      </c>
      <c r="X226" s="29"/>
      <c r="Y226" s="29">
        <v>168</v>
      </c>
      <c r="Z226" s="29" t="s">
        <v>1398</v>
      </c>
      <c r="AA226" s="29" t="s">
        <v>39</v>
      </c>
      <c r="AB226" s="29">
        <v>31</v>
      </c>
      <c r="AC226" s="23" t="s">
        <v>1741</v>
      </c>
      <c r="AD226" s="23" t="s">
        <v>1729</v>
      </c>
      <c r="AE226" s="8">
        <v>-2</v>
      </c>
      <c r="AF226" s="8">
        <v>-1</v>
      </c>
      <c r="AG226" s="8" t="s">
        <v>1789</v>
      </c>
    </row>
    <row r="227" spans="1:33" hidden="1" x14ac:dyDescent="0.2">
      <c r="A227" s="8">
        <v>2504</v>
      </c>
      <c r="B227" s="16">
        <v>44073</v>
      </c>
      <c r="C227" s="8">
        <v>30012836</v>
      </c>
      <c r="D227" s="8" t="s">
        <v>74</v>
      </c>
      <c r="E227" s="8" t="s">
        <v>75</v>
      </c>
      <c r="F227" s="8" t="s">
        <v>966</v>
      </c>
      <c r="G227" s="8">
        <v>15018456</v>
      </c>
      <c r="H227" s="8">
        <v>802095135</v>
      </c>
      <c r="I227" s="8" t="s">
        <v>77</v>
      </c>
      <c r="J227" s="8" t="s">
        <v>32</v>
      </c>
      <c r="K227" s="8" t="s">
        <v>1268</v>
      </c>
      <c r="L227" s="8" t="s">
        <v>1269</v>
      </c>
      <c r="M227" s="8" t="s">
        <v>1742</v>
      </c>
      <c r="N227" s="8" t="s">
        <v>1726</v>
      </c>
      <c r="O227" s="8">
        <v>496.8</v>
      </c>
      <c r="P227" s="8" t="s">
        <v>48</v>
      </c>
      <c r="Q227" s="8" t="s">
        <v>149</v>
      </c>
      <c r="R227" s="8" t="s">
        <v>150</v>
      </c>
      <c r="S227" s="8">
        <v>20</v>
      </c>
      <c r="T227" s="8" t="s">
        <v>36</v>
      </c>
      <c r="U227" s="8" t="s">
        <v>1692</v>
      </c>
      <c r="V227" s="8" t="s">
        <v>65</v>
      </c>
      <c r="W227" s="29" t="s">
        <v>1273</v>
      </c>
      <c r="X227" s="29"/>
      <c r="Y227" s="29">
        <v>480</v>
      </c>
      <c r="Z227" s="29"/>
      <c r="AA227" s="29" t="s">
        <v>39</v>
      </c>
      <c r="AB227" s="29">
        <v>31</v>
      </c>
      <c r="AC227" s="23" t="str">
        <f>M227</f>
        <v>19/08/2020</v>
      </c>
      <c r="AD227" s="23" t="str">
        <f>N227</f>
        <v>05/10/2020</v>
      </c>
      <c r="AE227" s="8"/>
      <c r="AF227" s="8"/>
      <c r="AG227" s="8"/>
    </row>
    <row r="228" spans="1:33" hidden="1" x14ac:dyDescent="0.2">
      <c r="A228" s="8">
        <v>2504</v>
      </c>
      <c r="B228" s="16">
        <v>44073</v>
      </c>
      <c r="C228" s="8">
        <v>30012834</v>
      </c>
      <c r="D228" s="8" t="s">
        <v>74</v>
      </c>
      <c r="E228" s="8" t="s">
        <v>75</v>
      </c>
      <c r="F228" s="8" t="s">
        <v>966</v>
      </c>
      <c r="G228" s="8">
        <v>15018451</v>
      </c>
      <c r="H228" s="8">
        <v>802095130</v>
      </c>
      <c r="I228" s="8" t="s">
        <v>77</v>
      </c>
      <c r="J228" s="8" t="s">
        <v>32</v>
      </c>
      <c r="K228" s="8" t="s">
        <v>1693</v>
      </c>
      <c r="L228" s="8" t="s">
        <v>1403</v>
      </c>
      <c r="M228" s="8" t="s">
        <v>1709</v>
      </c>
      <c r="N228" s="8" t="s">
        <v>1768</v>
      </c>
      <c r="O228" s="8">
        <v>496.8</v>
      </c>
      <c r="P228" s="8" t="s">
        <v>48</v>
      </c>
      <c r="Q228" s="8" t="s">
        <v>149</v>
      </c>
      <c r="R228" s="8" t="s">
        <v>150</v>
      </c>
      <c r="S228" s="8">
        <v>20</v>
      </c>
      <c r="T228" s="8" t="s">
        <v>36</v>
      </c>
      <c r="U228" s="8" t="s">
        <v>1694</v>
      </c>
      <c r="V228" s="8" t="s">
        <v>1718</v>
      </c>
      <c r="W228" s="29" t="s">
        <v>1404</v>
      </c>
      <c r="X228" s="29"/>
      <c r="Y228" s="29">
        <v>480</v>
      </c>
      <c r="Z228" s="29"/>
      <c r="AA228" s="29" t="s">
        <v>39</v>
      </c>
      <c r="AB228" s="29">
        <v>31</v>
      </c>
      <c r="AC228" s="23" t="str">
        <f>M228</f>
        <v>21/08/2020</v>
      </c>
      <c r="AD228" s="23" t="str">
        <f>N228</f>
        <v>20/10/2020</v>
      </c>
      <c r="AE228" s="8"/>
      <c r="AF228" s="8"/>
      <c r="AG228" s="8"/>
    </row>
    <row r="229" spans="1:33" x14ac:dyDescent="0.2">
      <c r="A229" s="8">
        <v>2501</v>
      </c>
      <c r="B229" s="16">
        <v>44074</v>
      </c>
      <c r="C229" s="8">
        <v>30012782</v>
      </c>
      <c r="D229" s="8" t="s">
        <v>365</v>
      </c>
      <c r="E229" s="8" t="s">
        <v>366</v>
      </c>
      <c r="F229" s="8" t="s">
        <v>367</v>
      </c>
      <c r="G229" s="8">
        <v>15018273</v>
      </c>
      <c r="H229" s="8">
        <v>802094846</v>
      </c>
      <c r="I229" s="8" t="s">
        <v>520</v>
      </c>
      <c r="J229" s="8" t="s">
        <v>58</v>
      </c>
      <c r="K229" s="8" t="s">
        <v>247</v>
      </c>
      <c r="L229" s="8" t="s">
        <v>1485</v>
      </c>
      <c r="M229" s="8" t="s">
        <v>1770</v>
      </c>
      <c r="N229" s="8" t="s">
        <v>1747</v>
      </c>
      <c r="O229" s="8">
        <v>95.48</v>
      </c>
      <c r="P229" s="8" t="s">
        <v>33</v>
      </c>
      <c r="Q229" s="8" t="s">
        <v>1705</v>
      </c>
      <c r="R229" s="8" t="s">
        <v>368</v>
      </c>
      <c r="S229" s="8">
        <v>4</v>
      </c>
      <c r="T229" s="8" t="s">
        <v>61</v>
      </c>
      <c r="U229" s="8" t="s">
        <v>290</v>
      </c>
      <c r="V229" s="8" t="s">
        <v>1706</v>
      </c>
      <c r="W229" s="29" t="s">
        <v>1486</v>
      </c>
      <c r="X229" s="29"/>
      <c r="Y229" s="29">
        <v>40</v>
      </c>
      <c r="Z229" s="29" t="s">
        <v>1487</v>
      </c>
      <c r="AA229" s="29" t="s">
        <v>39</v>
      </c>
      <c r="AB229" s="29">
        <v>31</v>
      </c>
      <c r="AC229" s="23" t="s">
        <v>1770</v>
      </c>
      <c r="AD229" s="23" t="s">
        <v>1746</v>
      </c>
      <c r="AE229" s="8">
        <v>0</v>
      </c>
      <c r="AF229" s="8">
        <v>1</v>
      </c>
      <c r="AG229" s="8"/>
    </row>
    <row r="230" spans="1:33" hidden="1" x14ac:dyDescent="0.2">
      <c r="A230" s="8">
        <v>2522</v>
      </c>
      <c r="B230" s="16">
        <v>44063</v>
      </c>
      <c r="C230" s="8">
        <v>30012861</v>
      </c>
      <c r="D230" s="8" t="s">
        <v>178</v>
      </c>
      <c r="E230" s="8" t="s">
        <v>186</v>
      </c>
      <c r="F230" s="8" t="s">
        <v>187</v>
      </c>
      <c r="G230" s="8">
        <v>15018353</v>
      </c>
      <c r="H230" s="8">
        <v>802094996</v>
      </c>
      <c r="I230" s="8" t="s">
        <v>188</v>
      </c>
      <c r="J230" s="8" t="s">
        <v>95</v>
      </c>
      <c r="K230" s="8" t="s">
        <v>1415</v>
      </c>
      <c r="L230" s="8" t="s">
        <v>1269</v>
      </c>
      <c r="M230" s="8" t="s">
        <v>1725</v>
      </c>
      <c r="N230" s="8" t="s">
        <v>1753</v>
      </c>
      <c r="O230" s="8">
        <v>167.43299999999999</v>
      </c>
      <c r="P230" s="8" t="s">
        <v>492</v>
      </c>
      <c r="Q230" s="8" t="s">
        <v>131</v>
      </c>
      <c r="R230" s="8" t="s">
        <v>189</v>
      </c>
      <c r="S230" s="8">
        <v>7</v>
      </c>
      <c r="T230" s="8" t="s">
        <v>87</v>
      </c>
      <c r="U230" s="8" t="s">
        <v>290</v>
      </c>
      <c r="V230" s="8" t="s">
        <v>65</v>
      </c>
      <c r="W230" s="29" t="s">
        <v>1416</v>
      </c>
      <c r="X230" s="29"/>
      <c r="Y230" s="29">
        <v>119</v>
      </c>
      <c r="Z230" s="29"/>
      <c r="AA230" s="29" t="s">
        <v>190</v>
      </c>
      <c r="AB230" s="29">
        <v>31</v>
      </c>
      <c r="AC230" s="23" t="s">
        <v>1725</v>
      </c>
      <c r="AD230" s="23" t="s">
        <v>1753</v>
      </c>
      <c r="AE230" s="8">
        <v>0</v>
      </c>
      <c r="AF230" s="8">
        <v>0</v>
      </c>
      <c r="AG230" s="8" t="s">
        <v>1790</v>
      </c>
    </row>
    <row r="231" spans="1:33" hidden="1" x14ac:dyDescent="0.2">
      <c r="A231" s="8">
        <v>2522</v>
      </c>
      <c r="B231" s="16">
        <v>44058</v>
      </c>
      <c r="C231" s="8">
        <v>30012861</v>
      </c>
      <c r="D231" s="8" t="s">
        <v>178</v>
      </c>
      <c r="E231" s="8" t="s">
        <v>179</v>
      </c>
      <c r="F231" s="8" t="s">
        <v>180</v>
      </c>
      <c r="G231" s="8">
        <v>15018359</v>
      </c>
      <c r="H231" s="8">
        <v>802094919</v>
      </c>
      <c r="I231" s="8" t="s">
        <v>181</v>
      </c>
      <c r="J231" s="8" t="s">
        <v>95</v>
      </c>
      <c r="K231" s="8" t="s">
        <v>1415</v>
      </c>
      <c r="L231" s="8" t="s">
        <v>1269</v>
      </c>
      <c r="M231" s="8" t="s">
        <v>1725</v>
      </c>
      <c r="N231" s="8" t="s">
        <v>1754</v>
      </c>
      <c r="O231" s="8">
        <v>263.72500000000002</v>
      </c>
      <c r="P231" s="8" t="s">
        <v>492</v>
      </c>
      <c r="Q231" s="8" t="s">
        <v>182</v>
      </c>
      <c r="R231" s="8" t="s">
        <v>183</v>
      </c>
      <c r="S231" s="8">
        <v>11</v>
      </c>
      <c r="T231" s="8" t="s">
        <v>87</v>
      </c>
      <c r="U231" s="8" t="s">
        <v>290</v>
      </c>
      <c r="V231" s="8" t="s">
        <v>65</v>
      </c>
      <c r="W231" s="29" t="s">
        <v>1419</v>
      </c>
      <c r="X231" s="29"/>
      <c r="Y231" s="29">
        <v>275</v>
      </c>
      <c r="Z231" s="29"/>
      <c r="AA231" s="29" t="s">
        <v>184</v>
      </c>
      <c r="AB231" s="29">
        <v>31</v>
      </c>
      <c r="AC231" s="23" t="s">
        <v>1725</v>
      </c>
      <c r="AD231" s="23" t="s">
        <v>1743</v>
      </c>
      <c r="AE231" s="8">
        <v>0</v>
      </c>
      <c r="AF231" s="8">
        <v>9</v>
      </c>
      <c r="AG231" s="8" t="s">
        <v>1790</v>
      </c>
    </row>
    <row r="232" spans="1:33" hidden="1" x14ac:dyDescent="0.2">
      <c r="A232" s="8">
        <v>2522</v>
      </c>
      <c r="B232" s="16">
        <v>44058</v>
      </c>
      <c r="C232" s="8">
        <v>30012861</v>
      </c>
      <c r="D232" s="8" t="s">
        <v>178</v>
      </c>
      <c r="E232" s="8" t="s">
        <v>179</v>
      </c>
      <c r="F232" s="8" t="s">
        <v>180</v>
      </c>
      <c r="G232" s="8">
        <v>15018360</v>
      </c>
      <c r="H232" s="8">
        <v>802094920</v>
      </c>
      <c r="I232" s="8" t="s">
        <v>181</v>
      </c>
      <c r="J232" s="8" t="s">
        <v>95</v>
      </c>
      <c r="K232" s="8" t="s">
        <v>1415</v>
      </c>
      <c r="L232" s="8" t="s">
        <v>1269</v>
      </c>
      <c r="M232" s="8" t="s">
        <v>1725</v>
      </c>
      <c r="N232" s="8" t="s">
        <v>1753</v>
      </c>
      <c r="O232" s="8">
        <v>119.875</v>
      </c>
      <c r="P232" s="8" t="s">
        <v>492</v>
      </c>
      <c r="Q232" s="8" t="s">
        <v>131</v>
      </c>
      <c r="R232" s="8" t="s">
        <v>185</v>
      </c>
      <c r="S232" s="8">
        <v>5</v>
      </c>
      <c r="T232" s="8" t="s">
        <v>87</v>
      </c>
      <c r="U232" s="8" t="s">
        <v>290</v>
      </c>
      <c r="V232" s="8" t="s">
        <v>65</v>
      </c>
      <c r="W232" s="29" t="s">
        <v>1422</v>
      </c>
      <c r="X232" s="29"/>
      <c r="Y232" s="29">
        <v>125</v>
      </c>
      <c r="Z232" s="29"/>
      <c r="AA232" s="29" t="s">
        <v>184</v>
      </c>
      <c r="AB232" s="29">
        <v>31</v>
      </c>
      <c r="AC232" s="23" t="s">
        <v>1725</v>
      </c>
      <c r="AD232" s="23" t="s">
        <v>1753</v>
      </c>
      <c r="AE232" s="8">
        <v>0</v>
      </c>
      <c r="AF232" s="8">
        <v>0</v>
      </c>
      <c r="AG232" s="8" t="s">
        <v>1790</v>
      </c>
    </row>
    <row r="233" spans="1:33" hidden="1" x14ac:dyDescent="0.2">
      <c r="A233" s="8">
        <v>2504</v>
      </c>
      <c r="B233" s="16">
        <v>44073</v>
      </c>
      <c r="C233" s="8">
        <v>30012834</v>
      </c>
      <c r="D233" s="8" t="s">
        <v>74</v>
      </c>
      <c r="E233" s="8" t="s">
        <v>75</v>
      </c>
      <c r="F233" s="8" t="s">
        <v>966</v>
      </c>
      <c r="G233" s="8">
        <v>15018452</v>
      </c>
      <c r="H233" s="8">
        <v>802095131</v>
      </c>
      <c r="I233" s="8" t="s">
        <v>77</v>
      </c>
      <c r="J233" s="8" t="s">
        <v>32</v>
      </c>
      <c r="K233" s="8" t="s">
        <v>1693</v>
      </c>
      <c r="L233" s="8" t="s">
        <v>1403</v>
      </c>
      <c r="M233" s="8" t="s">
        <v>1709</v>
      </c>
      <c r="N233" s="8" t="s">
        <v>1768</v>
      </c>
      <c r="O233" s="8">
        <v>496.8</v>
      </c>
      <c r="P233" s="8" t="s">
        <v>48</v>
      </c>
      <c r="Q233" s="8" t="s">
        <v>149</v>
      </c>
      <c r="R233" s="8" t="s">
        <v>150</v>
      </c>
      <c r="S233" s="8">
        <v>20</v>
      </c>
      <c r="T233" s="8" t="s">
        <v>36</v>
      </c>
      <c r="U233" s="8" t="s">
        <v>1694</v>
      </c>
      <c r="V233" s="8" t="s">
        <v>1718</v>
      </c>
      <c r="W233" s="29" t="s">
        <v>1407</v>
      </c>
      <c r="X233" s="29"/>
      <c r="Y233" s="29">
        <v>480</v>
      </c>
      <c r="Z233" s="29"/>
      <c r="AA233" s="29" t="s">
        <v>39</v>
      </c>
      <c r="AB233" s="29">
        <v>31</v>
      </c>
      <c r="AC233" s="23" t="str">
        <f t="shared" ref="AC233:AD240" si="16">M233</f>
        <v>21/08/2020</v>
      </c>
      <c r="AD233" s="23" t="str">
        <f t="shared" si="16"/>
        <v>20/10/2020</v>
      </c>
      <c r="AE233" s="8"/>
      <c r="AF233" s="8"/>
      <c r="AG233" s="8"/>
    </row>
    <row r="234" spans="1:33" hidden="1" x14ac:dyDescent="0.2">
      <c r="A234" s="8">
        <v>2504</v>
      </c>
      <c r="B234" s="16">
        <v>44058</v>
      </c>
      <c r="C234" s="8">
        <v>30012811</v>
      </c>
      <c r="D234" s="8" t="s">
        <v>28</v>
      </c>
      <c r="E234" s="8" t="s">
        <v>280</v>
      </c>
      <c r="F234" s="8" t="s">
        <v>352</v>
      </c>
      <c r="G234" s="8">
        <v>15018238</v>
      </c>
      <c r="H234" s="8">
        <v>802094751</v>
      </c>
      <c r="I234" s="8" t="s">
        <v>77</v>
      </c>
      <c r="J234" s="8" t="s">
        <v>32</v>
      </c>
      <c r="K234" s="8" t="s">
        <v>1426</v>
      </c>
      <c r="L234" s="8" t="s">
        <v>1269</v>
      </c>
      <c r="M234" s="8" t="s">
        <v>1720</v>
      </c>
      <c r="N234" s="8" t="s">
        <v>1755</v>
      </c>
      <c r="O234" s="8">
        <v>496.8</v>
      </c>
      <c r="P234" s="8" t="s">
        <v>48</v>
      </c>
      <c r="Q234" s="8" t="s">
        <v>353</v>
      </c>
      <c r="R234" s="8" t="s">
        <v>354</v>
      </c>
      <c r="S234" s="8">
        <v>20</v>
      </c>
      <c r="T234" s="8" t="s">
        <v>36</v>
      </c>
      <c r="U234" s="8" t="s">
        <v>290</v>
      </c>
      <c r="V234" s="8" t="s">
        <v>1699</v>
      </c>
      <c r="W234" s="29" t="s">
        <v>1427</v>
      </c>
      <c r="X234" s="29"/>
      <c r="Y234" s="29">
        <v>480</v>
      </c>
      <c r="Z234" s="29"/>
      <c r="AA234" s="29" t="s">
        <v>39</v>
      </c>
      <c r="AB234" s="29">
        <v>31</v>
      </c>
      <c r="AC234" s="23" t="str">
        <f t="shared" si="16"/>
        <v>22/08/2020</v>
      </c>
      <c r="AD234" s="23" t="str">
        <f t="shared" si="16"/>
        <v>23/09/2020</v>
      </c>
      <c r="AE234" s="8"/>
      <c r="AF234" s="8"/>
      <c r="AG234" s="8"/>
    </row>
    <row r="235" spans="1:33" hidden="1" x14ac:dyDescent="0.2">
      <c r="A235" s="8">
        <v>2504</v>
      </c>
      <c r="B235" s="16">
        <v>44058</v>
      </c>
      <c r="C235" s="8">
        <v>30012811</v>
      </c>
      <c r="D235" s="8" t="s">
        <v>28</v>
      </c>
      <c r="E235" s="8" t="s">
        <v>280</v>
      </c>
      <c r="F235" s="8" t="s">
        <v>352</v>
      </c>
      <c r="G235" s="8">
        <v>15018239</v>
      </c>
      <c r="H235" s="8">
        <v>802094752</v>
      </c>
      <c r="I235" s="8" t="s">
        <v>77</v>
      </c>
      <c r="J235" s="8" t="s">
        <v>32</v>
      </c>
      <c r="K235" s="8" t="s">
        <v>1426</v>
      </c>
      <c r="L235" s="8" t="s">
        <v>1269</v>
      </c>
      <c r="M235" s="8" t="s">
        <v>1720</v>
      </c>
      <c r="N235" s="8" t="s">
        <v>1755</v>
      </c>
      <c r="O235" s="8">
        <v>496.8</v>
      </c>
      <c r="P235" s="8" t="s">
        <v>48</v>
      </c>
      <c r="Q235" s="8" t="s">
        <v>353</v>
      </c>
      <c r="R235" s="8" t="s">
        <v>354</v>
      </c>
      <c r="S235" s="8">
        <v>20</v>
      </c>
      <c r="T235" s="8" t="s">
        <v>36</v>
      </c>
      <c r="U235" s="8" t="s">
        <v>290</v>
      </c>
      <c r="V235" s="8" t="s">
        <v>1699</v>
      </c>
      <c r="W235" s="29" t="s">
        <v>1430</v>
      </c>
      <c r="X235" s="29"/>
      <c r="Y235" s="29">
        <v>480</v>
      </c>
      <c r="Z235" s="29"/>
      <c r="AA235" s="29" t="s">
        <v>39</v>
      </c>
      <c r="AB235" s="29">
        <v>31</v>
      </c>
      <c r="AC235" s="23" t="str">
        <f t="shared" si="16"/>
        <v>22/08/2020</v>
      </c>
      <c r="AD235" s="23" t="str">
        <f t="shared" si="16"/>
        <v>23/09/2020</v>
      </c>
      <c r="AE235" s="8"/>
      <c r="AF235" s="8"/>
      <c r="AG235" s="8"/>
    </row>
    <row r="236" spans="1:33" hidden="1" x14ac:dyDescent="0.2">
      <c r="A236" s="8">
        <v>2504</v>
      </c>
      <c r="B236" s="16">
        <v>44063</v>
      </c>
      <c r="C236" s="8">
        <v>30012819</v>
      </c>
      <c r="D236" s="8" t="s">
        <v>62</v>
      </c>
      <c r="E236" s="8" t="s">
        <v>217</v>
      </c>
      <c r="F236" s="8" t="s">
        <v>218</v>
      </c>
      <c r="G236" s="8">
        <v>15018225</v>
      </c>
      <c r="H236" s="8">
        <v>802094746</v>
      </c>
      <c r="I236" s="8" t="s">
        <v>77</v>
      </c>
      <c r="J236" s="8" t="s">
        <v>32</v>
      </c>
      <c r="K236" s="8" t="s">
        <v>430</v>
      </c>
      <c r="L236" s="8" t="s">
        <v>1434</v>
      </c>
      <c r="M236" s="8" t="s">
        <v>1720</v>
      </c>
      <c r="N236" s="8" t="s">
        <v>1755</v>
      </c>
      <c r="O236" s="8">
        <v>496.8</v>
      </c>
      <c r="P236" s="8" t="s">
        <v>48</v>
      </c>
      <c r="Q236" s="8" t="s">
        <v>206</v>
      </c>
      <c r="R236" s="8" t="s">
        <v>35</v>
      </c>
      <c r="S236" s="8">
        <v>20</v>
      </c>
      <c r="T236" s="8" t="s">
        <v>36</v>
      </c>
      <c r="U236" s="8" t="s">
        <v>290</v>
      </c>
      <c r="V236" s="8" t="s">
        <v>1706</v>
      </c>
      <c r="W236" s="29" t="s">
        <v>1435</v>
      </c>
      <c r="X236" s="29"/>
      <c r="Y236" s="29">
        <v>480</v>
      </c>
      <c r="Z236" s="29"/>
      <c r="AA236" s="29" t="s">
        <v>39</v>
      </c>
      <c r="AB236" s="29">
        <v>31</v>
      </c>
      <c r="AC236" s="23" t="str">
        <f t="shared" si="16"/>
        <v>22/08/2020</v>
      </c>
      <c r="AD236" s="23" t="str">
        <f t="shared" si="16"/>
        <v>23/09/2020</v>
      </c>
      <c r="AE236" s="8"/>
      <c r="AF236" s="8"/>
      <c r="AG236" s="8"/>
    </row>
    <row r="237" spans="1:33" hidden="1" x14ac:dyDescent="0.2">
      <c r="A237" s="8">
        <v>2504</v>
      </c>
      <c r="B237" s="16">
        <v>44063</v>
      </c>
      <c r="C237" s="8">
        <v>30012819</v>
      </c>
      <c r="D237" s="8" t="s">
        <v>62</v>
      </c>
      <c r="E237" s="8" t="s">
        <v>217</v>
      </c>
      <c r="F237" s="8" t="s">
        <v>218</v>
      </c>
      <c r="G237" s="8">
        <v>15018226</v>
      </c>
      <c r="H237" s="8">
        <v>802094747</v>
      </c>
      <c r="I237" s="8" t="s">
        <v>77</v>
      </c>
      <c r="J237" s="8" t="s">
        <v>32</v>
      </c>
      <c r="K237" s="8" t="s">
        <v>430</v>
      </c>
      <c r="L237" s="8" t="s">
        <v>1434</v>
      </c>
      <c r="M237" s="8" t="s">
        <v>1720</v>
      </c>
      <c r="N237" s="8" t="s">
        <v>1755</v>
      </c>
      <c r="O237" s="8">
        <v>496.8</v>
      </c>
      <c r="P237" s="8" t="s">
        <v>48</v>
      </c>
      <c r="Q237" s="8" t="s">
        <v>206</v>
      </c>
      <c r="R237" s="8" t="s">
        <v>35</v>
      </c>
      <c r="S237" s="8">
        <v>20</v>
      </c>
      <c r="T237" s="8" t="s">
        <v>36</v>
      </c>
      <c r="U237" s="8" t="s">
        <v>290</v>
      </c>
      <c r="V237" s="8" t="s">
        <v>1706</v>
      </c>
      <c r="W237" s="29" t="s">
        <v>1438</v>
      </c>
      <c r="X237" s="29"/>
      <c r="Y237" s="29">
        <v>480</v>
      </c>
      <c r="Z237" s="29"/>
      <c r="AA237" s="29" t="s">
        <v>39</v>
      </c>
      <c r="AB237" s="29">
        <v>31</v>
      </c>
      <c r="AC237" s="23" t="str">
        <f t="shared" si="16"/>
        <v>22/08/2020</v>
      </c>
      <c r="AD237" s="23" t="str">
        <f t="shared" si="16"/>
        <v>23/09/2020</v>
      </c>
      <c r="AE237" s="8"/>
      <c r="AF237" s="8"/>
      <c r="AG237" s="8"/>
    </row>
    <row r="238" spans="1:33" hidden="1" x14ac:dyDescent="0.2">
      <c r="A238" s="8">
        <v>2504</v>
      </c>
      <c r="B238" s="16">
        <v>44048</v>
      </c>
      <c r="C238" s="8">
        <v>30012819</v>
      </c>
      <c r="D238" s="8" t="s">
        <v>44</v>
      </c>
      <c r="E238" s="8" t="s">
        <v>45</v>
      </c>
      <c r="F238" s="8" t="s">
        <v>299</v>
      </c>
      <c r="G238" s="8">
        <v>15018264</v>
      </c>
      <c r="H238" s="8">
        <v>802094845</v>
      </c>
      <c r="I238" s="8" t="s">
        <v>567</v>
      </c>
      <c r="J238" s="8" t="s">
        <v>58</v>
      </c>
      <c r="K238" s="8" t="s">
        <v>430</v>
      </c>
      <c r="L238" s="8" t="s">
        <v>1434</v>
      </c>
      <c r="M238" s="8" t="s">
        <v>1720</v>
      </c>
      <c r="N238" s="8" t="s">
        <v>1769</v>
      </c>
      <c r="O238" s="8">
        <v>80.72</v>
      </c>
      <c r="P238" s="8" t="s">
        <v>48</v>
      </c>
      <c r="Q238" s="8" t="s">
        <v>85</v>
      </c>
      <c r="R238" s="8" t="s">
        <v>301</v>
      </c>
      <c r="S238" s="8">
        <v>4</v>
      </c>
      <c r="T238" s="8" t="s">
        <v>42</v>
      </c>
      <c r="U238" s="8" t="s">
        <v>290</v>
      </c>
      <c r="V238" s="8" t="s">
        <v>1706</v>
      </c>
      <c r="W238" s="29" t="s">
        <v>1441</v>
      </c>
      <c r="X238" s="29"/>
      <c r="Y238" s="29">
        <v>40</v>
      </c>
      <c r="Z238" s="29" t="s">
        <v>53</v>
      </c>
      <c r="AA238" s="29" t="s">
        <v>39</v>
      </c>
      <c r="AB238" s="29">
        <v>31</v>
      </c>
      <c r="AC238" s="23" t="str">
        <f t="shared" si="16"/>
        <v>22/08/2020</v>
      </c>
      <c r="AD238" s="23" t="str">
        <f t="shared" si="16"/>
        <v>22/09/2020</v>
      </c>
      <c r="AE238" s="8"/>
      <c r="AF238" s="8"/>
      <c r="AG238" s="8"/>
    </row>
    <row r="239" spans="1:33" hidden="1" x14ac:dyDescent="0.2">
      <c r="A239" s="8">
        <v>2504</v>
      </c>
      <c r="B239" s="16">
        <v>44074</v>
      </c>
      <c r="C239" s="8">
        <v>30012825</v>
      </c>
      <c r="D239" s="8" t="s">
        <v>91</v>
      </c>
      <c r="E239" s="8" t="s">
        <v>569</v>
      </c>
      <c r="F239" s="8" t="s">
        <v>570</v>
      </c>
      <c r="G239" s="8">
        <v>15018263</v>
      </c>
      <c r="H239" s="8">
        <v>802094844</v>
      </c>
      <c r="I239" s="8" t="s">
        <v>571</v>
      </c>
      <c r="J239" s="8" t="s">
        <v>58</v>
      </c>
      <c r="K239" s="8" t="s">
        <v>515</v>
      </c>
      <c r="L239" s="8" t="s">
        <v>753</v>
      </c>
      <c r="M239" s="8" t="s">
        <v>1720</v>
      </c>
      <c r="N239" s="8" t="s">
        <v>1735</v>
      </c>
      <c r="O239" s="8">
        <v>122.4</v>
      </c>
      <c r="P239" s="8" t="s">
        <v>48</v>
      </c>
      <c r="Q239" s="8" t="s">
        <v>131</v>
      </c>
      <c r="R239" s="8" t="s">
        <v>132</v>
      </c>
      <c r="S239" s="8">
        <v>5</v>
      </c>
      <c r="T239" s="8" t="s">
        <v>36</v>
      </c>
      <c r="U239" s="8" t="s">
        <v>290</v>
      </c>
      <c r="V239" s="8" t="s">
        <v>155</v>
      </c>
      <c r="W239" s="29" t="s">
        <v>1445</v>
      </c>
      <c r="X239" s="29"/>
      <c r="Y239" s="29">
        <v>60</v>
      </c>
      <c r="Z239" s="29" t="s">
        <v>53</v>
      </c>
      <c r="AA239" s="29" t="s">
        <v>39</v>
      </c>
      <c r="AB239" s="29">
        <v>31</v>
      </c>
      <c r="AC239" s="23" t="str">
        <f t="shared" si="16"/>
        <v>22/08/2020</v>
      </c>
      <c r="AD239" s="23" t="str">
        <f t="shared" si="16"/>
        <v>05/09/2020</v>
      </c>
      <c r="AE239" s="8"/>
      <c r="AF239" s="8"/>
      <c r="AG239" s="8"/>
    </row>
    <row r="240" spans="1:33" hidden="1" x14ac:dyDescent="0.2">
      <c r="A240" s="8">
        <v>2504</v>
      </c>
      <c r="B240" s="16">
        <v>44073</v>
      </c>
      <c r="C240" s="8">
        <v>30012832</v>
      </c>
      <c r="D240" s="8" t="s">
        <v>91</v>
      </c>
      <c r="E240" s="8" t="s">
        <v>347</v>
      </c>
      <c r="F240" s="8" t="s">
        <v>348</v>
      </c>
      <c r="G240" s="8">
        <v>15017737</v>
      </c>
      <c r="H240" s="8">
        <v>802094723</v>
      </c>
      <c r="I240" s="8" t="s">
        <v>349</v>
      </c>
      <c r="J240" s="8" t="s">
        <v>58</v>
      </c>
      <c r="K240" s="8" t="s">
        <v>430</v>
      </c>
      <c r="L240" s="8" t="s">
        <v>1434</v>
      </c>
      <c r="M240" s="8" t="s">
        <v>1720</v>
      </c>
      <c r="N240" s="8" t="s">
        <v>1717</v>
      </c>
      <c r="O240" s="8">
        <v>102.124</v>
      </c>
      <c r="P240" s="8" t="s">
        <v>48</v>
      </c>
      <c r="Q240" s="8" t="s">
        <v>100</v>
      </c>
      <c r="R240" s="8" t="s">
        <v>101</v>
      </c>
      <c r="S240" s="8">
        <v>4</v>
      </c>
      <c r="T240" s="8" t="s">
        <v>72</v>
      </c>
      <c r="U240" s="8" t="s">
        <v>290</v>
      </c>
      <c r="V240" s="8" t="s">
        <v>155</v>
      </c>
      <c r="W240" s="29" t="s">
        <v>1452</v>
      </c>
      <c r="X240" s="29"/>
      <c r="Y240" s="29">
        <v>44</v>
      </c>
      <c r="Z240" s="29" t="s">
        <v>1453</v>
      </c>
      <c r="AA240" s="29" t="s">
        <v>39</v>
      </c>
      <c r="AB240" s="29">
        <v>31</v>
      </c>
      <c r="AC240" s="23" t="str">
        <f t="shared" si="16"/>
        <v>22/08/2020</v>
      </c>
      <c r="AD240" s="23" t="str">
        <f t="shared" si="16"/>
        <v>11/09/2020</v>
      </c>
      <c r="AE240" s="8"/>
      <c r="AF240" s="8"/>
      <c r="AG240" s="8"/>
    </row>
    <row r="241" spans="1:33" x14ac:dyDescent="0.2">
      <c r="A241" s="8">
        <v>2501</v>
      </c>
      <c r="B241" s="16">
        <v>44074</v>
      </c>
      <c r="C241" s="8">
        <v>30012782</v>
      </c>
      <c r="D241" s="8" t="s">
        <v>54</v>
      </c>
      <c r="E241" s="8" t="s">
        <v>55</v>
      </c>
      <c r="F241" s="8" t="s">
        <v>56</v>
      </c>
      <c r="G241" s="8">
        <v>15018296</v>
      </c>
      <c r="H241" s="8">
        <v>802094857</v>
      </c>
      <c r="I241" s="8" t="s">
        <v>57</v>
      </c>
      <c r="J241" s="8" t="s">
        <v>58</v>
      </c>
      <c r="K241" s="8" t="s">
        <v>247</v>
      </c>
      <c r="L241" s="8" t="s">
        <v>1485</v>
      </c>
      <c r="M241" s="8" t="s">
        <v>1770</v>
      </c>
      <c r="N241" s="8" t="s">
        <v>1747</v>
      </c>
      <c r="O241" s="8">
        <v>186.8</v>
      </c>
      <c r="P241" s="8" t="s">
        <v>33</v>
      </c>
      <c r="Q241" s="8" t="s">
        <v>1705</v>
      </c>
      <c r="R241" s="8" t="s">
        <v>60</v>
      </c>
      <c r="S241" s="8">
        <v>8</v>
      </c>
      <c r="T241" s="8" t="s">
        <v>61</v>
      </c>
      <c r="U241" s="8" t="s">
        <v>290</v>
      </c>
      <c r="V241" s="8" t="s">
        <v>1706</v>
      </c>
      <c r="W241" s="29" t="s">
        <v>1490</v>
      </c>
      <c r="X241" s="29"/>
      <c r="Y241" s="29">
        <v>80</v>
      </c>
      <c r="Z241" s="29" t="s">
        <v>1492</v>
      </c>
      <c r="AA241" s="29" t="s">
        <v>39</v>
      </c>
      <c r="AB241" s="29">
        <v>31</v>
      </c>
      <c r="AC241" s="23" t="s">
        <v>1770</v>
      </c>
      <c r="AD241" s="23" t="s">
        <v>1746</v>
      </c>
      <c r="AE241" s="8">
        <v>0</v>
      </c>
      <c r="AF241" s="8">
        <v>1</v>
      </c>
      <c r="AG241" s="8"/>
    </row>
    <row r="242" spans="1:33" x14ac:dyDescent="0.2">
      <c r="A242" s="8">
        <v>2501</v>
      </c>
      <c r="B242" s="16">
        <v>44048</v>
      </c>
      <c r="C242" s="8">
        <v>30012770</v>
      </c>
      <c r="D242" s="8" t="s">
        <v>62</v>
      </c>
      <c r="E242" s="8" t="s">
        <v>324</v>
      </c>
      <c r="F242" s="8" t="s">
        <v>325</v>
      </c>
      <c r="G242" s="8">
        <v>15018213</v>
      </c>
      <c r="H242" s="8">
        <v>802094831</v>
      </c>
      <c r="I242" s="8" t="s">
        <v>31</v>
      </c>
      <c r="J242" s="8" t="s">
        <v>32</v>
      </c>
      <c r="K242" s="8" t="s">
        <v>494</v>
      </c>
      <c r="L242" s="8" t="s">
        <v>1152</v>
      </c>
      <c r="M242" s="8" t="s">
        <v>1770</v>
      </c>
      <c r="N242" s="8" t="s">
        <v>1717</v>
      </c>
      <c r="O242" s="8">
        <v>501.904</v>
      </c>
      <c r="P242" s="8" t="s">
        <v>33</v>
      </c>
      <c r="Q242" s="8" t="s">
        <v>206</v>
      </c>
      <c r="R242" s="8" t="s">
        <v>35</v>
      </c>
      <c r="S242" s="8">
        <v>26</v>
      </c>
      <c r="T242" s="8" t="s">
        <v>140</v>
      </c>
      <c r="U242" s="8" t="s">
        <v>290</v>
      </c>
      <c r="V242" s="8" t="s">
        <v>65</v>
      </c>
      <c r="W242" s="29" t="s">
        <v>1475</v>
      </c>
      <c r="X242" s="29"/>
      <c r="Y242" s="29">
        <v>494</v>
      </c>
      <c r="Z242" s="29"/>
      <c r="AA242" s="29" t="s">
        <v>39</v>
      </c>
      <c r="AB242" s="29">
        <v>31</v>
      </c>
      <c r="AC242" s="23">
        <v>44066</v>
      </c>
      <c r="AD242" s="23" t="s">
        <v>1717</v>
      </c>
      <c r="AE242" s="8">
        <v>0</v>
      </c>
      <c r="AF242" s="8">
        <v>0</v>
      </c>
      <c r="AG242" s="8"/>
    </row>
    <row r="243" spans="1:33" x14ac:dyDescent="0.2">
      <c r="A243" s="8">
        <v>2501</v>
      </c>
      <c r="B243" s="16">
        <v>44060</v>
      </c>
      <c r="C243" s="8">
        <v>30012770</v>
      </c>
      <c r="D243" s="8" t="s">
        <v>28</v>
      </c>
      <c r="E243" s="8" t="s">
        <v>40</v>
      </c>
      <c r="F243" s="8" t="s">
        <v>41</v>
      </c>
      <c r="G243" s="8">
        <v>15018216</v>
      </c>
      <c r="H243" s="8">
        <v>802094834</v>
      </c>
      <c r="I243" s="8" t="s">
        <v>31</v>
      </c>
      <c r="J243" s="8" t="s">
        <v>32</v>
      </c>
      <c r="K243" s="8" t="s">
        <v>494</v>
      </c>
      <c r="L243" s="8" t="s">
        <v>1152</v>
      </c>
      <c r="M243" s="8" t="s">
        <v>1770</v>
      </c>
      <c r="N243" s="8" t="s">
        <v>1717</v>
      </c>
      <c r="O243" s="8">
        <v>304.8</v>
      </c>
      <c r="P243" s="8" t="s">
        <v>33</v>
      </c>
      <c r="Q243" s="8" t="s">
        <v>206</v>
      </c>
      <c r="R243" s="8" t="s">
        <v>35</v>
      </c>
      <c r="S243" s="8">
        <v>15</v>
      </c>
      <c r="T243" s="8" t="s">
        <v>42</v>
      </c>
      <c r="U243" s="8" t="s">
        <v>290</v>
      </c>
      <c r="V243" s="8" t="s">
        <v>65</v>
      </c>
      <c r="W243" s="29" t="s">
        <v>1478</v>
      </c>
      <c r="X243" s="29"/>
      <c r="Y243" s="29">
        <v>300</v>
      </c>
      <c r="Z243" s="29"/>
      <c r="AA243" s="29" t="s">
        <v>39</v>
      </c>
      <c r="AB243" s="29">
        <v>31</v>
      </c>
      <c r="AC243" s="23">
        <v>44066</v>
      </c>
      <c r="AD243" s="23" t="s">
        <v>1717</v>
      </c>
      <c r="AE243" s="8">
        <v>0</v>
      </c>
      <c r="AF243" s="8">
        <v>0</v>
      </c>
      <c r="AG243" s="8"/>
    </row>
    <row r="244" spans="1:33" x14ac:dyDescent="0.2">
      <c r="A244" s="8">
        <v>2501</v>
      </c>
      <c r="B244" s="16">
        <v>44068</v>
      </c>
      <c r="C244" s="8">
        <v>30012770</v>
      </c>
      <c r="D244" s="8" t="s">
        <v>62</v>
      </c>
      <c r="E244" s="8" t="s">
        <v>217</v>
      </c>
      <c r="F244" s="8" t="s">
        <v>218</v>
      </c>
      <c r="G244" s="8">
        <v>15018221</v>
      </c>
      <c r="H244" s="8">
        <v>802094838</v>
      </c>
      <c r="I244" s="8" t="s">
        <v>31</v>
      </c>
      <c r="J244" s="8" t="s">
        <v>32</v>
      </c>
      <c r="K244" s="8" t="s">
        <v>494</v>
      </c>
      <c r="L244" s="8" t="s">
        <v>1152</v>
      </c>
      <c r="M244" s="8" t="s">
        <v>1770</v>
      </c>
      <c r="N244" s="8" t="s">
        <v>1717</v>
      </c>
      <c r="O244" s="8">
        <v>487.68</v>
      </c>
      <c r="P244" s="8" t="s">
        <v>33</v>
      </c>
      <c r="Q244" s="8" t="s">
        <v>206</v>
      </c>
      <c r="R244" s="8" t="s">
        <v>35</v>
      </c>
      <c r="S244" s="8">
        <v>20</v>
      </c>
      <c r="T244" s="8" t="s">
        <v>36</v>
      </c>
      <c r="U244" s="8" t="s">
        <v>290</v>
      </c>
      <c r="V244" s="8" t="s">
        <v>65</v>
      </c>
      <c r="W244" s="29" t="s">
        <v>1481</v>
      </c>
      <c r="X244" s="29"/>
      <c r="Y244" s="29">
        <v>480</v>
      </c>
      <c r="Z244" s="29"/>
      <c r="AA244" s="29" t="s">
        <v>39</v>
      </c>
      <c r="AB244" s="29">
        <v>31</v>
      </c>
      <c r="AC244" s="23">
        <v>44066</v>
      </c>
      <c r="AD244" s="23" t="s">
        <v>1717</v>
      </c>
      <c r="AE244" s="8">
        <v>0</v>
      </c>
      <c r="AF244" s="8">
        <v>0</v>
      </c>
      <c r="AG244" s="8"/>
    </row>
    <row r="245" spans="1:33" x14ac:dyDescent="0.2">
      <c r="A245" s="8">
        <v>2501</v>
      </c>
      <c r="B245" s="16">
        <v>44073</v>
      </c>
      <c r="C245" s="8">
        <v>30012766</v>
      </c>
      <c r="D245" s="8" t="s">
        <v>74</v>
      </c>
      <c r="E245" s="8" t="s">
        <v>207</v>
      </c>
      <c r="F245" s="8" t="s">
        <v>208</v>
      </c>
      <c r="G245" s="8">
        <v>15018186</v>
      </c>
      <c r="H245" s="8">
        <v>802094827</v>
      </c>
      <c r="I245" s="8" t="s">
        <v>211</v>
      </c>
      <c r="J245" s="8" t="s">
        <v>58</v>
      </c>
      <c r="K245" s="8" t="s">
        <v>727</v>
      </c>
      <c r="L245" s="8" t="s">
        <v>1269</v>
      </c>
      <c r="M245" s="8" t="s">
        <v>1721</v>
      </c>
      <c r="N245" s="8" t="s">
        <v>1765</v>
      </c>
      <c r="O245" s="8">
        <v>51.326000000000001</v>
      </c>
      <c r="P245" s="8" t="s">
        <v>33</v>
      </c>
      <c r="Q245" s="8" t="s">
        <v>210</v>
      </c>
      <c r="R245" s="8" t="s">
        <v>364</v>
      </c>
      <c r="S245" s="8">
        <v>2</v>
      </c>
      <c r="T245" s="8" t="s">
        <v>72</v>
      </c>
      <c r="U245" s="8" t="s">
        <v>290</v>
      </c>
      <c r="V245" s="8" t="s">
        <v>65</v>
      </c>
      <c r="W245" s="29" t="s">
        <v>1465</v>
      </c>
      <c r="X245" s="29"/>
      <c r="Y245" s="29">
        <v>22</v>
      </c>
      <c r="Z245" s="29" t="s">
        <v>1466</v>
      </c>
      <c r="AA245" s="29" t="s">
        <v>39</v>
      </c>
      <c r="AB245" s="29">
        <v>31</v>
      </c>
      <c r="AC245" s="23" t="s">
        <v>1721</v>
      </c>
      <c r="AD245" s="23" t="s">
        <v>1765</v>
      </c>
      <c r="AE245" s="8">
        <v>0</v>
      </c>
      <c r="AF245" s="8">
        <v>0</v>
      </c>
      <c r="AG245" s="8"/>
    </row>
    <row r="246" spans="1:33" x14ac:dyDescent="0.2">
      <c r="A246" s="8">
        <v>2501</v>
      </c>
      <c r="B246" s="16">
        <v>44073</v>
      </c>
      <c r="C246" s="8">
        <v>30012766</v>
      </c>
      <c r="D246" s="8" t="s">
        <v>74</v>
      </c>
      <c r="E246" s="8" t="s">
        <v>207</v>
      </c>
      <c r="F246" s="8" t="s">
        <v>208</v>
      </c>
      <c r="G246" s="8">
        <v>15018492</v>
      </c>
      <c r="H246" s="8">
        <v>802095179</v>
      </c>
      <c r="I246" s="8" t="s">
        <v>1469</v>
      </c>
      <c r="J246" s="8" t="s">
        <v>58</v>
      </c>
      <c r="K246" s="8" t="s">
        <v>727</v>
      </c>
      <c r="L246" s="8" t="s">
        <v>1269</v>
      </c>
      <c r="M246" s="8" t="s">
        <v>1721</v>
      </c>
      <c r="N246" s="8" t="s">
        <v>1765</v>
      </c>
      <c r="O246" s="8">
        <v>51.34</v>
      </c>
      <c r="P246" s="8" t="s">
        <v>33</v>
      </c>
      <c r="Q246" s="8" t="s">
        <v>210</v>
      </c>
      <c r="R246" s="8" t="s">
        <v>364</v>
      </c>
      <c r="S246" s="8">
        <v>2</v>
      </c>
      <c r="T246" s="8" t="s">
        <v>72</v>
      </c>
      <c r="U246" s="8" t="s">
        <v>290</v>
      </c>
      <c r="V246" s="8" t="s">
        <v>65</v>
      </c>
      <c r="W246" s="29" t="s">
        <v>1470</v>
      </c>
      <c r="X246" s="29"/>
      <c r="Y246" s="29">
        <v>20</v>
      </c>
      <c r="Z246" s="29" t="s">
        <v>1471</v>
      </c>
      <c r="AA246" s="29" t="s">
        <v>39</v>
      </c>
      <c r="AB246" s="29">
        <v>31</v>
      </c>
      <c r="AC246" s="23" t="s">
        <v>1721</v>
      </c>
      <c r="AD246" s="23" t="s">
        <v>1765</v>
      </c>
      <c r="AE246" s="8">
        <v>0</v>
      </c>
      <c r="AF246" s="8">
        <v>0</v>
      </c>
      <c r="AG246" s="8"/>
    </row>
    <row r="247" spans="1:33" x14ac:dyDescent="0.2">
      <c r="A247" s="8">
        <v>2501</v>
      </c>
      <c r="B247" s="16">
        <v>44073</v>
      </c>
      <c r="C247" s="8">
        <v>30012858</v>
      </c>
      <c r="D247" s="8" t="s">
        <v>28</v>
      </c>
      <c r="E247" s="8" t="s">
        <v>129</v>
      </c>
      <c r="F247" s="8" t="s">
        <v>358</v>
      </c>
      <c r="G247" s="8">
        <v>15018331</v>
      </c>
      <c r="H247" s="8">
        <v>802094896</v>
      </c>
      <c r="I247" s="8" t="s">
        <v>359</v>
      </c>
      <c r="J247" s="8" t="s">
        <v>58</v>
      </c>
      <c r="K247" s="8" t="s">
        <v>1556</v>
      </c>
      <c r="L247" s="8" t="s">
        <v>1557</v>
      </c>
      <c r="M247" s="8" t="s">
        <v>1721</v>
      </c>
      <c r="N247" s="8" t="s">
        <v>1733</v>
      </c>
      <c r="O247" s="8">
        <v>153.714</v>
      </c>
      <c r="P247" s="8" t="s">
        <v>33</v>
      </c>
      <c r="Q247" s="8" t="s">
        <v>263</v>
      </c>
      <c r="R247" s="8" t="s">
        <v>360</v>
      </c>
      <c r="S247" s="8">
        <v>6</v>
      </c>
      <c r="T247" s="8" t="s">
        <v>72</v>
      </c>
      <c r="U247" s="8" t="s">
        <v>290</v>
      </c>
      <c r="V247" s="8" t="s">
        <v>88</v>
      </c>
      <c r="W247" s="29" t="s">
        <v>1558</v>
      </c>
      <c r="X247" s="29"/>
      <c r="Y247" s="29">
        <v>66</v>
      </c>
      <c r="Z247" s="29" t="s">
        <v>1559</v>
      </c>
      <c r="AA247" s="29" t="s">
        <v>39</v>
      </c>
      <c r="AB247" s="29">
        <v>31</v>
      </c>
      <c r="AC247" s="23" t="s">
        <v>1721</v>
      </c>
      <c r="AD247" s="23" t="s">
        <v>1743</v>
      </c>
      <c r="AE247" s="8">
        <v>0</v>
      </c>
      <c r="AF247" s="8">
        <v>1</v>
      </c>
      <c r="AG247" s="8"/>
    </row>
    <row r="248" spans="1:33" x14ac:dyDescent="0.2">
      <c r="A248" s="8">
        <v>2501</v>
      </c>
      <c r="B248" s="16">
        <v>44073</v>
      </c>
      <c r="C248" s="8">
        <v>30012858</v>
      </c>
      <c r="D248" s="8" t="s">
        <v>28</v>
      </c>
      <c r="E248" s="8" t="s">
        <v>129</v>
      </c>
      <c r="F248" s="8" t="s">
        <v>358</v>
      </c>
      <c r="G248" s="8">
        <v>15018333</v>
      </c>
      <c r="H248" s="8">
        <v>802094898</v>
      </c>
      <c r="I248" s="8" t="s">
        <v>361</v>
      </c>
      <c r="J248" s="8" t="s">
        <v>58</v>
      </c>
      <c r="K248" s="8" t="s">
        <v>1556</v>
      </c>
      <c r="L248" s="8" t="s">
        <v>1557</v>
      </c>
      <c r="M248" s="8" t="s">
        <v>1721</v>
      </c>
      <c r="N248" s="8" t="s">
        <v>1733</v>
      </c>
      <c r="O248" s="8">
        <v>104.72</v>
      </c>
      <c r="P248" s="8" t="s">
        <v>33</v>
      </c>
      <c r="Q248" s="8" t="s">
        <v>263</v>
      </c>
      <c r="R248" s="8" t="s">
        <v>360</v>
      </c>
      <c r="S248" s="8">
        <v>4</v>
      </c>
      <c r="T248" s="8" t="s">
        <v>362</v>
      </c>
      <c r="U248" s="8" t="s">
        <v>290</v>
      </c>
      <c r="V248" s="8" t="s">
        <v>88</v>
      </c>
      <c r="W248" s="29" t="s">
        <v>1562</v>
      </c>
      <c r="X248" s="29"/>
      <c r="Y248" s="29">
        <v>44</v>
      </c>
      <c r="Z248" s="29" t="s">
        <v>1559</v>
      </c>
      <c r="AA248" s="29" t="s">
        <v>39</v>
      </c>
      <c r="AB248" s="29">
        <v>31</v>
      </c>
      <c r="AC248" s="23" t="s">
        <v>1721</v>
      </c>
      <c r="AD248" s="23" t="s">
        <v>1743</v>
      </c>
      <c r="AE248" s="8">
        <v>0</v>
      </c>
      <c r="AF248" s="8">
        <v>1</v>
      </c>
      <c r="AG248" s="8"/>
    </row>
    <row r="249" spans="1:33" hidden="1" x14ac:dyDescent="0.2">
      <c r="A249" s="8">
        <v>2504</v>
      </c>
      <c r="B249" s="16">
        <v>44063</v>
      </c>
      <c r="C249" s="8">
        <v>30012832</v>
      </c>
      <c r="D249" s="8" t="s">
        <v>102</v>
      </c>
      <c r="E249" s="8" t="s">
        <v>398</v>
      </c>
      <c r="F249" s="8" t="s">
        <v>399</v>
      </c>
      <c r="G249" s="8">
        <v>15018261</v>
      </c>
      <c r="H249" s="8">
        <v>802094843</v>
      </c>
      <c r="I249" s="8" t="s">
        <v>400</v>
      </c>
      <c r="J249" s="8" t="s">
        <v>58</v>
      </c>
      <c r="K249" s="8" t="s">
        <v>430</v>
      </c>
      <c r="L249" s="8" t="s">
        <v>1434</v>
      </c>
      <c r="M249" s="8" t="s">
        <v>1720</v>
      </c>
      <c r="N249" s="8" t="s">
        <v>1767</v>
      </c>
      <c r="O249" s="8">
        <v>76.88</v>
      </c>
      <c r="P249" s="8" t="s">
        <v>48</v>
      </c>
      <c r="Q249" s="8" t="s">
        <v>401</v>
      </c>
      <c r="R249" s="8" t="s">
        <v>402</v>
      </c>
      <c r="S249" s="8">
        <v>4</v>
      </c>
      <c r="T249" s="8" t="s">
        <v>140</v>
      </c>
      <c r="U249" s="8" t="s">
        <v>290</v>
      </c>
      <c r="V249" s="8" t="s">
        <v>155</v>
      </c>
      <c r="W249" s="29" t="s">
        <v>1456</v>
      </c>
      <c r="X249" s="29"/>
      <c r="Y249" s="29">
        <v>40</v>
      </c>
      <c r="Z249" s="29" t="s">
        <v>1457</v>
      </c>
      <c r="AA249" s="29" t="s">
        <v>39</v>
      </c>
      <c r="AB249" s="29">
        <v>31</v>
      </c>
      <c r="AC249" s="23" t="str">
        <f t="shared" ref="AC249:AD251" si="17">M249</f>
        <v>22/08/2020</v>
      </c>
      <c r="AD249" s="23" t="str">
        <f t="shared" si="17"/>
        <v>13/09/2020</v>
      </c>
      <c r="AE249" s="8"/>
      <c r="AF249" s="8"/>
      <c r="AG249" s="8"/>
    </row>
    <row r="250" spans="1:33" hidden="1" x14ac:dyDescent="0.2">
      <c r="A250" s="8">
        <v>2504</v>
      </c>
      <c r="B250" s="16">
        <v>44058</v>
      </c>
      <c r="C250" s="8">
        <v>30012826</v>
      </c>
      <c r="D250" s="8" t="s">
        <v>66</v>
      </c>
      <c r="E250" s="8" t="s">
        <v>67</v>
      </c>
      <c r="F250" s="8" t="s">
        <v>68</v>
      </c>
      <c r="G250" s="8">
        <v>15018366</v>
      </c>
      <c r="H250" s="8">
        <v>802094926</v>
      </c>
      <c r="I250" s="8" t="s">
        <v>69</v>
      </c>
      <c r="J250" s="8" t="s">
        <v>58</v>
      </c>
      <c r="K250" s="8" t="s">
        <v>1496</v>
      </c>
      <c r="L250" s="8" t="s">
        <v>1497</v>
      </c>
      <c r="M250" s="8" t="s">
        <v>1770</v>
      </c>
      <c r="N250" s="8" t="s">
        <v>1759</v>
      </c>
      <c r="O250" s="8">
        <v>52</v>
      </c>
      <c r="P250" s="8" t="s">
        <v>48</v>
      </c>
      <c r="Q250" s="8" t="s">
        <v>70</v>
      </c>
      <c r="R250" s="8" t="s">
        <v>71</v>
      </c>
      <c r="S250" s="8">
        <v>2</v>
      </c>
      <c r="T250" s="8" t="s">
        <v>72</v>
      </c>
      <c r="U250" s="8" t="s">
        <v>290</v>
      </c>
      <c r="V250" s="8" t="s">
        <v>1718</v>
      </c>
      <c r="W250" s="29" t="s">
        <v>1498</v>
      </c>
      <c r="X250" s="29"/>
      <c r="Y250" s="29">
        <v>23</v>
      </c>
      <c r="Z250" s="29" t="s">
        <v>53</v>
      </c>
      <c r="AA250" s="29" t="s">
        <v>39</v>
      </c>
      <c r="AB250" s="29">
        <v>31</v>
      </c>
      <c r="AC250" s="23" t="str">
        <f t="shared" si="17"/>
        <v>23/08/2020</v>
      </c>
      <c r="AD250" s="23" t="str">
        <f t="shared" si="17"/>
        <v>09/10/2020</v>
      </c>
      <c r="AE250" s="8"/>
      <c r="AF250" s="8"/>
      <c r="AG250" s="8"/>
    </row>
    <row r="251" spans="1:33" hidden="1" x14ac:dyDescent="0.2">
      <c r="A251" s="8">
        <v>2504</v>
      </c>
      <c r="B251" s="16">
        <v>44068</v>
      </c>
      <c r="C251" s="8">
        <v>30012833</v>
      </c>
      <c r="D251" s="8" t="s">
        <v>91</v>
      </c>
      <c r="E251" s="8" t="s">
        <v>350</v>
      </c>
      <c r="F251" s="8" t="s">
        <v>351</v>
      </c>
      <c r="G251" s="8">
        <v>15018162</v>
      </c>
      <c r="H251" s="8">
        <v>802094726</v>
      </c>
      <c r="I251" s="8" t="s">
        <v>1502</v>
      </c>
      <c r="J251" s="8" t="s">
        <v>58</v>
      </c>
      <c r="K251" s="8" t="s">
        <v>1415</v>
      </c>
      <c r="L251" s="8" t="s">
        <v>1269</v>
      </c>
      <c r="M251" s="8" t="s">
        <v>1770</v>
      </c>
      <c r="N251" s="8" t="s">
        <v>1769</v>
      </c>
      <c r="O251" s="8">
        <v>50.74</v>
      </c>
      <c r="P251" s="8" t="s">
        <v>48</v>
      </c>
      <c r="Q251" s="8" t="s">
        <v>100</v>
      </c>
      <c r="R251" s="8" t="s">
        <v>101</v>
      </c>
      <c r="S251" s="8">
        <v>2</v>
      </c>
      <c r="T251" s="8" t="s">
        <v>72</v>
      </c>
      <c r="U251" s="8" t="s">
        <v>290</v>
      </c>
      <c r="V251" s="8" t="s">
        <v>65</v>
      </c>
      <c r="W251" s="29" t="s">
        <v>1503</v>
      </c>
      <c r="X251" s="29"/>
      <c r="Y251" s="29">
        <v>20</v>
      </c>
      <c r="Z251" s="29" t="s">
        <v>53</v>
      </c>
      <c r="AA251" s="29" t="s">
        <v>39</v>
      </c>
      <c r="AB251" s="29">
        <v>31</v>
      </c>
      <c r="AC251" s="23" t="str">
        <f t="shared" si="17"/>
        <v>23/08/2020</v>
      </c>
      <c r="AD251" s="23" t="str">
        <f t="shared" si="17"/>
        <v>22/09/2020</v>
      </c>
      <c r="AE251" s="8"/>
      <c r="AF251" s="8"/>
      <c r="AG251" s="8"/>
    </row>
    <row r="252" spans="1:33" hidden="1" x14ac:dyDescent="0.2">
      <c r="A252" s="8">
        <v>2502</v>
      </c>
      <c r="B252" s="16">
        <v>44073</v>
      </c>
      <c r="C252" s="8">
        <v>30012784</v>
      </c>
      <c r="D252" s="8" t="s">
        <v>54</v>
      </c>
      <c r="E252" s="8" t="s">
        <v>879</v>
      </c>
      <c r="F252" s="8" t="s">
        <v>880</v>
      </c>
      <c r="G252" s="8">
        <v>15018295</v>
      </c>
      <c r="H252" s="8">
        <v>802094856</v>
      </c>
      <c r="I252" s="8" t="s">
        <v>883</v>
      </c>
      <c r="J252" s="8" t="s">
        <v>83</v>
      </c>
      <c r="K252" s="8" t="s">
        <v>727</v>
      </c>
      <c r="L252" s="8" t="s">
        <v>1269</v>
      </c>
      <c r="M252" s="8" t="s">
        <v>1737</v>
      </c>
      <c r="N252" s="8" t="s">
        <v>1749</v>
      </c>
      <c r="O252" s="8">
        <v>161.28</v>
      </c>
      <c r="P252" s="8" t="s">
        <v>492</v>
      </c>
      <c r="Q252" s="8" t="s">
        <v>105</v>
      </c>
      <c r="R252" s="8" t="s">
        <v>106</v>
      </c>
      <c r="S252" s="8">
        <v>7</v>
      </c>
      <c r="T252" s="8" t="s">
        <v>87</v>
      </c>
      <c r="U252" s="8" t="s">
        <v>290</v>
      </c>
      <c r="V252" s="8" t="s">
        <v>1699</v>
      </c>
      <c r="W252" s="29" t="s">
        <v>1511</v>
      </c>
      <c r="X252" s="29"/>
      <c r="Y252" s="29">
        <v>168</v>
      </c>
      <c r="Z252" s="29" t="s">
        <v>1512</v>
      </c>
      <c r="AA252" s="29" t="s">
        <v>39</v>
      </c>
      <c r="AB252" s="29">
        <v>31</v>
      </c>
      <c r="AC252" s="23">
        <v>44076</v>
      </c>
      <c r="AD252" s="23" t="s">
        <v>1787</v>
      </c>
      <c r="AE252" s="8">
        <v>2</v>
      </c>
      <c r="AF252" s="8">
        <v>0</v>
      </c>
      <c r="AG252" s="8" t="s">
        <v>1789</v>
      </c>
    </row>
    <row r="253" spans="1:33" hidden="1" x14ac:dyDescent="0.2">
      <c r="A253" s="8">
        <v>2504</v>
      </c>
      <c r="B253" s="16">
        <v>44068</v>
      </c>
      <c r="C253" s="8">
        <v>30012833</v>
      </c>
      <c r="D253" s="8" t="s">
        <v>91</v>
      </c>
      <c r="E253" s="8" t="s">
        <v>350</v>
      </c>
      <c r="F253" s="8" t="s">
        <v>351</v>
      </c>
      <c r="G253" s="8">
        <v>15018163</v>
      </c>
      <c r="H253" s="8">
        <v>802094727</v>
      </c>
      <c r="I253" s="8" t="s">
        <v>1506</v>
      </c>
      <c r="J253" s="8" t="s">
        <v>58</v>
      </c>
      <c r="K253" s="8" t="s">
        <v>1415</v>
      </c>
      <c r="L253" s="8" t="s">
        <v>1269</v>
      </c>
      <c r="M253" s="8" t="s">
        <v>1770</v>
      </c>
      <c r="N253" s="8" t="s">
        <v>1769</v>
      </c>
      <c r="O253" s="8">
        <v>51.061999999999998</v>
      </c>
      <c r="P253" s="8" t="s">
        <v>48</v>
      </c>
      <c r="Q253" s="8" t="s">
        <v>100</v>
      </c>
      <c r="R253" s="8" t="s">
        <v>101</v>
      </c>
      <c r="S253" s="8">
        <v>2</v>
      </c>
      <c r="T253" s="8" t="s">
        <v>72</v>
      </c>
      <c r="U253" s="8" t="s">
        <v>290</v>
      </c>
      <c r="V253" s="8" t="s">
        <v>65</v>
      </c>
      <c r="W253" s="29" t="s">
        <v>1507</v>
      </c>
      <c r="X253" s="29"/>
      <c r="Y253" s="29">
        <v>22</v>
      </c>
      <c r="Z253" s="29" t="s">
        <v>53</v>
      </c>
      <c r="AA253" s="29" t="s">
        <v>39</v>
      </c>
      <c r="AB253" s="29">
        <v>31</v>
      </c>
      <c r="AC253" s="23" t="str">
        <f>M253</f>
        <v>23/08/2020</v>
      </c>
      <c r="AD253" s="23" t="str">
        <f>N253</f>
        <v>22/09/2020</v>
      </c>
      <c r="AE253" s="8"/>
      <c r="AF253" s="8"/>
      <c r="AG253" s="8"/>
    </row>
    <row r="254" spans="1:33" x14ac:dyDescent="0.2">
      <c r="A254" s="8">
        <v>2501</v>
      </c>
      <c r="B254" s="16">
        <v>44073</v>
      </c>
      <c r="C254" s="8">
        <v>30012858</v>
      </c>
      <c r="D254" s="8" t="s">
        <v>66</v>
      </c>
      <c r="E254" s="8" t="s">
        <v>261</v>
      </c>
      <c r="F254" s="8" t="s">
        <v>262</v>
      </c>
      <c r="G254" s="8">
        <v>15018503</v>
      </c>
      <c r="H254" s="8">
        <v>802095188</v>
      </c>
      <c r="I254" s="8" t="s">
        <v>520</v>
      </c>
      <c r="J254" s="8" t="s">
        <v>58</v>
      </c>
      <c r="K254" s="8" t="s">
        <v>1556</v>
      </c>
      <c r="L254" s="8" t="s">
        <v>1557</v>
      </c>
      <c r="M254" s="8" t="s">
        <v>1721</v>
      </c>
      <c r="N254" s="8" t="s">
        <v>1733</v>
      </c>
      <c r="O254" s="8">
        <v>52.514000000000003</v>
      </c>
      <c r="P254" s="8" t="s">
        <v>33</v>
      </c>
      <c r="Q254" s="8" t="s">
        <v>263</v>
      </c>
      <c r="R254" s="8" t="s">
        <v>264</v>
      </c>
      <c r="S254" s="8">
        <v>2</v>
      </c>
      <c r="T254" s="8" t="s">
        <v>362</v>
      </c>
      <c r="U254" s="8" t="s">
        <v>290</v>
      </c>
      <c r="V254" s="8" t="s">
        <v>88</v>
      </c>
      <c r="W254" s="29" t="s">
        <v>1565</v>
      </c>
      <c r="X254" s="29"/>
      <c r="Y254" s="29">
        <v>22</v>
      </c>
      <c r="Z254" s="29" t="s">
        <v>1566</v>
      </c>
      <c r="AA254" s="29" t="s">
        <v>39</v>
      </c>
      <c r="AB254" s="29">
        <v>31</v>
      </c>
      <c r="AC254" s="23" t="s">
        <v>1721</v>
      </c>
      <c r="AD254" s="23" t="s">
        <v>1743</v>
      </c>
      <c r="AE254" s="8">
        <v>0</v>
      </c>
      <c r="AF254" s="8">
        <v>1</v>
      </c>
      <c r="AG254" s="8"/>
    </row>
    <row r="255" spans="1:33" hidden="1" x14ac:dyDescent="0.2">
      <c r="A255" s="8">
        <v>2504</v>
      </c>
      <c r="B255" s="16">
        <v>44068</v>
      </c>
      <c r="C255" s="8">
        <v>30012820</v>
      </c>
      <c r="D255" s="8" t="s">
        <v>62</v>
      </c>
      <c r="E255" s="8" t="s">
        <v>217</v>
      </c>
      <c r="F255" s="8" t="s">
        <v>218</v>
      </c>
      <c r="G255" s="8">
        <v>15018229</v>
      </c>
      <c r="H255" s="8">
        <v>802094750</v>
      </c>
      <c r="I255" s="8" t="s">
        <v>77</v>
      </c>
      <c r="J255" s="8" t="s">
        <v>32</v>
      </c>
      <c r="K255" s="8" t="s">
        <v>574</v>
      </c>
      <c r="L255" s="8" t="s">
        <v>1516</v>
      </c>
      <c r="M255" s="8" t="s">
        <v>1741</v>
      </c>
      <c r="N255" s="8" t="s">
        <v>1766</v>
      </c>
      <c r="O255" s="8">
        <v>496.8</v>
      </c>
      <c r="P255" s="8" t="s">
        <v>48</v>
      </c>
      <c r="Q255" s="8" t="s">
        <v>206</v>
      </c>
      <c r="R255" s="8" t="s">
        <v>35</v>
      </c>
      <c r="S255" s="8">
        <v>20</v>
      </c>
      <c r="T255" s="8" t="s">
        <v>36</v>
      </c>
      <c r="U255" s="8" t="s">
        <v>290</v>
      </c>
      <c r="V255" s="8" t="s">
        <v>1706</v>
      </c>
      <c r="W255" s="29" t="s">
        <v>1517</v>
      </c>
      <c r="X255" s="29"/>
      <c r="Y255" s="29">
        <v>480</v>
      </c>
      <c r="Z255" s="29"/>
      <c r="AA255" s="29" t="s">
        <v>39</v>
      </c>
      <c r="AB255" s="29">
        <v>31</v>
      </c>
      <c r="AC255" s="23" t="str">
        <f>M255</f>
        <v>24/08/2020</v>
      </c>
      <c r="AD255" s="23" t="str">
        <f>N255</f>
        <v>27/09/2020</v>
      </c>
      <c r="AE255" s="8"/>
      <c r="AF255" s="8"/>
      <c r="AG255" s="8"/>
    </row>
    <row r="256" spans="1:33" hidden="1" x14ac:dyDescent="0.2">
      <c r="A256" s="8">
        <v>2504</v>
      </c>
      <c r="B256" s="16">
        <v>44073</v>
      </c>
      <c r="C256" s="8">
        <v>30012842</v>
      </c>
      <c r="D256" s="8" t="s">
        <v>91</v>
      </c>
      <c r="E256" s="8" t="s">
        <v>728</v>
      </c>
      <c r="F256" s="8" t="s">
        <v>729</v>
      </c>
      <c r="G256" s="8">
        <v>15018472</v>
      </c>
      <c r="H256" s="8">
        <v>802095162</v>
      </c>
      <c r="I256" s="8" t="s">
        <v>730</v>
      </c>
      <c r="J256" s="8" t="s">
        <v>58</v>
      </c>
      <c r="K256" s="8" t="s">
        <v>133</v>
      </c>
      <c r="L256" s="8" t="s">
        <v>954</v>
      </c>
      <c r="M256" s="8" t="s">
        <v>1721</v>
      </c>
      <c r="N256" s="8" t="s">
        <v>1730</v>
      </c>
      <c r="O256" s="8">
        <v>257.18</v>
      </c>
      <c r="P256" s="8" t="s">
        <v>48</v>
      </c>
      <c r="Q256" s="8" t="s">
        <v>731</v>
      </c>
      <c r="R256" s="8" t="s">
        <v>732</v>
      </c>
      <c r="S256" s="8">
        <v>10</v>
      </c>
      <c r="T256" s="8" t="s">
        <v>72</v>
      </c>
      <c r="U256" s="8" t="s">
        <v>290</v>
      </c>
      <c r="V256" s="8" t="s">
        <v>65</v>
      </c>
      <c r="W256" s="29" t="s">
        <v>1548</v>
      </c>
      <c r="X256" s="29"/>
      <c r="Y256" s="29">
        <v>110</v>
      </c>
      <c r="Z256" s="29"/>
      <c r="AA256" s="29" t="s">
        <v>733</v>
      </c>
      <c r="AB256" s="29">
        <v>31</v>
      </c>
      <c r="AC256" s="23" t="str">
        <f>M256</f>
        <v>25/08/2020</v>
      </c>
      <c r="AD256" s="23" t="str">
        <f>N256</f>
        <v>13/10/2020</v>
      </c>
      <c r="AE256" s="8"/>
      <c r="AF256" s="8"/>
      <c r="AG256" s="8"/>
    </row>
    <row r="257" spans="1:33" x14ac:dyDescent="0.2">
      <c r="A257" s="8">
        <v>2501</v>
      </c>
      <c r="B257" s="16">
        <v>44073</v>
      </c>
      <c r="C257" s="8">
        <v>30012760</v>
      </c>
      <c r="D257" s="8" t="s">
        <v>91</v>
      </c>
      <c r="E257" s="8" t="s">
        <v>107</v>
      </c>
      <c r="F257" s="8" t="s">
        <v>537</v>
      </c>
      <c r="G257" s="8">
        <v>15018297</v>
      </c>
      <c r="H257" s="8">
        <v>802094858</v>
      </c>
      <c r="I257" s="8" t="s">
        <v>580</v>
      </c>
      <c r="J257" s="8" t="s">
        <v>58</v>
      </c>
      <c r="K257" s="8" t="s">
        <v>727</v>
      </c>
      <c r="L257" s="8" t="s">
        <v>1269</v>
      </c>
      <c r="M257" s="8" t="s">
        <v>1725</v>
      </c>
      <c r="N257" s="8" t="s">
        <v>1749</v>
      </c>
      <c r="O257" s="8">
        <v>104.985</v>
      </c>
      <c r="P257" s="8" t="s">
        <v>33</v>
      </c>
      <c r="Q257" s="8" t="s">
        <v>105</v>
      </c>
      <c r="R257" s="8" t="s">
        <v>106</v>
      </c>
      <c r="S257" s="8">
        <v>5</v>
      </c>
      <c r="T257" s="8" t="s">
        <v>42</v>
      </c>
      <c r="U257" s="8" t="s">
        <v>290</v>
      </c>
      <c r="V257" s="8" t="s">
        <v>1699</v>
      </c>
      <c r="W257" s="29" t="s">
        <v>1461</v>
      </c>
      <c r="X257" s="29"/>
      <c r="Y257" s="29">
        <v>45</v>
      </c>
      <c r="Z257" s="29" t="s">
        <v>996</v>
      </c>
      <c r="AA257" s="29" t="s">
        <v>109</v>
      </c>
      <c r="AB257" s="29">
        <v>31</v>
      </c>
      <c r="AC257" s="23">
        <v>44068</v>
      </c>
      <c r="AD257" s="23" t="s">
        <v>1749</v>
      </c>
      <c r="AE257" s="8">
        <v>0</v>
      </c>
      <c r="AF257" s="8">
        <v>0</v>
      </c>
      <c r="AG257" s="8"/>
    </row>
    <row r="258" spans="1:33" x14ac:dyDescent="0.2">
      <c r="A258" s="8">
        <v>2501</v>
      </c>
      <c r="B258" s="16">
        <v>44073</v>
      </c>
      <c r="C258" s="8">
        <v>30012781</v>
      </c>
      <c r="D258" s="8" t="s">
        <v>28</v>
      </c>
      <c r="E258" s="8" t="s">
        <v>29</v>
      </c>
      <c r="F258" s="8" t="s">
        <v>397</v>
      </c>
      <c r="G258" s="8">
        <v>15018383</v>
      </c>
      <c r="H258" s="8">
        <v>802095015</v>
      </c>
      <c r="I258" s="8" t="s">
        <v>31</v>
      </c>
      <c r="J258" s="8" t="s">
        <v>32</v>
      </c>
      <c r="K258" s="8" t="s">
        <v>133</v>
      </c>
      <c r="L258" s="8" t="s">
        <v>954</v>
      </c>
      <c r="M258" s="8" t="s">
        <v>1715</v>
      </c>
      <c r="N258" s="8" t="s">
        <v>1749</v>
      </c>
      <c r="O258" s="8">
        <v>501.904</v>
      </c>
      <c r="P258" s="8" t="s">
        <v>33</v>
      </c>
      <c r="Q258" s="8" t="s">
        <v>153</v>
      </c>
      <c r="R258" s="8" t="s">
        <v>154</v>
      </c>
      <c r="S258" s="8">
        <v>19</v>
      </c>
      <c r="T258" s="8" t="s">
        <v>362</v>
      </c>
      <c r="U258" s="8" t="s">
        <v>290</v>
      </c>
      <c r="V258" s="8" t="s">
        <v>155</v>
      </c>
      <c r="W258" s="29" t="s">
        <v>1621</v>
      </c>
      <c r="X258" s="29"/>
      <c r="Y258" s="29">
        <v>494</v>
      </c>
      <c r="Z258" s="29"/>
      <c r="AA258" s="29" t="s">
        <v>39</v>
      </c>
      <c r="AB258" s="29">
        <v>31</v>
      </c>
      <c r="AC258" s="23" t="s">
        <v>1715</v>
      </c>
      <c r="AD258" s="23" t="s">
        <v>1753</v>
      </c>
      <c r="AE258" s="8">
        <v>0</v>
      </c>
      <c r="AF258" s="8">
        <v>-1</v>
      </c>
      <c r="AG258" s="8"/>
    </row>
    <row r="259" spans="1:33" x14ac:dyDescent="0.2">
      <c r="A259" s="8">
        <v>2501</v>
      </c>
      <c r="B259" s="16">
        <v>44073</v>
      </c>
      <c r="C259" s="8">
        <v>30012763</v>
      </c>
      <c r="D259" s="8" t="s">
        <v>28</v>
      </c>
      <c r="E259" s="8" t="s">
        <v>29</v>
      </c>
      <c r="F259" s="8" t="s">
        <v>41</v>
      </c>
      <c r="G259" s="8">
        <v>15018340</v>
      </c>
      <c r="H259" s="8">
        <v>802094904</v>
      </c>
      <c r="I259" s="8" t="s">
        <v>112</v>
      </c>
      <c r="J259" s="8" t="s">
        <v>32</v>
      </c>
      <c r="K259" s="8" t="s">
        <v>1300</v>
      </c>
      <c r="L259" s="8" t="s">
        <v>113</v>
      </c>
      <c r="M259" s="8" t="s">
        <v>1715</v>
      </c>
      <c r="N259" s="8" t="s">
        <v>1758</v>
      </c>
      <c r="O259" s="8">
        <v>500</v>
      </c>
      <c r="P259" s="8" t="s">
        <v>114</v>
      </c>
      <c r="Q259" s="8" t="s">
        <v>115</v>
      </c>
      <c r="R259" s="8" t="s">
        <v>116</v>
      </c>
      <c r="S259" s="8">
        <v>0</v>
      </c>
      <c r="T259" s="8" t="s">
        <v>117</v>
      </c>
      <c r="U259" s="8" t="s">
        <v>290</v>
      </c>
      <c r="V259" s="8" t="s">
        <v>118</v>
      </c>
      <c r="W259" s="29"/>
      <c r="X259" s="29"/>
      <c r="Y259" s="29">
        <v>493</v>
      </c>
      <c r="Z259" s="29"/>
      <c r="AA259" s="29" t="s">
        <v>39</v>
      </c>
      <c r="AB259" s="29">
        <v>32</v>
      </c>
      <c r="AC259" s="23">
        <v>44072</v>
      </c>
      <c r="AD259" s="23" t="str">
        <f>N259</f>
        <v>04/10/2020</v>
      </c>
      <c r="AE259" s="8">
        <v>1</v>
      </c>
      <c r="AF259" s="8"/>
      <c r="AG259" s="18" t="s">
        <v>1793</v>
      </c>
    </row>
    <row r="260" spans="1:33" hidden="1" x14ac:dyDescent="0.2">
      <c r="A260" s="8">
        <v>2503</v>
      </c>
      <c r="B260" s="16">
        <v>44073</v>
      </c>
      <c r="C260" s="8">
        <v>30012759</v>
      </c>
      <c r="D260" s="8" t="s">
        <v>137</v>
      </c>
      <c r="E260" s="8" t="s">
        <v>138</v>
      </c>
      <c r="F260" s="8" t="s">
        <v>139</v>
      </c>
      <c r="G260" s="8">
        <v>15018235</v>
      </c>
      <c r="H260" s="8">
        <v>802094779</v>
      </c>
      <c r="I260" s="8" t="s">
        <v>846</v>
      </c>
      <c r="J260" s="8" t="s">
        <v>32</v>
      </c>
      <c r="K260" s="8" t="s">
        <v>409</v>
      </c>
      <c r="L260" s="8" t="s">
        <v>1570</v>
      </c>
      <c r="M260" s="8" t="s">
        <v>1725</v>
      </c>
      <c r="N260" s="8" t="s">
        <v>1771</v>
      </c>
      <c r="O260" s="8">
        <v>489.25</v>
      </c>
      <c r="P260" s="8" t="s">
        <v>224</v>
      </c>
      <c r="Q260" s="8" t="s">
        <v>206</v>
      </c>
      <c r="R260" s="8" t="s">
        <v>35</v>
      </c>
      <c r="S260" s="8">
        <v>25</v>
      </c>
      <c r="T260" s="8" t="s">
        <v>87</v>
      </c>
      <c r="U260" s="8" t="s">
        <v>290</v>
      </c>
      <c r="V260" s="8" t="s">
        <v>88</v>
      </c>
      <c r="W260" s="29" t="s">
        <v>1571</v>
      </c>
      <c r="X260" s="29"/>
      <c r="Y260" s="29">
        <v>475</v>
      </c>
      <c r="Z260" s="29"/>
      <c r="AA260" s="29" t="s">
        <v>39</v>
      </c>
      <c r="AB260" s="29">
        <v>31</v>
      </c>
      <c r="AC260" s="23" t="s">
        <v>1725</v>
      </c>
      <c r="AD260" s="23" t="s">
        <v>1771</v>
      </c>
      <c r="AE260" s="8">
        <v>0</v>
      </c>
      <c r="AF260" s="8">
        <v>0</v>
      </c>
      <c r="AG260" s="8"/>
    </row>
    <row r="261" spans="1:33" hidden="1" x14ac:dyDescent="0.2">
      <c r="A261" s="8">
        <v>2503</v>
      </c>
      <c r="B261" s="16">
        <v>44073</v>
      </c>
      <c r="C261" s="8">
        <v>30012759</v>
      </c>
      <c r="D261" s="8" t="s">
        <v>137</v>
      </c>
      <c r="E261" s="8" t="s">
        <v>138</v>
      </c>
      <c r="F261" s="8" t="s">
        <v>139</v>
      </c>
      <c r="G261" s="8">
        <v>15018236</v>
      </c>
      <c r="H261" s="8">
        <v>802094780</v>
      </c>
      <c r="I261" s="8" t="s">
        <v>846</v>
      </c>
      <c r="J261" s="8" t="s">
        <v>32</v>
      </c>
      <c r="K261" s="8" t="s">
        <v>409</v>
      </c>
      <c r="L261" s="8" t="s">
        <v>1570</v>
      </c>
      <c r="M261" s="8" t="s">
        <v>1725</v>
      </c>
      <c r="N261" s="8" t="s">
        <v>1771</v>
      </c>
      <c r="O261" s="8">
        <v>508.82</v>
      </c>
      <c r="P261" s="8" t="s">
        <v>224</v>
      </c>
      <c r="Q261" s="8" t="s">
        <v>206</v>
      </c>
      <c r="R261" s="8" t="s">
        <v>35</v>
      </c>
      <c r="S261" s="8">
        <v>26</v>
      </c>
      <c r="T261" s="8" t="s">
        <v>87</v>
      </c>
      <c r="U261" s="8" t="s">
        <v>290</v>
      </c>
      <c r="V261" s="8" t="s">
        <v>88</v>
      </c>
      <c r="W261" s="29" t="s">
        <v>1574</v>
      </c>
      <c r="X261" s="29"/>
      <c r="Y261" s="29">
        <v>494</v>
      </c>
      <c r="Z261" s="29"/>
      <c r="AA261" s="29" t="s">
        <v>39</v>
      </c>
      <c r="AB261" s="29">
        <v>31</v>
      </c>
      <c r="AC261" s="23" t="s">
        <v>1725</v>
      </c>
      <c r="AD261" s="23" t="s">
        <v>1771</v>
      </c>
      <c r="AE261" s="8">
        <v>0</v>
      </c>
      <c r="AF261" s="8">
        <v>0</v>
      </c>
      <c r="AG261" s="8"/>
    </row>
    <row r="262" spans="1:33" hidden="1" x14ac:dyDescent="0.2">
      <c r="A262" s="8">
        <v>2503</v>
      </c>
      <c r="B262" s="16">
        <v>44079</v>
      </c>
      <c r="C262" s="8">
        <v>30012759</v>
      </c>
      <c r="D262" s="8" t="s">
        <v>152</v>
      </c>
      <c r="E262" s="8" t="s">
        <v>138</v>
      </c>
      <c r="F262" s="8" t="s">
        <v>265</v>
      </c>
      <c r="G262" s="8">
        <v>15018436</v>
      </c>
      <c r="H262" s="8">
        <v>802095119</v>
      </c>
      <c r="I262" s="8" t="s">
        <v>501</v>
      </c>
      <c r="J262" s="8" t="s">
        <v>47</v>
      </c>
      <c r="K262" s="8" t="s">
        <v>409</v>
      </c>
      <c r="L262" s="8" t="s">
        <v>1570</v>
      </c>
      <c r="M262" s="8" t="s">
        <v>1725</v>
      </c>
      <c r="N262" s="8" t="s">
        <v>1771</v>
      </c>
      <c r="O262" s="8">
        <v>113.712</v>
      </c>
      <c r="P262" s="8" t="s">
        <v>224</v>
      </c>
      <c r="Q262" s="8" t="s">
        <v>206</v>
      </c>
      <c r="R262" s="8" t="s">
        <v>266</v>
      </c>
      <c r="S262" s="8">
        <v>6</v>
      </c>
      <c r="T262" s="8" t="s">
        <v>87</v>
      </c>
      <c r="U262" s="8" t="s">
        <v>290</v>
      </c>
      <c r="V262" s="8" t="s">
        <v>88</v>
      </c>
      <c r="W262" s="29" t="s">
        <v>1577</v>
      </c>
      <c r="X262" s="29"/>
      <c r="Y262" s="29">
        <v>12</v>
      </c>
      <c r="Z262" s="29"/>
      <c r="AA262" s="29" t="s">
        <v>39</v>
      </c>
      <c r="AB262" s="29">
        <v>31</v>
      </c>
      <c r="AC262" s="23" t="s">
        <v>1725</v>
      </c>
      <c r="AD262" s="23" t="s">
        <v>1771</v>
      </c>
      <c r="AE262" s="8">
        <v>0</v>
      </c>
      <c r="AF262" s="8">
        <v>0</v>
      </c>
      <c r="AG262" s="8"/>
    </row>
    <row r="263" spans="1:33" hidden="1" x14ac:dyDescent="0.2">
      <c r="A263" s="8">
        <v>2503</v>
      </c>
      <c r="B263" s="16">
        <v>44073</v>
      </c>
      <c r="C263" s="8">
        <v>30012759</v>
      </c>
      <c r="D263" s="8" t="s">
        <v>28</v>
      </c>
      <c r="E263" s="8" t="s">
        <v>110</v>
      </c>
      <c r="F263" s="8" t="s">
        <v>111</v>
      </c>
      <c r="G263" s="8">
        <v>15018474</v>
      </c>
      <c r="H263" s="8">
        <v>802095166</v>
      </c>
      <c r="I263" s="8" t="s">
        <v>31</v>
      </c>
      <c r="J263" s="8" t="s">
        <v>32</v>
      </c>
      <c r="K263" s="8" t="s">
        <v>409</v>
      </c>
      <c r="L263" s="8" t="s">
        <v>1570</v>
      </c>
      <c r="M263" s="8" t="s">
        <v>1725</v>
      </c>
      <c r="N263" s="8" t="s">
        <v>1771</v>
      </c>
      <c r="O263" s="8">
        <v>508.82</v>
      </c>
      <c r="P263" s="8" t="s">
        <v>224</v>
      </c>
      <c r="Q263" s="8" t="s">
        <v>206</v>
      </c>
      <c r="R263" s="8" t="s">
        <v>35</v>
      </c>
      <c r="S263" s="8">
        <v>26</v>
      </c>
      <c r="T263" s="8" t="s">
        <v>87</v>
      </c>
      <c r="U263" s="8" t="s">
        <v>290</v>
      </c>
      <c r="V263" s="8" t="s">
        <v>88</v>
      </c>
      <c r="W263" s="29" t="s">
        <v>1580</v>
      </c>
      <c r="X263" s="29"/>
      <c r="Y263" s="29">
        <v>494</v>
      </c>
      <c r="Z263" s="29" t="s">
        <v>996</v>
      </c>
      <c r="AA263" s="29" t="s">
        <v>39</v>
      </c>
      <c r="AB263" s="29">
        <v>31</v>
      </c>
      <c r="AC263" s="23" t="s">
        <v>1725</v>
      </c>
      <c r="AD263" s="23" t="s">
        <v>1771</v>
      </c>
      <c r="AE263" s="8">
        <v>0</v>
      </c>
      <c r="AF263" s="8">
        <v>0</v>
      </c>
      <c r="AG263" s="8"/>
    </row>
    <row r="264" spans="1:33" hidden="1" x14ac:dyDescent="0.2">
      <c r="A264" s="8">
        <v>2503</v>
      </c>
      <c r="B264" s="16">
        <v>44073</v>
      </c>
      <c r="C264" s="8">
        <v>30012759</v>
      </c>
      <c r="D264" s="8" t="s">
        <v>28</v>
      </c>
      <c r="E264" s="8" t="s">
        <v>110</v>
      </c>
      <c r="F264" s="8" t="s">
        <v>111</v>
      </c>
      <c r="G264" s="8">
        <v>15018475</v>
      </c>
      <c r="H264" s="8">
        <v>802095167</v>
      </c>
      <c r="I264" s="8" t="s">
        <v>31</v>
      </c>
      <c r="J264" s="8" t="s">
        <v>32</v>
      </c>
      <c r="K264" s="8" t="s">
        <v>409</v>
      </c>
      <c r="L264" s="8" t="s">
        <v>1570</v>
      </c>
      <c r="M264" s="8" t="s">
        <v>1725</v>
      </c>
      <c r="N264" s="8" t="s">
        <v>1771</v>
      </c>
      <c r="O264" s="8">
        <v>508.82</v>
      </c>
      <c r="P264" s="8" t="s">
        <v>224</v>
      </c>
      <c r="Q264" s="8" t="s">
        <v>206</v>
      </c>
      <c r="R264" s="8" t="s">
        <v>35</v>
      </c>
      <c r="S264" s="8">
        <v>26</v>
      </c>
      <c r="T264" s="8" t="s">
        <v>87</v>
      </c>
      <c r="U264" s="8" t="s">
        <v>290</v>
      </c>
      <c r="V264" s="8" t="s">
        <v>88</v>
      </c>
      <c r="W264" s="29" t="s">
        <v>1583</v>
      </c>
      <c r="X264" s="29"/>
      <c r="Y264" s="29">
        <v>494</v>
      </c>
      <c r="Z264" s="29" t="s">
        <v>996</v>
      </c>
      <c r="AA264" s="29" t="s">
        <v>39</v>
      </c>
      <c r="AB264" s="29">
        <v>31</v>
      </c>
      <c r="AC264" s="23" t="s">
        <v>1725</v>
      </c>
      <c r="AD264" s="23" t="s">
        <v>1771</v>
      </c>
      <c r="AE264" s="8">
        <v>0</v>
      </c>
      <c r="AF264" s="8">
        <v>0</v>
      </c>
      <c r="AG264" s="8"/>
    </row>
    <row r="265" spans="1:33" hidden="1" x14ac:dyDescent="0.2">
      <c r="A265" s="8">
        <v>2504</v>
      </c>
      <c r="B265" s="16">
        <v>44073</v>
      </c>
      <c r="C265" s="8">
        <v>30012842</v>
      </c>
      <c r="D265" s="8" t="s">
        <v>91</v>
      </c>
      <c r="E265" s="8" t="s">
        <v>728</v>
      </c>
      <c r="F265" s="8" t="s">
        <v>729</v>
      </c>
      <c r="G265" s="8">
        <v>15018473</v>
      </c>
      <c r="H265" s="8">
        <v>802095163</v>
      </c>
      <c r="I265" s="8" t="s">
        <v>1551</v>
      </c>
      <c r="J265" s="8" t="s">
        <v>58</v>
      </c>
      <c r="K265" s="8" t="s">
        <v>133</v>
      </c>
      <c r="L265" s="8" t="s">
        <v>954</v>
      </c>
      <c r="M265" s="8" t="s">
        <v>1721</v>
      </c>
      <c r="N265" s="8" t="s">
        <v>1730</v>
      </c>
      <c r="O265" s="8">
        <v>152.22</v>
      </c>
      <c r="P265" s="8" t="s">
        <v>48</v>
      </c>
      <c r="Q265" s="8" t="s">
        <v>731</v>
      </c>
      <c r="R265" s="8" t="s">
        <v>732</v>
      </c>
      <c r="S265" s="8">
        <v>6</v>
      </c>
      <c r="T265" s="8" t="s">
        <v>72</v>
      </c>
      <c r="U265" s="8" t="s">
        <v>290</v>
      </c>
      <c r="V265" s="8" t="s">
        <v>65</v>
      </c>
      <c r="W265" s="29" t="s">
        <v>1552</v>
      </c>
      <c r="X265" s="29"/>
      <c r="Y265" s="29">
        <v>60</v>
      </c>
      <c r="Z265" s="29"/>
      <c r="AA265" s="29" t="s">
        <v>733</v>
      </c>
      <c r="AB265" s="29">
        <v>31</v>
      </c>
      <c r="AC265" s="23" t="str">
        <f>M265</f>
        <v>25/08/2020</v>
      </c>
      <c r="AD265" s="23" t="str">
        <f>N265</f>
        <v>13/10/2020</v>
      </c>
      <c r="AE265" s="8"/>
      <c r="AF265" s="8"/>
      <c r="AG265" s="8"/>
    </row>
    <row r="266" spans="1:33" hidden="1" x14ac:dyDescent="0.2">
      <c r="A266" s="8">
        <v>2504</v>
      </c>
      <c r="B266" s="16">
        <v>44073</v>
      </c>
      <c r="C266" s="8">
        <v>30012835</v>
      </c>
      <c r="D266" s="8" t="s">
        <v>74</v>
      </c>
      <c r="E266" s="8" t="s">
        <v>75</v>
      </c>
      <c r="F266" s="8" t="s">
        <v>966</v>
      </c>
      <c r="G266" s="8">
        <v>15018457</v>
      </c>
      <c r="H266" s="8">
        <v>802095136</v>
      </c>
      <c r="I266" s="8" t="s">
        <v>77</v>
      </c>
      <c r="J266" s="8" t="s">
        <v>32</v>
      </c>
      <c r="K266" s="8" t="s">
        <v>1587</v>
      </c>
      <c r="L266" s="8" t="s">
        <v>1588</v>
      </c>
      <c r="M266" s="8" t="s">
        <v>1725</v>
      </c>
      <c r="N266" s="8" t="s">
        <v>1772</v>
      </c>
      <c r="O266" s="8">
        <v>496.8</v>
      </c>
      <c r="P266" s="8" t="s">
        <v>48</v>
      </c>
      <c r="Q266" s="8" t="s">
        <v>149</v>
      </c>
      <c r="R266" s="8" t="s">
        <v>150</v>
      </c>
      <c r="S266" s="8">
        <v>20</v>
      </c>
      <c r="T266" s="8" t="s">
        <v>36</v>
      </c>
      <c r="U266" s="8" t="s">
        <v>290</v>
      </c>
      <c r="V266" s="8" t="s">
        <v>88</v>
      </c>
      <c r="W266" s="29" t="s">
        <v>1589</v>
      </c>
      <c r="X266" s="29"/>
      <c r="Y266" s="29">
        <v>480</v>
      </c>
      <c r="Z266" s="29"/>
      <c r="AA266" s="29" t="s">
        <v>39</v>
      </c>
      <c r="AB266" s="29">
        <v>31</v>
      </c>
      <c r="AC266" s="23" t="str">
        <f>M266</f>
        <v>26/08/2020</v>
      </c>
      <c r="AD266" s="23" t="str">
        <f>N266</f>
        <v>12/10/2020</v>
      </c>
      <c r="AE266" s="8"/>
      <c r="AF266" s="8"/>
      <c r="AG266" s="8"/>
    </row>
    <row r="267" spans="1:33" x14ac:dyDescent="0.2">
      <c r="A267" s="8">
        <v>2501</v>
      </c>
      <c r="B267" s="16">
        <v>44048</v>
      </c>
      <c r="C267" s="8">
        <v>30012763</v>
      </c>
      <c r="D267" s="8" t="s">
        <v>91</v>
      </c>
      <c r="E267" s="8" t="s">
        <v>191</v>
      </c>
      <c r="F267" s="8" t="s">
        <v>192</v>
      </c>
      <c r="G267" s="8">
        <v>15018376</v>
      </c>
      <c r="H267" s="8">
        <v>802095014</v>
      </c>
      <c r="I267" s="8" t="s">
        <v>112</v>
      </c>
      <c r="J267" s="8" t="s">
        <v>32</v>
      </c>
      <c r="K267" s="8" t="s">
        <v>1300</v>
      </c>
      <c r="L267" s="8" t="s">
        <v>113</v>
      </c>
      <c r="M267" s="8" t="s">
        <v>1715</v>
      </c>
      <c r="N267" s="8" t="s">
        <v>1764</v>
      </c>
      <c r="O267" s="8">
        <v>250</v>
      </c>
      <c r="P267" s="8" t="s">
        <v>114</v>
      </c>
      <c r="Q267" s="8" t="s">
        <v>182</v>
      </c>
      <c r="R267" s="8" t="s">
        <v>183</v>
      </c>
      <c r="S267" s="8">
        <v>0</v>
      </c>
      <c r="T267" s="8" t="s">
        <v>117</v>
      </c>
      <c r="U267" s="8" t="s">
        <v>290</v>
      </c>
      <c r="V267" s="8" t="s">
        <v>118</v>
      </c>
      <c r="W267" s="29"/>
      <c r="X267" s="29"/>
      <c r="Y267" s="29">
        <v>247</v>
      </c>
      <c r="Z267" s="29"/>
      <c r="AA267" s="29" t="s">
        <v>39</v>
      </c>
      <c r="AB267" s="29">
        <v>32</v>
      </c>
      <c r="AC267" s="23">
        <v>44072</v>
      </c>
      <c r="AD267" s="23" t="str">
        <f t="shared" ref="AD267:AD277" si="18">N267</f>
        <v>19/09/2020</v>
      </c>
      <c r="AE267" s="8">
        <v>1</v>
      </c>
      <c r="AF267" s="8"/>
      <c r="AG267" s="18" t="s">
        <v>1793</v>
      </c>
    </row>
    <row r="268" spans="1:33" x14ac:dyDescent="0.2">
      <c r="A268" s="8">
        <v>2501</v>
      </c>
      <c r="B268" s="16">
        <v>44073</v>
      </c>
      <c r="C268" s="8">
        <v>30012763</v>
      </c>
      <c r="D268" s="8" t="s">
        <v>28</v>
      </c>
      <c r="E268" s="8" t="s">
        <v>129</v>
      </c>
      <c r="F268" s="8" t="s">
        <v>346</v>
      </c>
      <c r="G268" s="8">
        <v>15018407</v>
      </c>
      <c r="H268" s="8">
        <v>802095024</v>
      </c>
      <c r="I268" s="8" t="s">
        <v>112</v>
      </c>
      <c r="J268" s="8" t="s">
        <v>32</v>
      </c>
      <c r="K268" s="8" t="s">
        <v>1300</v>
      </c>
      <c r="L268" s="8" t="s">
        <v>113</v>
      </c>
      <c r="M268" s="8" t="s">
        <v>1715</v>
      </c>
      <c r="N268" s="8" t="s">
        <v>1754</v>
      </c>
      <c r="O268" s="8">
        <v>500</v>
      </c>
      <c r="P268" s="8" t="s">
        <v>114</v>
      </c>
      <c r="Q268" s="8" t="s">
        <v>85</v>
      </c>
      <c r="R268" s="8" t="s">
        <v>86</v>
      </c>
      <c r="S268" s="8">
        <v>0</v>
      </c>
      <c r="T268" s="8" t="s">
        <v>117</v>
      </c>
      <c r="U268" s="8" t="s">
        <v>290</v>
      </c>
      <c r="V268" s="8" t="s">
        <v>118</v>
      </c>
      <c r="W268" s="29"/>
      <c r="X268" s="29"/>
      <c r="Y268" s="29">
        <v>493</v>
      </c>
      <c r="Z268" s="29"/>
      <c r="AA268" s="29" t="s">
        <v>39</v>
      </c>
      <c r="AB268" s="29">
        <v>32</v>
      </c>
      <c r="AC268" s="23">
        <v>44072</v>
      </c>
      <c r="AD268" s="23" t="str">
        <f t="shared" si="18"/>
        <v>16/09/2020</v>
      </c>
      <c r="AE268" s="8">
        <v>1</v>
      </c>
      <c r="AF268" s="8"/>
      <c r="AG268" s="18" t="s">
        <v>1793</v>
      </c>
    </row>
    <row r="269" spans="1:33" x14ac:dyDescent="0.2">
      <c r="A269" s="8">
        <v>2501</v>
      </c>
      <c r="B269" s="16">
        <v>44073</v>
      </c>
      <c r="C269" s="8">
        <v>30012763</v>
      </c>
      <c r="D269" s="8" t="s">
        <v>28</v>
      </c>
      <c r="E269" s="8" t="s">
        <v>129</v>
      </c>
      <c r="F269" s="8" t="s">
        <v>346</v>
      </c>
      <c r="G269" s="8">
        <v>15018408</v>
      </c>
      <c r="H269" s="8">
        <v>802095025</v>
      </c>
      <c r="I269" s="8" t="s">
        <v>112</v>
      </c>
      <c r="J269" s="8" t="s">
        <v>32</v>
      </c>
      <c r="K269" s="8" t="s">
        <v>1300</v>
      </c>
      <c r="L269" s="8" t="s">
        <v>113</v>
      </c>
      <c r="M269" s="8" t="s">
        <v>1715</v>
      </c>
      <c r="N269" s="8" t="s">
        <v>1754</v>
      </c>
      <c r="O269" s="8">
        <v>500</v>
      </c>
      <c r="P269" s="8" t="s">
        <v>114</v>
      </c>
      <c r="Q269" s="8" t="s">
        <v>85</v>
      </c>
      <c r="R269" s="8" t="s">
        <v>86</v>
      </c>
      <c r="S269" s="8">
        <v>0</v>
      </c>
      <c r="T269" s="8" t="s">
        <v>117</v>
      </c>
      <c r="U269" s="8" t="s">
        <v>290</v>
      </c>
      <c r="V269" s="8" t="s">
        <v>118</v>
      </c>
      <c r="W269" s="29"/>
      <c r="X269" s="29"/>
      <c r="Y269" s="29">
        <v>493</v>
      </c>
      <c r="Z269" s="29"/>
      <c r="AA269" s="29" t="s">
        <v>39</v>
      </c>
      <c r="AB269" s="29">
        <v>32</v>
      </c>
      <c r="AC269" s="23">
        <v>44072</v>
      </c>
      <c r="AD269" s="23" t="str">
        <f t="shared" si="18"/>
        <v>16/09/2020</v>
      </c>
      <c r="AE269" s="8">
        <v>1</v>
      </c>
      <c r="AF269" s="8"/>
      <c r="AG269" s="18" t="s">
        <v>1793</v>
      </c>
    </row>
    <row r="270" spans="1:33" x14ac:dyDescent="0.2">
      <c r="A270" s="8">
        <v>2501</v>
      </c>
      <c r="B270" s="16">
        <v>44073</v>
      </c>
      <c r="C270" s="8">
        <v>30012763</v>
      </c>
      <c r="D270" s="8" t="s">
        <v>28</v>
      </c>
      <c r="E270" s="8" t="s">
        <v>129</v>
      </c>
      <c r="F270" s="8" t="s">
        <v>346</v>
      </c>
      <c r="G270" s="8">
        <v>15018409</v>
      </c>
      <c r="H270" s="8">
        <v>802095026</v>
      </c>
      <c r="I270" s="8" t="s">
        <v>112</v>
      </c>
      <c r="J270" s="8" t="s">
        <v>32</v>
      </c>
      <c r="K270" s="8" t="s">
        <v>1300</v>
      </c>
      <c r="L270" s="8" t="s">
        <v>113</v>
      </c>
      <c r="M270" s="8" t="s">
        <v>1715</v>
      </c>
      <c r="N270" s="8" t="s">
        <v>1754</v>
      </c>
      <c r="O270" s="8">
        <v>500</v>
      </c>
      <c r="P270" s="8" t="s">
        <v>114</v>
      </c>
      <c r="Q270" s="8" t="s">
        <v>85</v>
      </c>
      <c r="R270" s="8" t="s">
        <v>86</v>
      </c>
      <c r="S270" s="8">
        <v>0</v>
      </c>
      <c r="T270" s="8" t="s">
        <v>117</v>
      </c>
      <c r="U270" s="8" t="s">
        <v>290</v>
      </c>
      <c r="V270" s="8" t="s">
        <v>118</v>
      </c>
      <c r="W270" s="29"/>
      <c r="X270" s="29"/>
      <c r="Y270" s="29">
        <v>493</v>
      </c>
      <c r="Z270" s="29"/>
      <c r="AA270" s="29" t="s">
        <v>39</v>
      </c>
      <c r="AB270" s="29">
        <v>32</v>
      </c>
      <c r="AC270" s="23">
        <v>44072</v>
      </c>
      <c r="AD270" s="23" t="str">
        <f t="shared" si="18"/>
        <v>16/09/2020</v>
      </c>
      <c r="AE270" s="8">
        <v>1</v>
      </c>
      <c r="AF270" s="8"/>
      <c r="AG270" s="18" t="s">
        <v>1793</v>
      </c>
    </row>
    <row r="271" spans="1:33" x14ac:dyDescent="0.2">
      <c r="A271" s="8">
        <v>2501</v>
      </c>
      <c r="B271" s="16">
        <v>44073</v>
      </c>
      <c r="C271" s="8">
        <v>30012763</v>
      </c>
      <c r="D271" s="8" t="s">
        <v>28</v>
      </c>
      <c r="E271" s="8" t="s">
        <v>129</v>
      </c>
      <c r="F271" s="8" t="s">
        <v>130</v>
      </c>
      <c r="G271" s="8">
        <v>15018411</v>
      </c>
      <c r="H271" s="8">
        <v>802095027</v>
      </c>
      <c r="I271" s="8" t="s">
        <v>112</v>
      </c>
      <c r="J271" s="8" t="s">
        <v>32</v>
      </c>
      <c r="K271" s="8" t="s">
        <v>1300</v>
      </c>
      <c r="L271" s="8" t="s">
        <v>113</v>
      </c>
      <c r="M271" s="8" t="s">
        <v>1715</v>
      </c>
      <c r="N271" s="8" t="s">
        <v>1754</v>
      </c>
      <c r="O271" s="8">
        <v>500</v>
      </c>
      <c r="P271" s="8" t="s">
        <v>114</v>
      </c>
      <c r="Q271" s="8" t="s">
        <v>85</v>
      </c>
      <c r="R271" s="8" t="s">
        <v>86</v>
      </c>
      <c r="S271" s="8">
        <v>0</v>
      </c>
      <c r="T271" s="8" t="s">
        <v>117</v>
      </c>
      <c r="U271" s="8" t="s">
        <v>290</v>
      </c>
      <c r="V271" s="8" t="s">
        <v>118</v>
      </c>
      <c r="W271" s="29"/>
      <c r="X271" s="29"/>
      <c r="Y271" s="29">
        <v>493</v>
      </c>
      <c r="Z271" s="29"/>
      <c r="AA271" s="29" t="s">
        <v>39</v>
      </c>
      <c r="AB271" s="29">
        <v>32</v>
      </c>
      <c r="AC271" s="23">
        <v>44072</v>
      </c>
      <c r="AD271" s="23" t="str">
        <f t="shared" si="18"/>
        <v>16/09/2020</v>
      </c>
      <c r="AE271" s="8">
        <v>1</v>
      </c>
      <c r="AF271" s="8"/>
      <c r="AG271" s="18" t="s">
        <v>1793</v>
      </c>
    </row>
    <row r="272" spans="1:33" x14ac:dyDescent="0.2">
      <c r="A272" s="8">
        <v>2501</v>
      </c>
      <c r="B272" s="16">
        <v>44073</v>
      </c>
      <c r="C272" s="8">
        <v>30012763</v>
      </c>
      <c r="D272" s="8" t="s">
        <v>28</v>
      </c>
      <c r="E272" s="8" t="s">
        <v>129</v>
      </c>
      <c r="F272" s="8" t="s">
        <v>130</v>
      </c>
      <c r="G272" s="8">
        <v>15018416</v>
      </c>
      <c r="H272" s="8">
        <v>802095051</v>
      </c>
      <c r="I272" s="8" t="s">
        <v>112</v>
      </c>
      <c r="J272" s="8" t="s">
        <v>32</v>
      </c>
      <c r="K272" s="8" t="s">
        <v>1300</v>
      </c>
      <c r="L272" s="8" t="s">
        <v>113</v>
      </c>
      <c r="M272" s="8" t="s">
        <v>1715</v>
      </c>
      <c r="N272" s="8" t="s">
        <v>1754</v>
      </c>
      <c r="O272" s="8">
        <v>500</v>
      </c>
      <c r="P272" s="8" t="s">
        <v>114</v>
      </c>
      <c r="Q272" s="8" t="s">
        <v>85</v>
      </c>
      <c r="R272" s="8" t="s">
        <v>86</v>
      </c>
      <c r="S272" s="8">
        <v>0</v>
      </c>
      <c r="T272" s="8" t="s">
        <v>117</v>
      </c>
      <c r="U272" s="8" t="s">
        <v>290</v>
      </c>
      <c r="V272" s="8" t="s">
        <v>118</v>
      </c>
      <c r="W272" s="29"/>
      <c r="X272" s="29"/>
      <c r="Y272" s="29">
        <v>493</v>
      </c>
      <c r="Z272" s="29"/>
      <c r="AA272" s="29" t="s">
        <v>39</v>
      </c>
      <c r="AB272" s="29">
        <v>32</v>
      </c>
      <c r="AC272" s="23">
        <v>44072</v>
      </c>
      <c r="AD272" s="23" t="str">
        <f t="shared" si="18"/>
        <v>16/09/2020</v>
      </c>
      <c r="AE272" s="8">
        <v>1</v>
      </c>
      <c r="AF272" s="8"/>
      <c r="AG272" s="18" t="s">
        <v>1793</v>
      </c>
    </row>
    <row r="273" spans="1:33" x14ac:dyDescent="0.2">
      <c r="A273" s="8">
        <v>2501</v>
      </c>
      <c r="B273" s="16">
        <v>44073</v>
      </c>
      <c r="C273" s="8">
        <v>30012763</v>
      </c>
      <c r="D273" s="8" t="s">
        <v>28</v>
      </c>
      <c r="E273" s="8" t="s">
        <v>129</v>
      </c>
      <c r="F273" s="8" t="s">
        <v>130</v>
      </c>
      <c r="G273" s="8">
        <v>15018417</v>
      </c>
      <c r="H273" s="8">
        <v>802095054</v>
      </c>
      <c r="I273" s="8" t="s">
        <v>112</v>
      </c>
      <c r="J273" s="8" t="s">
        <v>32</v>
      </c>
      <c r="K273" s="8" t="s">
        <v>1300</v>
      </c>
      <c r="L273" s="8" t="s">
        <v>113</v>
      </c>
      <c r="M273" s="8" t="s">
        <v>1715</v>
      </c>
      <c r="N273" s="8" t="s">
        <v>1767</v>
      </c>
      <c r="O273" s="8">
        <v>500</v>
      </c>
      <c r="P273" s="8" t="s">
        <v>114</v>
      </c>
      <c r="Q273" s="8" t="s">
        <v>131</v>
      </c>
      <c r="R273" s="8" t="s">
        <v>132</v>
      </c>
      <c r="S273" s="8">
        <v>0</v>
      </c>
      <c r="T273" s="8" t="s">
        <v>117</v>
      </c>
      <c r="U273" s="8" t="s">
        <v>290</v>
      </c>
      <c r="V273" s="8" t="s">
        <v>118</v>
      </c>
      <c r="W273" s="29"/>
      <c r="X273" s="29"/>
      <c r="Y273" s="29">
        <v>493</v>
      </c>
      <c r="Z273" s="29"/>
      <c r="AA273" s="29" t="s">
        <v>39</v>
      </c>
      <c r="AB273" s="29">
        <v>32</v>
      </c>
      <c r="AC273" s="23">
        <v>44072</v>
      </c>
      <c r="AD273" s="23" t="str">
        <f t="shared" si="18"/>
        <v>13/09/2020</v>
      </c>
      <c r="AE273" s="8">
        <v>1</v>
      </c>
      <c r="AF273" s="8"/>
      <c r="AG273" s="18" t="s">
        <v>1793</v>
      </c>
    </row>
    <row r="274" spans="1:33" x14ac:dyDescent="0.2">
      <c r="A274" s="8">
        <v>2501</v>
      </c>
      <c r="B274" s="16">
        <v>44073</v>
      </c>
      <c r="C274" s="8">
        <v>30012763</v>
      </c>
      <c r="D274" s="8" t="s">
        <v>28</v>
      </c>
      <c r="E274" s="8" t="s">
        <v>129</v>
      </c>
      <c r="F274" s="8" t="s">
        <v>130</v>
      </c>
      <c r="G274" s="8">
        <v>15018418</v>
      </c>
      <c r="H274" s="8">
        <v>802095055</v>
      </c>
      <c r="I274" s="8" t="s">
        <v>112</v>
      </c>
      <c r="J274" s="8" t="s">
        <v>32</v>
      </c>
      <c r="K274" s="8" t="s">
        <v>1300</v>
      </c>
      <c r="L274" s="8" t="s">
        <v>113</v>
      </c>
      <c r="M274" s="8" t="s">
        <v>1715</v>
      </c>
      <c r="N274" s="8" t="s">
        <v>1767</v>
      </c>
      <c r="O274" s="8">
        <v>500</v>
      </c>
      <c r="P274" s="8" t="s">
        <v>114</v>
      </c>
      <c r="Q274" s="8" t="s">
        <v>131</v>
      </c>
      <c r="R274" s="8" t="s">
        <v>132</v>
      </c>
      <c r="S274" s="8">
        <v>0</v>
      </c>
      <c r="T274" s="8" t="s">
        <v>117</v>
      </c>
      <c r="U274" s="8" t="s">
        <v>290</v>
      </c>
      <c r="V274" s="8" t="s">
        <v>118</v>
      </c>
      <c r="W274" s="29"/>
      <c r="X274" s="29"/>
      <c r="Y274" s="29">
        <v>493</v>
      </c>
      <c r="Z274" s="29"/>
      <c r="AA274" s="29" t="s">
        <v>39</v>
      </c>
      <c r="AB274" s="29">
        <v>32</v>
      </c>
      <c r="AC274" s="23">
        <v>44072</v>
      </c>
      <c r="AD274" s="23" t="str">
        <f t="shared" si="18"/>
        <v>13/09/2020</v>
      </c>
      <c r="AE274" s="8">
        <v>1</v>
      </c>
      <c r="AF274" s="8"/>
      <c r="AG274" s="18" t="s">
        <v>1793</v>
      </c>
    </row>
    <row r="275" spans="1:33" x14ac:dyDescent="0.2">
      <c r="A275" s="8">
        <v>2501</v>
      </c>
      <c r="B275" s="16">
        <v>44073</v>
      </c>
      <c r="C275" s="8">
        <v>30012763</v>
      </c>
      <c r="D275" s="8" t="s">
        <v>28</v>
      </c>
      <c r="E275" s="8" t="s">
        <v>129</v>
      </c>
      <c r="F275" s="8" t="s">
        <v>130</v>
      </c>
      <c r="G275" s="8">
        <v>15018419</v>
      </c>
      <c r="H275" s="8">
        <v>802095056</v>
      </c>
      <c r="I275" s="8" t="s">
        <v>112</v>
      </c>
      <c r="J275" s="8" t="s">
        <v>32</v>
      </c>
      <c r="K275" s="8" t="s">
        <v>1300</v>
      </c>
      <c r="L275" s="8" t="s">
        <v>113</v>
      </c>
      <c r="M275" s="8" t="s">
        <v>1715</v>
      </c>
      <c r="N275" s="8" t="s">
        <v>1767</v>
      </c>
      <c r="O275" s="8">
        <v>500</v>
      </c>
      <c r="P275" s="8" t="s">
        <v>114</v>
      </c>
      <c r="Q275" s="8" t="s">
        <v>131</v>
      </c>
      <c r="R275" s="8" t="s">
        <v>132</v>
      </c>
      <c r="S275" s="8">
        <v>0</v>
      </c>
      <c r="T275" s="8" t="s">
        <v>117</v>
      </c>
      <c r="U275" s="8" t="s">
        <v>290</v>
      </c>
      <c r="V275" s="8" t="s">
        <v>118</v>
      </c>
      <c r="W275" s="29"/>
      <c r="X275" s="29"/>
      <c r="Y275" s="29">
        <v>493</v>
      </c>
      <c r="Z275" s="29"/>
      <c r="AA275" s="29" t="s">
        <v>39</v>
      </c>
      <c r="AB275" s="29">
        <v>32</v>
      </c>
      <c r="AC275" s="23">
        <v>44072</v>
      </c>
      <c r="AD275" s="23" t="str">
        <f t="shared" si="18"/>
        <v>13/09/2020</v>
      </c>
      <c r="AE275" s="8">
        <v>1</v>
      </c>
      <c r="AF275" s="8"/>
      <c r="AG275" s="18" t="s">
        <v>1793</v>
      </c>
    </row>
    <row r="276" spans="1:33" x14ac:dyDescent="0.2">
      <c r="A276" s="8">
        <v>2501</v>
      </c>
      <c r="B276" s="16">
        <v>44073</v>
      </c>
      <c r="C276" s="8">
        <v>30012763</v>
      </c>
      <c r="D276" s="8" t="s">
        <v>28</v>
      </c>
      <c r="E276" s="8" t="s">
        <v>129</v>
      </c>
      <c r="F276" s="8" t="s">
        <v>130</v>
      </c>
      <c r="G276" s="8">
        <v>15018420</v>
      </c>
      <c r="H276" s="8">
        <v>802095057</v>
      </c>
      <c r="I276" s="8" t="s">
        <v>112</v>
      </c>
      <c r="J276" s="8" t="s">
        <v>32</v>
      </c>
      <c r="K276" s="8" t="s">
        <v>1300</v>
      </c>
      <c r="L276" s="8" t="s">
        <v>113</v>
      </c>
      <c r="M276" s="8" t="s">
        <v>1715</v>
      </c>
      <c r="N276" s="8" t="s">
        <v>1767</v>
      </c>
      <c r="O276" s="8">
        <v>500</v>
      </c>
      <c r="P276" s="8" t="s">
        <v>114</v>
      </c>
      <c r="Q276" s="8" t="s">
        <v>131</v>
      </c>
      <c r="R276" s="8" t="s">
        <v>132</v>
      </c>
      <c r="S276" s="8">
        <v>0</v>
      </c>
      <c r="T276" s="8" t="s">
        <v>117</v>
      </c>
      <c r="U276" s="8" t="s">
        <v>290</v>
      </c>
      <c r="V276" s="8" t="s">
        <v>118</v>
      </c>
      <c r="W276" s="29"/>
      <c r="X276" s="29"/>
      <c r="Y276" s="29">
        <v>493</v>
      </c>
      <c r="Z276" s="29"/>
      <c r="AA276" s="29" t="s">
        <v>39</v>
      </c>
      <c r="AB276" s="29">
        <v>32</v>
      </c>
      <c r="AC276" s="23">
        <v>44072</v>
      </c>
      <c r="AD276" s="23" t="str">
        <f t="shared" si="18"/>
        <v>13/09/2020</v>
      </c>
      <c r="AE276" s="8">
        <v>1</v>
      </c>
      <c r="AF276" s="8"/>
      <c r="AG276" s="18" t="s">
        <v>1793</v>
      </c>
    </row>
    <row r="277" spans="1:33" x14ac:dyDescent="0.2">
      <c r="A277" s="8">
        <v>2501</v>
      </c>
      <c r="B277" s="16">
        <v>44073</v>
      </c>
      <c r="C277" s="8">
        <v>30012763</v>
      </c>
      <c r="D277" s="8" t="s">
        <v>28</v>
      </c>
      <c r="E277" s="8" t="s">
        <v>129</v>
      </c>
      <c r="F277" s="8" t="s">
        <v>130</v>
      </c>
      <c r="G277" s="8">
        <v>15018421</v>
      </c>
      <c r="H277" s="8">
        <v>802095058</v>
      </c>
      <c r="I277" s="8" t="s">
        <v>112</v>
      </c>
      <c r="J277" s="8" t="s">
        <v>32</v>
      </c>
      <c r="K277" s="8" t="s">
        <v>1300</v>
      </c>
      <c r="L277" s="8" t="s">
        <v>113</v>
      </c>
      <c r="M277" s="8" t="s">
        <v>1715</v>
      </c>
      <c r="N277" s="8" t="s">
        <v>1767</v>
      </c>
      <c r="O277" s="8">
        <v>500</v>
      </c>
      <c r="P277" s="8" t="s">
        <v>114</v>
      </c>
      <c r="Q277" s="8" t="s">
        <v>131</v>
      </c>
      <c r="R277" s="8" t="s">
        <v>132</v>
      </c>
      <c r="S277" s="8">
        <v>0</v>
      </c>
      <c r="T277" s="8" t="s">
        <v>117</v>
      </c>
      <c r="U277" s="8" t="s">
        <v>290</v>
      </c>
      <c r="V277" s="8" t="s">
        <v>118</v>
      </c>
      <c r="W277" s="29"/>
      <c r="X277" s="29"/>
      <c r="Y277" s="29">
        <v>493</v>
      </c>
      <c r="Z277" s="29"/>
      <c r="AA277" s="29" t="s">
        <v>39</v>
      </c>
      <c r="AB277" s="29">
        <v>32</v>
      </c>
      <c r="AC277" s="23">
        <v>44072</v>
      </c>
      <c r="AD277" s="23" t="str">
        <f t="shared" si="18"/>
        <v>13/09/2020</v>
      </c>
      <c r="AE277" s="8">
        <v>1</v>
      </c>
      <c r="AF277" s="8"/>
      <c r="AG277" s="18" t="s">
        <v>1793</v>
      </c>
    </row>
    <row r="278" spans="1:33" x14ac:dyDescent="0.2">
      <c r="A278" s="8">
        <v>2501</v>
      </c>
      <c r="B278" s="16">
        <v>44073</v>
      </c>
      <c r="C278" s="8">
        <v>30012780</v>
      </c>
      <c r="D278" s="8" t="s">
        <v>28</v>
      </c>
      <c r="E278" s="8" t="s">
        <v>29</v>
      </c>
      <c r="F278" s="8" t="s">
        <v>397</v>
      </c>
      <c r="G278" s="8">
        <v>15018346</v>
      </c>
      <c r="H278" s="8">
        <v>802094909</v>
      </c>
      <c r="I278" s="8" t="s">
        <v>31</v>
      </c>
      <c r="J278" s="8" t="s">
        <v>32</v>
      </c>
      <c r="K278" s="8" t="s">
        <v>1199</v>
      </c>
      <c r="L278" s="8" t="s">
        <v>740</v>
      </c>
      <c r="M278" s="8" t="s">
        <v>1715</v>
      </c>
      <c r="N278" s="8" t="s">
        <v>1734</v>
      </c>
      <c r="O278" s="8">
        <v>501.904</v>
      </c>
      <c r="P278" s="8" t="s">
        <v>33</v>
      </c>
      <c r="Q278" s="8" t="s">
        <v>153</v>
      </c>
      <c r="R278" s="8" t="s">
        <v>154</v>
      </c>
      <c r="S278" s="8">
        <v>19</v>
      </c>
      <c r="T278" s="8" t="s">
        <v>362</v>
      </c>
      <c r="U278" s="8" t="s">
        <v>290</v>
      </c>
      <c r="V278" s="8" t="s">
        <v>155</v>
      </c>
      <c r="W278" s="29" t="s">
        <v>1392</v>
      </c>
      <c r="X278" s="29"/>
      <c r="Y278" s="29">
        <v>494</v>
      </c>
      <c r="Z278" s="29"/>
      <c r="AA278" s="29" t="s">
        <v>39</v>
      </c>
      <c r="AB278" s="29">
        <v>31</v>
      </c>
      <c r="AC278" s="23">
        <v>44071</v>
      </c>
      <c r="AD278" s="23" t="s">
        <v>1734</v>
      </c>
      <c r="AE278" s="8">
        <v>0</v>
      </c>
      <c r="AF278" s="8">
        <v>0</v>
      </c>
      <c r="AG278" s="8"/>
    </row>
    <row r="279" spans="1:33" x14ac:dyDescent="0.2">
      <c r="A279" s="8">
        <v>2501</v>
      </c>
      <c r="B279" s="16">
        <v>44063</v>
      </c>
      <c r="C279" s="8">
        <v>30012776</v>
      </c>
      <c r="D279" s="8" t="s">
        <v>62</v>
      </c>
      <c r="E279" s="8" t="s">
        <v>217</v>
      </c>
      <c r="F279" s="8" t="s">
        <v>218</v>
      </c>
      <c r="G279" s="8">
        <v>15018220</v>
      </c>
      <c r="H279" s="8">
        <v>802094837</v>
      </c>
      <c r="I279" s="8" t="s">
        <v>31</v>
      </c>
      <c r="J279" s="8" t="s">
        <v>32</v>
      </c>
      <c r="K279" s="8" t="s">
        <v>1521</v>
      </c>
      <c r="L279" s="8" t="s">
        <v>1522</v>
      </c>
      <c r="M279" s="8" t="s">
        <v>1737</v>
      </c>
      <c r="N279" s="8" t="s">
        <v>1751</v>
      </c>
      <c r="O279" s="8">
        <v>487.68</v>
      </c>
      <c r="P279" s="8" t="s">
        <v>33</v>
      </c>
      <c r="Q279" s="8" t="s">
        <v>206</v>
      </c>
      <c r="R279" s="8" t="s">
        <v>35</v>
      </c>
      <c r="S279" s="8">
        <v>20</v>
      </c>
      <c r="T279" s="8" t="s">
        <v>36</v>
      </c>
      <c r="U279" s="8" t="s">
        <v>290</v>
      </c>
      <c r="V279" s="8" t="s">
        <v>1699</v>
      </c>
      <c r="W279" s="29" t="s">
        <v>1523</v>
      </c>
      <c r="X279" s="29"/>
      <c r="Y279" s="29">
        <v>480</v>
      </c>
      <c r="Z279" s="29"/>
      <c r="AA279" s="29" t="s">
        <v>39</v>
      </c>
      <c r="AB279" s="29">
        <v>31</v>
      </c>
      <c r="AC279" s="23">
        <v>44072</v>
      </c>
      <c r="AD279" s="23" t="s">
        <v>1751</v>
      </c>
      <c r="AE279" s="8">
        <v>0</v>
      </c>
      <c r="AF279" s="8">
        <v>0</v>
      </c>
      <c r="AG279" s="8"/>
    </row>
    <row r="280" spans="1:33" hidden="1" x14ac:dyDescent="0.2">
      <c r="A280" s="8">
        <v>2502</v>
      </c>
      <c r="B280" s="16">
        <v>44073</v>
      </c>
      <c r="C280" s="8">
        <v>30012786</v>
      </c>
      <c r="D280" s="8" t="s">
        <v>91</v>
      </c>
      <c r="E280" s="8" t="s">
        <v>107</v>
      </c>
      <c r="F280" s="8" t="s">
        <v>108</v>
      </c>
      <c r="G280" s="8">
        <v>15018318</v>
      </c>
      <c r="H280" s="8">
        <v>802094878</v>
      </c>
      <c r="I280" s="8" t="s">
        <v>31</v>
      </c>
      <c r="J280" s="8" t="s">
        <v>32</v>
      </c>
      <c r="K280" s="8" t="s">
        <v>177</v>
      </c>
      <c r="L280" s="8" t="s">
        <v>1527</v>
      </c>
      <c r="M280" s="8" t="s">
        <v>1715</v>
      </c>
      <c r="N280" s="8" t="s">
        <v>1756</v>
      </c>
      <c r="O280" s="8">
        <v>202.86</v>
      </c>
      <c r="P280" s="8" t="s">
        <v>84</v>
      </c>
      <c r="Q280" s="8" t="s">
        <v>105</v>
      </c>
      <c r="R280" s="8" t="s">
        <v>106</v>
      </c>
      <c r="S280" s="8">
        <v>9</v>
      </c>
      <c r="T280" s="8" t="s">
        <v>87</v>
      </c>
      <c r="U280" s="8" t="s">
        <v>290</v>
      </c>
      <c r="V280" s="8" t="s">
        <v>88</v>
      </c>
      <c r="W280" s="29" t="s">
        <v>1528</v>
      </c>
      <c r="X280" s="29"/>
      <c r="Y280" s="29">
        <v>207</v>
      </c>
      <c r="Z280" s="29" t="s">
        <v>1529</v>
      </c>
      <c r="AA280" s="29" t="s">
        <v>109</v>
      </c>
      <c r="AB280" s="29">
        <v>31</v>
      </c>
      <c r="AC280" s="23">
        <v>44071</v>
      </c>
      <c r="AD280" s="23" t="str">
        <f t="shared" ref="AD280:AD295" si="19">N280</f>
        <v>17/09/2020</v>
      </c>
      <c r="AE280" s="8">
        <v>0</v>
      </c>
      <c r="AF280" s="8">
        <v>0</v>
      </c>
      <c r="AG280" s="8"/>
    </row>
    <row r="281" spans="1:33" hidden="1" x14ac:dyDescent="0.2">
      <c r="A281" s="8">
        <v>2502</v>
      </c>
      <c r="B281" s="16">
        <v>44073</v>
      </c>
      <c r="C281" s="8">
        <v>30012786</v>
      </c>
      <c r="D281" s="8" t="s">
        <v>28</v>
      </c>
      <c r="E281" s="8" t="s">
        <v>98</v>
      </c>
      <c r="F281" s="8" t="s">
        <v>205</v>
      </c>
      <c r="G281" s="8">
        <v>15018323</v>
      </c>
      <c r="H281" s="8">
        <v>802094881</v>
      </c>
      <c r="I281" s="8" t="s">
        <v>99</v>
      </c>
      <c r="J281" s="8" t="s">
        <v>32</v>
      </c>
      <c r="K281" s="8" t="s">
        <v>177</v>
      </c>
      <c r="L281" s="8" t="s">
        <v>1527</v>
      </c>
      <c r="M281" s="8" t="s">
        <v>1715</v>
      </c>
      <c r="N281" s="8" t="s">
        <v>1752</v>
      </c>
      <c r="O281" s="8">
        <v>502.12799999999999</v>
      </c>
      <c r="P281" s="8" t="s">
        <v>84</v>
      </c>
      <c r="Q281" s="8" t="s">
        <v>206</v>
      </c>
      <c r="R281" s="8" t="s">
        <v>35</v>
      </c>
      <c r="S281" s="8">
        <v>22</v>
      </c>
      <c r="T281" s="8" t="s">
        <v>87</v>
      </c>
      <c r="U281" s="8" t="s">
        <v>290</v>
      </c>
      <c r="V281" s="8" t="s">
        <v>88</v>
      </c>
      <c r="W281" s="29" t="s">
        <v>1532</v>
      </c>
      <c r="X281" s="29"/>
      <c r="Y281" s="29">
        <v>528</v>
      </c>
      <c r="Z281" s="29"/>
      <c r="AA281" s="29" t="s">
        <v>39</v>
      </c>
      <c r="AB281" s="29">
        <v>31</v>
      </c>
      <c r="AC281" s="23">
        <v>44071</v>
      </c>
      <c r="AD281" s="23" t="str">
        <f t="shared" si="19"/>
        <v>28/09/2020</v>
      </c>
      <c r="AE281" s="8">
        <v>0</v>
      </c>
      <c r="AF281" s="8">
        <v>0</v>
      </c>
      <c r="AG281" s="8"/>
    </row>
    <row r="282" spans="1:33" hidden="1" x14ac:dyDescent="0.2">
      <c r="A282" s="8">
        <v>2502</v>
      </c>
      <c r="B282" s="16">
        <v>44073</v>
      </c>
      <c r="C282" s="8">
        <v>30012786</v>
      </c>
      <c r="D282" s="8" t="s">
        <v>28</v>
      </c>
      <c r="E282" s="8" t="s">
        <v>29</v>
      </c>
      <c r="F282" s="8" t="s">
        <v>41</v>
      </c>
      <c r="G282" s="8">
        <v>15018343</v>
      </c>
      <c r="H282" s="8">
        <v>802094906</v>
      </c>
      <c r="I282" s="8" t="s">
        <v>31</v>
      </c>
      <c r="J282" s="8" t="s">
        <v>32</v>
      </c>
      <c r="K282" s="8" t="s">
        <v>177</v>
      </c>
      <c r="L282" s="8" t="s">
        <v>1527</v>
      </c>
      <c r="M282" s="8" t="s">
        <v>1715</v>
      </c>
      <c r="N282" s="8" t="s">
        <v>1752</v>
      </c>
      <c r="O282" s="8">
        <v>493.92</v>
      </c>
      <c r="P282" s="8" t="s">
        <v>84</v>
      </c>
      <c r="Q282" s="8" t="s">
        <v>206</v>
      </c>
      <c r="R282" s="8" t="s">
        <v>35</v>
      </c>
      <c r="S282" s="8">
        <v>21</v>
      </c>
      <c r="T282" s="8" t="s">
        <v>87</v>
      </c>
      <c r="U282" s="8" t="s">
        <v>290</v>
      </c>
      <c r="V282" s="8" t="s">
        <v>88</v>
      </c>
      <c r="W282" s="29" t="s">
        <v>1535</v>
      </c>
      <c r="X282" s="29"/>
      <c r="Y282" s="29">
        <v>504</v>
      </c>
      <c r="Z282" s="29"/>
      <c r="AA282" s="29" t="s">
        <v>39</v>
      </c>
      <c r="AB282" s="29">
        <v>31</v>
      </c>
      <c r="AC282" s="23">
        <v>44071</v>
      </c>
      <c r="AD282" s="23" t="str">
        <f t="shared" si="19"/>
        <v>28/09/2020</v>
      </c>
      <c r="AE282" s="8">
        <v>0</v>
      </c>
      <c r="AF282" s="8">
        <v>0</v>
      </c>
      <c r="AG282" s="8"/>
    </row>
    <row r="283" spans="1:33" hidden="1" x14ac:dyDescent="0.2">
      <c r="A283" s="8">
        <v>2502</v>
      </c>
      <c r="B283" s="16">
        <v>44073</v>
      </c>
      <c r="C283" s="8">
        <v>30012786</v>
      </c>
      <c r="D283" s="8" t="s">
        <v>152</v>
      </c>
      <c r="E283" s="8" t="s">
        <v>508</v>
      </c>
      <c r="F283" s="8" t="s">
        <v>509</v>
      </c>
      <c r="G283" s="8">
        <v>15018461</v>
      </c>
      <c r="H283" s="8">
        <v>802095154</v>
      </c>
      <c r="I283" s="8" t="s">
        <v>94</v>
      </c>
      <c r="J283" s="8" t="s">
        <v>95</v>
      </c>
      <c r="K283" s="8" t="s">
        <v>177</v>
      </c>
      <c r="L283" s="8" t="s">
        <v>1527</v>
      </c>
      <c r="M283" s="8" t="s">
        <v>1715</v>
      </c>
      <c r="N283" s="8" t="s">
        <v>1766</v>
      </c>
      <c r="O283" s="8">
        <v>191.21600000000001</v>
      </c>
      <c r="P283" s="8" t="s">
        <v>84</v>
      </c>
      <c r="Q283" s="8" t="s">
        <v>49</v>
      </c>
      <c r="R283" s="8" t="s">
        <v>50</v>
      </c>
      <c r="S283" s="8">
        <v>8</v>
      </c>
      <c r="T283" s="8" t="s">
        <v>87</v>
      </c>
      <c r="U283" s="8" t="s">
        <v>290</v>
      </c>
      <c r="V283" s="8" t="s">
        <v>88</v>
      </c>
      <c r="W283" s="29" t="s">
        <v>1538</v>
      </c>
      <c r="X283" s="29"/>
      <c r="Y283" s="29">
        <v>136</v>
      </c>
      <c r="Z283" s="29" t="s">
        <v>996</v>
      </c>
      <c r="AA283" s="29" t="s">
        <v>39</v>
      </c>
      <c r="AB283" s="29">
        <v>31</v>
      </c>
      <c r="AC283" s="23">
        <v>44071</v>
      </c>
      <c r="AD283" s="23" t="str">
        <f t="shared" si="19"/>
        <v>27/09/2020</v>
      </c>
      <c r="AE283" s="8">
        <v>0</v>
      </c>
      <c r="AF283" s="8">
        <v>0</v>
      </c>
      <c r="AG283" s="8"/>
    </row>
    <row r="284" spans="1:33" hidden="1" x14ac:dyDescent="0.2">
      <c r="A284" s="8">
        <v>2502</v>
      </c>
      <c r="B284" s="16">
        <v>44073</v>
      </c>
      <c r="C284" s="8">
        <v>30012786</v>
      </c>
      <c r="D284" s="8" t="s">
        <v>91</v>
      </c>
      <c r="E284" s="8" t="s">
        <v>92</v>
      </c>
      <c r="F284" s="8" t="s">
        <v>93</v>
      </c>
      <c r="G284" s="8">
        <v>15018478</v>
      </c>
      <c r="H284" s="8">
        <v>802095171</v>
      </c>
      <c r="I284" s="8" t="s">
        <v>714</v>
      </c>
      <c r="J284" s="8" t="s">
        <v>95</v>
      </c>
      <c r="K284" s="8" t="s">
        <v>177</v>
      </c>
      <c r="L284" s="8" t="s">
        <v>1527</v>
      </c>
      <c r="M284" s="8" t="s">
        <v>1715</v>
      </c>
      <c r="N284" s="8" t="s">
        <v>1743</v>
      </c>
      <c r="O284" s="8">
        <v>196</v>
      </c>
      <c r="P284" s="8" t="s">
        <v>84</v>
      </c>
      <c r="Q284" s="8" t="s">
        <v>96</v>
      </c>
      <c r="R284" s="8" t="s">
        <v>97</v>
      </c>
      <c r="S284" s="8">
        <v>8</v>
      </c>
      <c r="T284" s="8" t="s">
        <v>87</v>
      </c>
      <c r="U284" s="8" t="s">
        <v>290</v>
      </c>
      <c r="V284" s="8" t="s">
        <v>88</v>
      </c>
      <c r="W284" s="29" t="s">
        <v>1541</v>
      </c>
      <c r="X284" s="29"/>
      <c r="Y284" s="29">
        <v>280</v>
      </c>
      <c r="Z284" s="29"/>
      <c r="AA284" s="29" t="s">
        <v>39</v>
      </c>
      <c r="AB284" s="29">
        <v>31</v>
      </c>
      <c r="AC284" s="23">
        <v>44071</v>
      </c>
      <c r="AD284" s="23" t="str">
        <f t="shared" si="19"/>
        <v>25/09/2020</v>
      </c>
      <c r="AE284" s="8">
        <v>0</v>
      </c>
      <c r="AF284" s="8">
        <v>0</v>
      </c>
      <c r="AG284" s="8"/>
    </row>
    <row r="285" spans="1:33" hidden="1" x14ac:dyDescent="0.2">
      <c r="A285" s="8">
        <v>2502</v>
      </c>
      <c r="B285" s="16">
        <v>44073</v>
      </c>
      <c r="C285" s="8">
        <v>30012786</v>
      </c>
      <c r="D285" s="8" t="s">
        <v>91</v>
      </c>
      <c r="E285" s="8" t="s">
        <v>92</v>
      </c>
      <c r="F285" s="8" t="s">
        <v>93</v>
      </c>
      <c r="G285" s="8">
        <v>15018479</v>
      </c>
      <c r="H285" s="8">
        <v>802095172</v>
      </c>
      <c r="I285" s="8" t="s">
        <v>714</v>
      </c>
      <c r="J285" s="8" t="s">
        <v>95</v>
      </c>
      <c r="K285" s="8" t="s">
        <v>177</v>
      </c>
      <c r="L285" s="8" t="s">
        <v>1527</v>
      </c>
      <c r="M285" s="8" t="s">
        <v>1715</v>
      </c>
      <c r="N285" s="8" t="s">
        <v>1743</v>
      </c>
      <c r="O285" s="8">
        <v>196</v>
      </c>
      <c r="P285" s="8" t="s">
        <v>84</v>
      </c>
      <c r="Q285" s="8" t="s">
        <v>96</v>
      </c>
      <c r="R285" s="8" t="s">
        <v>97</v>
      </c>
      <c r="S285" s="8">
        <v>8</v>
      </c>
      <c r="T285" s="8" t="s">
        <v>87</v>
      </c>
      <c r="U285" s="8" t="s">
        <v>290</v>
      </c>
      <c r="V285" s="8" t="s">
        <v>88</v>
      </c>
      <c r="W285" s="29" t="s">
        <v>1544</v>
      </c>
      <c r="X285" s="29"/>
      <c r="Y285" s="29">
        <v>280</v>
      </c>
      <c r="Z285" s="29"/>
      <c r="AA285" s="29" t="s">
        <v>39</v>
      </c>
      <c r="AB285" s="29">
        <v>31</v>
      </c>
      <c r="AC285" s="23">
        <v>44071</v>
      </c>
      <c r="AD285" s="23" t="str">
        <f t="shared" si="19"/>
        <v>25/09/2020</v>
      </c>
      <c r="AE285" s="8">
        <v>0</v>
      </c>
      <c r="AF285" s="8">
        <v>0</v>
      </c>
      <c r="AG285" s="8"/>
    </row>
    <row r="286" spans="1:33" hidden="1" x14ac:dyDescent="0.2">
      <c r="A286" s="8">
        <v>2502</v>
      </c>
      <c r="B286" s="16">
        <v>44073</v>
      </c>
      <c r="C286" s="8">
        <v>30012786</v>
      </c>
      <c r="D286" s="8" t="s">
        <v>54</v>
      </c>
      <c r="E286" s="8" t="s">
        <v>879</v>
      </c>
      <c r="F286" s="8" t="s">
        <v>880</v>
      </c>
      <c r="G286" s="8">
        <v>15018551</v>
      </c>
      <c r="H286" s="8">
        <v>802095702</v>
      </c>
      <c r="I286" s="8" t="s">
        <v>883</v>
      </c>
      <c r="J286" s="8" t="s">
        <v>83</v>
      </c>
      <c r="K286" s="8" t="s">
        <v>177</v>
      </c>
      <c r="L286" s="8" t="s">
        <v>1527</v>
      </c>
      <c r="M286" s="8" t="s">
        <v>1715</v>
      </c>
      <c r="N286" s="8" t="s">
        <v>1756</v>
      </c>
      <c r="O286" s="8">
        <v>253.44</v>
      </c>
      <c r="P286" s="8" t="s">
        <v>84</v>
      </c>
      <c r="Q286" s="8" t="s">
        <v>105</v>
      </c>
      <c r="R286" s="8" t="s">
        <v>106</v>
      </c>
      <c r="S286" s="8">
        <v>11</v>
      </c>
      <c r="T286" s="8" t="s">
        <v>87</v>
      </c>
      <c r="U286" s="8" t="s">
        <v>290</v>
      </c>
      <c r="V286" s="8" t="s">
        <v>88</v>
      </c>
      <c r="W286" s="29"/>
      <c r="X286" s="29"/>
      <c r="Y286" s="29">
        <v>264</v>
      </c>
      <c r="Z286" s="29" t="s">
        <v>1512</v>
      </c>
      <c r="AA286" s="29" t="s">
        <v>39</v>
      </c>
      <c r="AB286" s="29">
        <v>31</v>
      </c>
      <c r="AC286" s="23">
        <v>44071</v>
      </c>
      <c r="AD286" s="23" t="str">
        <f t="shared" si="19"/>
        <v>17/09/2020</v>
      </c>
      <c r="AE286" s="8">
        <v>0</v>
      </c>
      <c r="AF286" s="8">
        <v>0</v>
      </c>
      <c r="AG286" s="8"/>
    </row>
    <row r="287" spans="1:33" hidden="1" x14ac:dyDescent="0.2">
      <c r="A287" s="8">
        <v>2502</v>
      </c>
      <c r="B287" s="16">
        <v>44073</v>
      </c>
      <c r="C287" s="8">
        <v>30012786</v>
      </c>
      <c r="D287" s="8" t="s">
        <v>28</v>
      </c>
      <c r="E287" s="8" t="s">
        <v>129</v>
      </c>
      <c r="F287" s="8" t="s">
        <v>507</v>
      </c>
      <c r="G287" s="8">
        <v>15018555</v>
      </c>
      <c r="H287" s="8">
        <v>802095704</v>
      </c>
      <c r="I287" s="8" t="s">
        <v>31</v>
      </c>
      <c r="J287" s="8" t="s">
        <v>32</v>
      </c>
      <c r="K287" s="8" t="s">
        <v>177</v>
      </c>
      <c r="L287" s="8" t="s">
        <v>1527</v>
      </c>
      <c r="M287" s="8" t="s">
        <v>1715</v>
      </c>
      <c r="N287" s="8" t="s">
        <v>1752</v>
      </c>
      <c r="O287" s="8">
        <v>258.72000000000003</v>
      </c>
      <c r="P287" s="8" t="s">
        <v>84</v>
      </c>
      <c r="Q287" s="8" t="s">
        <v>405</v>
      </c>
      <c r="R287" s="8" t="s">
        <v>406</v>
      </c>
      <c r="S287" s="8">
        <v>11</v>
      </c>
      <c r="T287" s="8" t="s">
        <v>87</v>
      </c>
      <c r="U287" s="8" t="s">
        <v>290</v>
      </c>
      <c r="V287" s="8" t="s">
        <v>88</v>
      </c>
      <c r="W287" s="29"/>
      <c r="X287" s="29"/>
      <c r="Y287" s="29">
        <v>264</v>
      </c>
      <c r="Z287" s="29"/>
      <c r="AA287" s="29" t="s">
        <v>39</v>
      </c>
      <c r="AB287" s="29">
        <v>31</v>
      </c>
      <c r="AC287" s="23">
        <v>44071</v>
      </c>
      <c r="AD287" s="23" t="str">
        <f t="shared" si="19"/>
        <v>28/09/2020</v>
      </c>
      <c r="AE287" s="8">
        <v>0</v>
      </c>
      <c r="AF287" s="8">
        <v>0</v>
      </c>
      <c r="AG287" s="8"/>
    </row>
    <row r="288" spans="1:33" hidden="1" x14ac:dyDescent="0.2">
      <c r="A288" s="8">
        <v>2504</v>
      </c>
      <c r="B288" s="16">
        <v>44073</v>
      </c>
      <c r="C288" s="8">
        <v>30012835</v>
      </c>
      <c r="D288" s="8" t="s">
        <v>74</v>
      </c>
      <c r="E288" s="8" t="s">
        <v>75</v>
      </c>
      <c r="F288" s="8" t="s">
        <v>966</v>
      </c>
      <c r="G288" s="8">
        <v>15018458</v>
      </c>
      <c r="H288" s="8">
        <v>802095137</v>
      </c>
      <c r="I288" s="8" t="s">
        <v>77</v>
      </c>
      <c r="J288" s="8" t="s">
        <v>32</v>
      </c>
      <c r="K288" s="8" t="s">
        <v>1587</v>
      </c>
      <c r="L288" s="8" t="s">
        <v>1588</v>
      </c>
      <c r="M288" s="8" t="s">
        <v>1725</v>
      </c>
      <c r="N288" s="8" t="s">
        <v>1772</v>
      </c>
      <c r="O288" s="8">
        <v>496.8</v>
      </c>
      <c r="P288" s="8" t="s">
        <v>48</v>
      </c>
      <c r="Q288" s="8" t="s">
        <v>149</v>
      </c>
      <c r="R288" s="8" t="s">
        <v>150</v>
      </c>
      <c r="S288" s="8">
        <v>20</v>
      </c>
      <c r="T288" s="8" t="s">
        <v>36</v>
      </c>
      <c r="U288" s="8" t="s">
        <v>290</v>
      </c>
      <c r="V288" s="8" t="s">
        <v>88</v>
      </c>
      <c r="W288" s="29" t="s">
        <v>1592</v>
      </c>
      <c r="X288" s="29"/>
      <c r="Y288" s="29">
        <v>480</v>
      </c>
      <c r="Z288" s="29"/>
      <c r="AA288" s="29" t="s">
        <v>39</v>
      </c>
      <c r="AB288" s="29">
        <v>31</v>
      </c>
      <c r="AC288" s="23" t="str">
        <f>M288</f>
        <v>26/08/2020</v>
      </c>
      <c r="AD288" s="23" t="str">
        <f t="shared" si="19"/>
        <v>12/10/2020</v>
      </c>
      <c r="AE288" s="8"/>
      <c r="AF288" s="8"/>
      <c r="AG288" s="8"/>
    </row>
    <row r="289" spans="1:33" hidden="1" x14ac:dyDescent="0.2">
      <c r="A289" s="8">
        <v>2504</v>
      </c>
      <c r="B289" s="16">
        <v>44074</v>
      </c>
      <c r="C289" s="8">
        <v>30012827</v>
      </c>
      <c r="D289" s="8" t="s">
        <v>62</v>
      </c>
      <c r="E289" s="8" t="s">
        <v>296</v>
      </c>
      <c r="F289" s="8" t="s">
        <v>297</v>
      </c>
      <c r="G289" s="8">
        <v>15018274</v>
      </c>
      <c r="H289" s="8">
        <v>802094847</v>
      </c>
      <c r="I289" s="8" t="s">
        <v>298</v>
      </c>
      <c r="J289" s="8" t="s">
        <v>58</v>
      </c>
      <c r="K289" s="8" t="s">
        <v>1625</v>
      </c>
      <c r="L289" s="8" t="s">
        <v>547</v>
      </c>
      <c r="M289" s="8" t="s">
        <v>1715</v>
      </c>
      <c r="N289" s="8" t="s">
        <v>1764</v>
      </c>
      <c r="O289" s="8">
        <v>70.334999999999994</v>
      </c>
      <c r="P289" s="8" t="s">
        <v>48</v>
      </c>
      <c r="Q289" s="8" t="s">
        <v>1705</v>
      </c>
      <c r="R289" s="8" t="s">
        <v>60</v>
      </c>
      <c r="S289" s="8">
        <v>3</v>
      </c>
      <c r="T289" s="8" t="s">
        <v>61</v>
      </c>
      <c r="U289" s="8" t="s">
        <v>290</v>
      </c>
      <c r="V289" s="8" t="s">
        <v>1706</v>
      </c>
      <c r="W289" s="29" t="s">
        <v>1626</v>
      </c>
      <c r="X289" s="29"/>
      <c r="Y289" s="29">
        <v>27</v>
      </c>
      <c r="Z289" s="29" t="s">
        <v>1627</v>
      </c>
      <c r="AA289" s="29" t="s">
        <v>39</v>
      </c>
      <c r="AB289" s="29">
        <v>31</v>
      </c>
      <c r="AC289" s="23" t="str">
        <f>M289</f>
        <v>28/08/2020</v>
      </c>
      <c r="AD289" s="23" t="str">
        <f t="shared" si="19"/>
        <v>19/09/2020</v>
      </c>
      <c r="AE289" s="8"/>
      <c r="AF289" s="8"/>
      <c r="AG289" s="8"/>
    </row>
    <row r="290" spans="1:33" hidden="1" x14ac:dyDescent="0.2">
      <c r="A290" s="8">
        <v>2504</v>
      </c>
      <c r="B290" s="16">
        <v>44074</v>
      </c>
      <c r="C290" s="8">
        <v>30012827</v>
      </c>
      <c r="D290" s="8" t="s">
        <v>62</v>
      </c>
      <c r="E290" s="8" t="s">
        <v>294</v>
      </c>
      <c r="F290" s="8" t="s">
        <v>295</v>
      </c>
      <c r="G290" s="8">
        <v>15018275</v>
      </c>
      <c r="H290" s="8">
        <v>802094848</v>
      </c>
      <c r="I290" s="8" t="s">
        <v>77</v>
      </c>
      <c r="J290" s="8" t="s">
        <v>32</v>
      </c>
      <c r="K290" s="8" t="s">
        <v>1625</v>
      </c>
      <c r="L290" s="8" t="s">
        <v>547</v>
      </c>
      <c r="M290" s="8" t="s">
        <v>1715</v>
      </c>
      <c r="N290" s="8" t="s">
        <v>1764</v>
      </c>
      <c r="O290" s="8">
        <v>99.36</v>
      </c>
      <c r="P290" s="8" t="s">
        <v>48</v>
      </c>
      <c r="Q290" s="8" t="s">
        <v>1705</v>
      </c>
      <c r="R290" s="8" t="s">
        <v>60</v>
      </c>
      <c r="S290" s="8">
        <v>4</v>
      </c>
      <c r="T290" s="8" t="s">
        <v>36</v>
      </c>
      <c r="U290" s="8" t="s">
        <v>290</v>
      </c>
      <c r="V290" s="8" t="s">
        <v>1706</v>
      </c>
      <c r="W290" s="29" t="s">
        <v>1630</v>
      </c>
      <c r="X290" s="29"/>
      <c r="Y290" s="29">
        <v>96</v>
      </c>
      <c r="Z290" s="29" t="s">
        <v>1492</v>
      </c>
      <c r="AA290" s="29" t="s">
        <v>39</v>
      </c>
      <c r="AB290" s="29">
        <v>31</v>
      </c>
      <c r="AC290" s="23" t="str">
        <f>M290</f>
        <v>28/08/2020</v>
      </c>
      <c r="AD290" s="23" t="str">
        <f t="shared" si="19"/>
        <v>19/09/2020</v>
      </c>
      <c r="AE290" s="8"/>
      <c r="AF290" s="8"/>
      <c r="AG290" s="8"/>
    </row>
    <row r="291" spans="1:33" hidden="1" x14ac:dyDescent="0.2">
      <c r="A291" s="8">
        <v>2504</v>
      </c>
      <c r="B291" s="16">
        <v>44068</v>
      </c>
      <c r="C291" s="8">
        <v>30012854</v>
      </c>
      <c r="D291" s="8" t="s">
        <v>91</v>
      </c>
      <c r="E291" s="8" t="s">
        <v>258</v>
      </c>
      <c r="F291" s="8" t="s">
        <v>259</v>
      </c>
      <c r="G291" s="8">
        <v>15018486</v>
      </c>
      <c r="H291" s="8">
        <v>802095176</v>
      </c>
      <c r="I291" s="8" t="s">
        <v>77</v>
      </c>
      <c r="J291" s="8" t="s">
        <v>32</v>
      </c>
      <c r="K291" s="8" t="s">
        <v>581</v>
      </c>
      <c r="L291" s="8" t="s">
        <v>1634</v>
      </c>
      <c r="M291" s="8" t="s">
        <v>1715</v>
      </c>
      <c r="N291" s="8" t="s">
        <v>1773</v>
      </c>
      <c r="O291" s="8">
        <v>198.72</v>
      </c>
      <c r="P291" s="8" t="s">
        <v>48</v>
      </c>
      <c r="Q291" s="8" t="s">
        <v>134</v>
      </c>
      <c r="R291" s="8" t="s">
        <v>135</v>
      </c>
      <c r="S291" s="8">
        <v>8</v>
      </c>
      <c r="T291" s="8" t="s">
        <v>36</v>
      </c>
      <c r="U291" s="8" t="s">
        <v>290</v>
      </c>
      <c r="V291" s="8" t="s">
        <v>1706</v>
      </c>
      <c r="W291" s="29" t="s">
        <v>1635</v>
      </c>
      <c r="X291" s="29"/>
      <c r="Y291" s="29">
        <v>192</v>
      </c>
      <c r="Z291" s="29"/>
      <c r="AA291" s="29" t="s">
        <v>39</v>
      </c>
      <c r="AB291" s="29">
        <v>31</v>
      </c>
      <c r="AC291" s="23" t="str">
        <f>M291</f>
        <v>28/08/2020</v>
      </c>
      <c r="AD291" s="23" t="str">
        <f t="shared" si="19"/>
        <v>20/09/2020</v>
      </c>
      <c r="AE291" s="8"/>
      <c r="AF291" s="8"/>
      <c r="AG291" s="8"/>
    </row>
    <row r="292" spans="1:33" hidden="1" x14ac:dyDescent="0.2">
      <c r="A292" s="8">
        <v>2504</v>
      </c>
      <c r="B292" s="16">
        <v>44073</v>
      </c>
      <c r="C292" s="8">
        <v>30012864</v>
      </c>
      <c r="D292" s="8" t="s">
        <v>74</v>
      </c>
      <c r="E292" s="8" t="s">
        <v>75</v>
      </c>
      <c r="F292" s="8" t="s">
        <v>966</v>
      </c>
      <c r="G292" s="8">
        <v>15018453</v>
      </c>
      <c r="H292" s="8">
        <v>802095132</v>
      </c>
      <c r="I292" s="8" t="s">
        <v>77</v>
      </c>
      <c r="J292" s="8" t="s">
        <v>32</v>
      </c>
      <c r="K292" s="8" t="s">
        <v>1695</v>
      </c>
      <c r="L292" s="8" t="s">
        <v>1640</v>
      </c>
      <c r="M292" s="8" t="s">
        <v>1715</v>
      </c>
      <c r="N292" s="8" t="s">
        <v>1774</v>
      </c>
      <c r="O292" s="8">
        <v>496.8</v>
      </c>
      <c r="P292" s="8" t="s">
        <v>48</v>
      </c>
      <c r="Q292" s="8" t="s">
        <v>149</v>
      </c>
      <c r="R292" s="8" t="s">
        <v>150</v>
      </c>
      <c r="S292" s="8">
        <v>20</v>
      </c>
      <c r="T292" s="8" t="s">
        <v>36</v>
      </c>
      <c r="U292" s="8" t="s">
        <v>290</v>
      </c>
      <c r="V292" s="8" t="s">
        <v>1718</v>
      </c>
      <c r="W292" s="29" t="s">
        <v>1641</v>
      </c>
      <c r="X292" s="29"/>
      <c r="Y292" s="29">
        <v>480</v>
      </c>
      <c r="Z292" s="29"/>
      <c r="AA292" s="29" t="s">
        <v>39</v>
      </c>
      <c r="AB292" s="29">
        <v>31</v>
      </c>
      <c r="AC292" s="23" t="str">
        <f>M292</f>
        <v>28/08/2020</v>
      </c>
      <c r="AD292" s="23" t="str">
        <f t="shared" si="19"/>
        <v>27/10/2020</v>
      </c>
      <c r="AE292" s="8"/>
      <c r="AF292" s="8"/>
      <c r="AG292" s="8"/>
    </row>
    <row r="293" spans="1:33" x14ac:dyDescent="0.2">
      <c r="A293" s="8">
        <v>2501</v>
      </c>
      <c r="B293" s="16">
        <v>44073</v>
      </c>
      <c r="C293" s="8">
        <v>30012767</v>
      </c>
      <c r="D293" s="8" t="s">
        <v>74</v>
      </c>
      <c r="E293" s="8" t="s">
        <v>207</v>
      </c>
      <c r="F293" s="8" t="s">
        <v>208</v>
      </c>
      <c r="G293" s="8">
        <v>15018187</v>
      </c>
      <c r="H293" s="8">
        <v>802094828</v>
      </c>
      <c r="I293" s="8" t="s">
        <v>291</v>
      </c>
      <c r="J293" s="8" t="s">
        <v>58</v>
      </c>
      <c r="K293" s="8" t="s">
        <v>573</v>
      </c>
      <c r="L293" s="8" t="s">
        <v>1588</v>
      </c>
      <c r="M293" s="8" t="s">
        <v>1711</v>
      </c>
      <c r="N293" s="8" t="s">
        <v>1775</v>
      </c>
      <c r="O293" s="8">
        <v>51.28</v>
      </c>
      <c r="P293" s="8" t="s">
        <v>33</v>
      </c>
      <c r="Q293" s="8" t="s">
        <v>210</v>
      </c>
      <c r="R293" s="8" t="s">
        <v>364</v>
      </c>
      <c r="S293" s="8">
        <v>2</v>
      </c>
      <c r="T293" s="8" t="s">
        <v>72</v>
      </c>
      <c r="U293" s="8" t="s">
        <v>290</v>
      </c>
      <c r="V293" s="8" t="s">
        <v>65</v>
      </c>
      <c r="W293" s="29" t="s">
        <v>1651</v>
      </c>
      <c r="X293" s="29"/>
      <c r="Y293" s="29">
        <v>20</v>
      </c>
      <c r="Z293" s="29" t="s">
        <v>1466</v>
      </c>
      <c r="AA293" s="29" t="s">
        <v>39</v>
      </c>
      <c r="AB293" s="29">
        <v>31</v>
      </c>
      <c r="AC293" s="23">
        <v>44073</v>
      </c>
      <c r="AD293" s="23" t="str">
        <f t="shared" si="19"/>
        <v>21/10/2020</v>
      </c>
      <c r="AE293" s="8">
        <v>0</v>
      </c>
      <c r="AF293" s="8"/>
      <c r="AG293" s="8"/>
    </row>
    <row r="294" spans="1:33" hidden="1" x14ac:dyDescent="0.2">
      <c r="A294" s="8">
        <v>2504</v>
      </c>
      <c r="B294" s="16">
        <v>44074</v>
      </c>
      <c r="C294" s="8">
        <v>30012838</v>
      </c>
      <c r="D294" s="8" t="s">
        <v>137</v>
      </c>
      <c r="E294" s="8" t="s">
        <v>392</v>
      </c>
      <c r="F294" s="8" t="s">
        <v>393</v>
      </c>
      <c r="G294" s="8">
        <v>15018259</v>
      </c>
      <c r="H294" s="8">
        <v>802094842</v>
      </c>
      <c r="I294" s="8" t="s">
        <v>394</v>
      </c>
      <c r="J294" s="8" t="s">
        <v>58</v>
      </c>
      <c r="K294" s="8" t="s">
        <v>245</v>
      </c>
      <c r="L294" s="8" t="s">
        <v>1645</v>
      </c>
      <c r="M294" s="8" t="s">
        <v>1737</v>
      </c>
      <c r="N294" s="8" t="s">
        <v>1752</v>
      </c>
      <c r="O294" s="8">
        <v>145.29599999999999</v>
      </c>
      <c r="P294" s="8" t="s">
        <v>48</v>
      </c>
      <c r="Q294" s="8" t="s">
        <v>498</v>
      </c>
      <c r="R294" s="8" t="s">
        <v>395</v>
      </c>
      <c r="S294" s="8">
        <v>6</v>
      </c>
      <c r="T294" s="8" t="s">
        <v>36</v>
      </c>
      <c r="U294" s="8" t="s">
        <v>290</v>
      </c>
      <c r="V294" s="8" t="s">
        <v>1706</v>
      </c>
      <c r="W294" s="29" t="s">
        <v>1646</v>
      </c>
      <c r="X294" s="29"/>
      <c r="Y294" s="29">
        <v>72</v>
      </c>
      <c r="Z294" s="29" t="s">
        <v>1647</v>
      </c>
      <c r="AA294" s="29" t="s">
        <v>39</v>
      </c>
      <c r="AB294" s="29">
        <v>31</v>
      </c>
      <c r="AC294" s="23" t="str">
        <f>M294</f>
        <v>29/08/2020</v>
      </c>
      <c r="AD294" s="23" t="str">
        <f t="shared" si="19"/>
        <v>28/09/2020</v>
      </c>
      <c r="AE294" s="8"/>
      <c r="AF294" s="8"/>
      <c r="AG294" s="8"/>
    </row>
    <row r="295" spans="1:33" hidden="1" x14ac:dyDescent="0.2">
      <c r="A295" s="8">
        <v>2504</v>
      </c>
      <c r="B295" s="16">
        <v>44073</v>
      </c>
      <c r="C295" s="8">
        <v>30012841</v>
      </c>
      <c r="D295" s="8" t="s">
        <v>365</v>
      </c>
      <c r="E295" s="8" t="s">
        <v>543</v>
      </c>
      <c r="F295" s="8" t="s">
        <v>575</v>
      </c>
      <c r="G295" s="8">
        <v>15018441</v>
      </c>
      <c r="H295" s="8">
        <v>802095159</v>
      </c>
      <c r="I295" s="8" t="s">
        <v>77</v>
      </c>
      <c r="J295" s="8" t="s">
        <v>32</v>
      </c>
      <c r="K295" s="8" t="s">
        <v>1696</v>
      </c>
      <c r="L295" s="8" t="s">
        <v>1588</v>
      </c>
      <c r="M295" s="8" t="s">
        <v>1711</v>
      </c>
      <c r="N295" s="8" t="s">
        <v>1756</v>
      </c>
      <c r="O295" s="8">
        <v>496.8</v>
      </c>
      <c r="P295" s="8" t="s">
        <v>48</v>
      </c>
      <c r="Q295" s="8" t="s">
        <v>576</v>
      </c>
      <c r="R295" s="8" t="s">
        <v>577</v>
      </c>
      <c r="S295" s="8">
        <v>24</v>
      </c>
      <c r="T295" s="8" t="s">
        <v>42</v>
      </c>
      <c r="U295" s="8" t="s">
        <v>1694</v>
      </c>
      <c r="V295" s="8" t="s">
        <v>1710</v>
      </c>
      <c r="W295" s="29" t="s">
        <v>1178</v>
      </c>
      <c r="X295" s="29"/>
      <c r="Y295" s="29">
        <v>480</v>
      </c>
      <c r="Z295" s="29"/>
      <c r="AA295" s="29" t="s">
        <v>39</v>
      </c>
      <c r="AB295" s="29">
        <v>31</v>
      </c>
      <c r="AC295" s="23" t="str">
        <f>M295</f>
        <v>30/08/2020</v>
      </c>
      <c r="AD295" s="23" t="str">
        <f t="shared" si="19"/>
        <v>17/09/2020</v>
      </c>
      <c r="AE295" s="8"/>
      <c r="AF295" s="8"/>
      <c r="AG295" s="8"/>
    </row>
    <row r="296" spans="1:33" x14ac:dyDescent="0.2">
      <c r="A296" s="8">
        <v>2501</v>
      </c>
      <c r="B296" s="16">
        <v>44073</v>
      </c>
      <c r="C296" s="8">
        <v>30012857</v>
      </c>
      <c r="D296" s="8" t="s">
        <v>28</v>
      </c>
      <c r="E296" s="8" t="s">
        <v>29</v>
      </c>
      <c r="F296" s="8" t="s">
        <v>41</v>
      </c>
      <c r="G296" s="8">
        <v>15018498</v>
      </c>
      <c r="H296" s="8">
        <v>802095184</v>
      </c>
      <c r="I296" s="8" t="s">
        <v>31</v>
      </c>
      <c r="J296" s="8" t="s">
        <v>32</v>
      </c>
      <c r="K296" s="8" t="s">
        <v>574</v>
      </c>
      <c r="L296" s="8" t="s">
        <v>1516</v>
      </c>
      <c r="M296" s="8" t="s">
        <v>1732</v>
      </c>
      <c r="N296" s="8" t="s">
        <v>1754</v>
      </c>
      <c r="O296" s="8">
        <v>501.904</v>
      </c>
      <c r="P296" s="8" t="s">
        <v>33</v>
      </c>
      <c r="Q296" s="8" t="s">
        <v>115</v>
      </c>
      <c r="R296" s="8" t="s">
        <v>116</v>
      </c>
      <c r="S296" s="8">
        <v>26</v>
      </c>
      <c r="T296" s="8" t="s">
        <v>140</v>
      </c>
      <c r="U296" s="8" t="s">
        <v>290</v>
      </c>
      <c r="V296" s="8" t="s">
        <v>1706</v>
      </c>
      <c r="W296" s="29" t="s">
        <v>1655</v>
      </c>
      <c r="X296" s="29"/>
      <c r="Y296" s="29">
        <v>494</v>
      </c>
      <c r="Z296" s="29"/>
      <c r="AA296" s="29" t="s">
        <v>39</v>
      </c>
      <c r="AB296" s="29">
        <v>31</v>
      </c>
      <c r="AC296" s="23" t="s">
        <v>1732</v>
      </c>
      <c r="AD296" s="23" t="s">
        <v>1754</v>
      </c>
      <c r="AE296" s="8">
        <v>0</v>
      </c>
      <c r="AF296" s="8">
        <v>0</v>
      </c>
      <c r="AG296" s="8"/>
    </row>
    <row r="297" spans="1:33" x14ac:dyDescent="0.2">
      <c r="A297" s="8">
        <v>2501</v>
      </c>
      <c r="B297" s="16">
        <v>44073</v>
      </c>
      <c r="C297" s="8">
        <v>30012857</v>
      </c>
      <c r="D297" s="8" t="s">
        <v>28</v>
      </c>
      <c r="E297" s="8" t="s">
        <v>29</v>
      </c>
      <c r="F297" s="8" t="s">
        <v>41</v>
      </c>
      <c r="G297" s="8">
        <v>15018499</v>
      </c>
      <c r="H297" s="8">
        <v>802095185</v>
      </c>
      <c r="I297" s="8" t="s">
        <v>31</v>
      </c>
      <c r="J297" s="8" t="s">
        <v>32</v>
      </c>
      <c r="K297" s="8" t="s">
        <v>574</v>
      </c>
      <c r="L297" s="8" t="s">
        <v>1516</v>
      </c>
      <c r="M297" s="8" t="s">
        <v>1732</v>
      </c>
      <c r="N297" s="8" t="s">
        <v>1754</v>
      </c>
      <c r="O297" s="8">
        <v>501.904</v>
      </c>
      <c r="P297" s="8" t="s">
        <v>33</v>
      </c>
      <c r="Q297" s="8" t="s">
        <v>115</v>
      </c>
      <c r="R297" s="8" t="s">
        <v>116</v>
      </c>
      <c r="S297" s="8">
        <v>26</v>
      </c>
      <c r="T297" s="8" t="s">
        <v>140</v>
      </c>
      <c r="U297" s="8" t="s">
        <v>290</v>
      </c>
      <c r="V297" s="8" t="s">
        <v>1706</v>
      </c>
      <c r="W297" s="29" t="s">
        <v>1658</v>
      </c>
      <c r="X297" s="29"/>
      <c r="Y297" s="29">
        <v>494</v>
      </c>
      <c r="Z297" s="29"/>
      <c r="AA297" s="29" t="s">
        <v>39</v>
      </c>
      <c r="AB297" s="29">
        <v>31</v>
      </c>
      <c r="AC297" s="23" t="s">
        <v>1732</v>
      </c>
      <c r="AD297" s="23" t="s">
        <v>1754</v>
      </c>
      <c r="AE297" s="8">
        <v>0</v>
      </c>
      <c r="AF297" s="8">
        <v>0</v>
      </c>
      <c r="AG297" s="8"/>
    </row>
    <row r="298" spans="1:33" hidden="1" x14ac:dyDescent="0.2">
      <c r="A298" s="8">
        <v>2524</v>
      </c>
      <c r="B298" s="16">
        <v>44063</v>
      </c>
      <c r="C298" s="8">
        <v>30012866</v>
      </c>
      <c r="D298" s="8" t="s">
        <v>178</v>
      </c>
      <c r="E298" s="8" t="s">
        <v>186</v>
      </c>
      <c r="F298" s="8" t="s">
        <v>187</v>
      </c>
      <c r="G298" s="8">
        <v>15018354</v>
      </c>
      <c r="H298" s="8">
        <v>802094914</v>
      </c>
      <c r="I298" s="8" t="s">
        <v>389</v>
      </c>
      <c r="J298" s="8" t="s">
        <v>47</v>
      </c>
      <c r="K298" s="8" t="s">
        <v>1696</v>
      </c>
      <c r="L298" s="8" t="s">
        <v>1588</v>
      </c>
      <c r="M298" s="8" t="s">
        <v>1711</v>
      </c>
      <c r="N298" s="8" t="s">
        <v>1755</v>
      </c>
      <c r="O298" s="8">
        <v>147.24</v>
      </c>
      <c r="P298" s="8" t="s">
        <v>48</v>
      </c>
      <c r="Q298" s="8" t="s">
        <v>182</v>
      </c>
      <c r="R298" s="8" t="s">
        <v>391</v>
      </c>
      <c r="S298" s="8">
        <v>6</v>
      </c>
      <c r="T298" s="8" t="s">
        <v>36</v>
      </c>
      <c r="U298" s="8" t="s">
        <v>290</v>
      </c>
      <c r="V298" s="8" t="s">
        <v>65</v>
      </c>
      <c r="W298" s="29"/>
      <c r="X298" s="29"/>
      <c r="Y298" s="29">
        <v>120</v>
      </c>
      <c r="Z298" s="29" t="s">
        <v>53</v>
      </c>
      <c r="AA298" s="29" t="s">
        <v>190</v>
      </c>
      <c r="AB298" s="29">
        <v>31</v>
      </c>
      <c r="AC298" s="23" t="str">
        <f t="shared" ref="AC298:AC299" si="20">M298</f>
        <v>30/08/2020</v>
      </c>
      <c r="AD298" s="23" t="str">
        <f t="shared" ref="AD298:AD299" si="21">N298</f>
        <v>23/09/2020</v>
      </c>
      <c r="AE298" s="8"/>
      <c r="AF298" s="8"/>
      <c r="AG298" s="8"/>
    </row>
    <row r="299" spans="1:33" hidden="1" x14ac:dyDescent="0.2">
      <c r="A299" s="8">
        <v>2504</v>
      </c>
      <c r="B299" s="16">
        <v>44073</v>
      </c>
      <c r="C299" s="8">
        <v>30012863</v>
      </c>
      <c r="D299" s="8" t="s">
        <v>365</v>
      </c>
      <c r="E299" s="8" t="s">
        <v>543</v>
      </c>
      <c r="F299" s="8" t="s">
        <v>575</v>
      </c>
      <c r="G299" s="8">
        <v>15018442</v>
      </c>
      <c r="H299" s="8">
        <v>802095160</v>
      </c>
      <c r="I299" s="8" t="s">
        <v>77</v>
      </c>
      <c r="J299" s="8" t="s">
        <v>32</v>
      </c>
      <c r="K299" s="8" t="s">
        <v>403</v>
      </c>
      <c r="L299" s="8" t="s">
        <v>490</v>
      </c>
      <c r="M299" s="8" t="s">
        <v>1732</v>
      </c>
      <c r="N299" s="8" t="s">
        <v>1776</v>
      </c>
      <c r="O299" s="8">
        <v>496.8</v>
      </c>
      <c r="P299" s="8" t="s">
        <v>48</v>
      </c>
      <c r="Q299" s="8" t="s">
        <v>576</v>
      </c>
      <c r="R299" s="8" t="s">
        <v>577</v>
      </c>
      <c r="S299" s="8">
        <v>24</v>
      </c>
      <c r="T299" s="8" t="s">
        <v>42</v>
      </c>
      <c r="U299" s="8" t="s">
        <v>1694</v>
      </c>
      <c r="V299" s="8" t="s">
        <v>1706</v>
      </c>
      <c r="W299" s="29" t="s">
        <v>1662</v>
      </c>
      <c r="X299" s="29"/>
      <c r="Y299" s="29">
        <v>480</v>
      </c>
      <c r="Z299" s="29"/>
      <c r="AA299" s="29" t="s">
        <v>39</v>
      </c>
      <c r="AB299" s="29">
        <v>31</v>
      </c>
      <c r="AC299" s="23" t="str">
        <f t="shared" si="20"/>
        <v>31/08/2020</v>
      </c>
      <c r="AD299" s="23" t="str">
        <f t="shared" si="21"/>
        <v>21/09/2020</v>
      </c>
      <c r="AE299" s="8"/>
      <c r="AF299" s="8"/>
      <c r="AG299" s="8"/>
    </row>
    <row r="303" spans="1:33" x14ac:dyDescent="0.2">
      <c r="AF303" s="26"/>
      <c r="AG303" s="26"/>
    </row>
  </sheetData>
  <autoFilter ref="A1:AG299" xr:uid="{A9FF900C-3AEB-430C-BD77-B6D8A9EBBFD9}">
    <filterColumn colId="0">
      <filters>
        <filter val="2501"/>
      </filters>
    </filterColumn>
    <sortState xmlns:xlrd2="http://schemas.microsoft.com/office/spreadsheetml/2017/richdata2" ref="A2:AG297">
      <sortCondition ref="M1:M299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B136-D26E-4F9D-9FEB-93F44FFB291C}">
  <dimension ref="A1:AG296"/>
  <sheetViews>
    <sheetView topLeftCell="L1" workbookViewId="0">
      <pane ySplit="1" topLeftCell="A180" activePane="bottomLeft" state="frozen"/>
      <selection pane="bottomLeft" activeCell="M216" sqref="M216"/>
    </sheetView>
  </sheetViews>
  <sheetFormatPr defaultRowHeight="12.75" outlineLevelCol="1" x14ac:dyDescent="0.2"/>
  <cols>
    <col min="1" max="1" width="7.5703125" customWidth="1"/>
    <col min="2" max="2" width="22.28515625" hidden="1" customWidth="1" outlineLevel="1"/>
    <col min="3" max="3" width="12" customWidth="1" collapsed="1"/>
    <col min="4" max="4" width="7.28515625" customWidth="1"/>
    <col min="5" max="5" width="42.140625" hidden="1" customWidth="1" outlineLevel="1"/>
    <col min="6" max="6" width="15.5703125" bestFit="1" customWidth="1" collapsed="1"/>
    <col min="7" max="7" width="14.42578125" bestFit="1" customWidth="1"/>
    <col min="8" max="8" width="13" bestFit="1" customWidth="1"/>
    <col min="9" max="9" width="43" hidden="1" customWidth="1" outlineLevel="1"/>
    <col min="10" max="10" width="5.140625" customWidth="1" collapsed="1"/>
    <col min="11" max="11" width="21.85546875" bestFit="1" customWidth="1"/>
    <col min="12" max="12" width="12.140625" bestFit="1" customWidth="1"/>
    <col min="13" max="13" width="13.42578125" bestFit="1" customWidth="1"/>
    <col min="14" max="14" width="15.7109375" bestFit="1" customWidth="1"/>
    <col min="15" max="15" width="17.7109375" hidden="1" customWidth="1" outlineLevel="1"/>
    <col min="16" max="16" width="8" customWidth="1" collapsed="1"/>
    <col min="17" max="17" width="8" customWidth="1"/>
    <col min="18" max="18" width="34.42578125" hidden="1" customWidth="1" outlineLevel="1"/>
    <col min="19" max="19" width="5.28515625" customWidth="1" collapsed="1"/>
    <col min="20" max="20" width="19.140625" hidden="1" customWidth="1" outlineLevel="1"/>
    <col min="21" max="21" width="19.5703125" hidden="1" customWidth="1" outlineLevel="1"/>
    <col min="22" max="22" width="15" bestFit="1" customWidth="1" collapsed="1"/>
    <col min="23" max="23" width="16.7109375" bestFit="1" customWidth="1"/>
    <col min="24" max="24" width="34.5703125" hidden="1" customWidth="1" outlineLevel="1"/>
    <col min="25" max="25" width="18.7109375" hidden="1" customWidth="1" outlineLevel="1"/>
    <col min="26" max="26" width="27" hidden="1" customWidth="1" outlineLevel="1"/>
    <col min="27" max="27" width="19.5703125" hidden="1" customWidth="1" outlineLevel="1"/>
    <col min="28" max="28" width="18.42578125" hidden="1" customWidth="1" outlineLevel="1"/>
    <col min="29" max="29" width="12.42578125" style="21" bestFit="1" customWidth="1" collapsed="1"/>
    <col min="30" max="30" width="12.28515625" style="21" bestFit="1" customWidth="1"/>
    <col min="31" max="32" width="11" customWidth="1"/>
    <col min="33" max="33" width="15.28515625" bestFit="1" customWidth="1"/>
  </cols>
  <sheetData>
    <row r="1" spans="1:33" s="11" customFormat="1" ht="7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20" t="s">
        <v>1673</v>
      </c>
      <c r="AD1" s="20" t="s">
        <v>1674</v>
      </c>
      <c r="AE1" s="10" t="s">
        <v>1675</v>
      </c>
      <c r="AF1" s="10" t="s">
        <v>1676</v>
      </c>
      <c r="AG1" s="10" t="s">
        <v>1677</v>
      </c>
    </row>
    <row r="2" spans="1:33" x14ac:dyDescent="0.2">
      <c r="A2" s="8">
        <v>2501</v>
      </c>
      <c r="B2" s="16">
        <v>44027</v>
      </c>
      <c r="C2" s="8">
        <v>30012670</v>
      </c>
      <c r="D2" s="8" t="s">
        <v>62</v>
      </c>
      <c r="E2" s="8" t="s">
        <v>217</v>
      </c>
      <c r="F2" s="8" t="s">
        <v>218</v>
      </c>
      <c r="G2" s="8">
        <v>15017843</v>
      </c>
      <c r="H2" s="8">
        <v>802093896</v>
      </c>
      <c r="I2" s="8" t="s">
        <v>31</v>
      </c>
      <c r="J2" s="8" t="s">
        <v>32</v>
      </c>
      <c r="K2" s="8" t="s">
        <v>240</v>
      </c>
      <c r="L2" s="8" t="s">
        <v>586</v>
      </c>
      <c r="M2" s="8" t="s">
        <v>1697</v>
      </c>
      <c r="N2" s="8" t="s">
        <v>1698</v>
      </c>
      <c r="O2" s="8">
        <v>509.70499999999998</v>
      </c>
      <c r="P2" s="8" t="s">
        <v>33</v>
      </c>
      <c r="Q2" s="8" t="s">
        <v>206</v>
      </c>
      <c r="R2" s="8" t="s">
        <v>35</v>
      </c>
      <c r="S2" s="8">
        <v>21</v>
      </c>
      <c r="T2" s="8" t="s">
        <v>36</v>
      </c>
      <c r="U2" s="8" t="s">
        <v>37</v>
      </c>
      <c r="V2" s="8" t="s">
        <v>1699</v>
      </c>
      <c r="W2" s="8" t="s">
        <v>602</v>
      </c>
      <c r="X2" s="8"/>
      <c r="Y2" s="8">
        <v>504</v>
      </c>
      <c r="Z2" s="8"/>
      <c r="AA2" s="8" t="s">
        <v>39</v>
      </c>
      <c r="AB2" s="8">
        <v>31</v>
      </c>
      <c r="AC2" s="23">
        <v>44050</v>
      </c>
      <c r="AD2" s="23">
        <v>44060</v>
      </c>
      <c r="AE2" s="8">
        <v>0</v>
      </c>
      <c r="AF2" s="8">
        <v>0</v>
      </c>
      <c r="AG2" s="8"/>
    </row>
    <row r="3" spans="1:33" x14ac:dyDescent="0.2">
      <c r="A3" s="8">
        <v>2501</v>
      </c>
      <c r="B3" s="16">
        <v>44027</v>
      </c>
      <c r="C3" s="8">
        <v>30012688</v>
      </c>
      <c r="D3" s="8" t="s">
        <v>62</v>
      </c>
      <c r="E3" s="8" t="s">
        <v>217</v>
      </c>
      <c r="F3" s="8" t="s">
        <v>218</v>
      </c>
      <c r="G3" s="8">
        <v>15017848</v>
      </c>
      <c r="H3" s="8">
        <v>802093901</v>
      </c>
      <c r="I3" s="8" t="s">
        <v>31</v>
      </c>
      <c r="J3" s="8" t="s">
        <v>32</v>
      </c>
      <c r="K3" s="8" t="s">
        <v>240</v>
      </c>
      <c r="L3" s="8" t="s">
        <v>586</v>
      </c>
      <c r="M3" s="8" t="s">
        <v>1697</v>
      </c>
      <c r="N3" s="8" t="s">
        <v>1698</v>
      </c>
      <c r="O3" s="8">
        <v>484.45100000000002</v>
      </c>
      <c r="P3" s="8" t="s">
        <v>33</v>
      </c>
      <c r="Q3" s="8" t="s">
        <v>206</v>
      </c>
      <c r="R3" s="8" t="s">
        <v>35</v>
      </c>
      <c r="S3" s="8">
        <v>20</v>
      </c>
      <c r="T3" s="8" t="s">
        <v>36</v>
      </c>
      <c r="U3" s="8" t="s">
        <v>37</v>
      </c>
      <c r="V3" s="8" t="s">
        <v>1702</v>
      </c>
      <c r="W3" s="8" t="s">
        <v>606</v>
      </c>
      <c r="X3" s="8"/>
      <c r="Y3" s="8">
        <v>480</v>
      </c>
      <c r="Z3" s="8"/>
      <c r="AA3" s="8" t="s">
        <v>39</v>
      </c>
      <c r="AB3" s="8">
        <v>31</v>
      </c>
      <c r="AC3" s="23">
        <v>44050</v>
      </c>
      <c r="AD3" s="23">
        <v>44060</v>
      </c>
      <c r="AE3" s="8">
        <v>0</v>
      </c>
      <c r="AF3" s="8">
        <v>0</v>
      </c>
      <c r="AG3" s="8"/>
    </row>
    <row r="4" spans="1:33" x14ac:dyDescent="0.2">
      <c r="A4" s="8">
        <v>2501</v>
      </c>
      <c r="B4" s="16">
        <v>44043</v>
      </c>
      <c r="C4" s="8">
        <v>30012681</v>
      </c>
      <c r="D4" s="8" t="s">
        <v>54</v>
      </c>
      <c r="E4" s="8" t="s">
        <v>55</v>
      </c>
      <c r="F4" s="8" t="s">
        <v>56</v>
      </c>
      <c r="G4" s="8">
        <v>15017985</v>
      </c>
      <c r="H4" s="8">
        <v>802093925</v>
      </c>
      <c r="I4" s="8" t="s">
        <v>57</v>
      </c>
      <c r="J4" s="8" t="s">
        <v>58</v>
      </c>
      <c r="K4" s="8" t="s">
        <v>293</v>
      </c>
      <c r="L4" s="8" t="s">
        <v>512</v>
      </c>
      <c r="M4" s="8" t="s">
        <v>1703</v>
      </c>
      <c r="N4" s="8" t="s">
        <v>1704</v>
      </c>
      <c r="O4" s="8">
        <v>93.787999999999997</v>
      </c>
      <c r="P4" s="8" t="s">
        <v>33</v>
      </c>
      <c r="Q4" s="8" t="s">
        <v>1705</v>
      </c>
      <c r="R4" s="8" t="s">
        <v>60</v>
      </c>
      <c r="S4" s="8">
        <v>4</v>
      </c>
      <c r="T4" s="8" t="s">
        <v>61</v>
      </c>
      <c r="U4" s="8" t="s">
        <v>37</v>
      </c>
      <c r="V4" s="8" t="s">
        <v>1706</v>
      </c>
      <c r="W4" s="8" t="s">
        <v>640</v>
      </c>
      <c r="X4" s="8"/>
      <c r="Y4" s="8">
        <v>40</v>
      </c>
      <c r="Z4" s="8" t="s">
        <v>615</v>
      </c>
      <c r="AA4" s="8" t="s">
        <v>39</v>
      </c>
      <c r="AB4" s="8">
        <v>31</v>
      </c>
      <c r="AC4" s="23" t="s">
        <v>1703</v>
      </c>
      <c r="AD4" s="23" t="s">
        <v>1707</v>
      </c>
      <c r="AE4" s="8">
        <v>0</v>
      </c>
      <c r="AF4" s="8">
        <v>4</v>
      </c>
      <c r="AG4" s="8"/>
    </row>
    <row r="5" spans="1:33" x14ac:dyDescent="0.2">
      <c r="A5" s="8">
        <v>2501</v>
      </c>
      <c r="B5" s="16">
        <v>44043</v>
      </c>
      <c r="C5" s="8">
        <v>30012681</v>
      </c>
      <c r="D5" s="8" t="s">
        <v>62</v>
      </c>
      <c r="E5" s="8" t="s">
        <v>641</v>
      </c>
      <c r="F5" s="8" t="s">
        <v>642</v>
      </c>
      <c r="G5" s="8">
        <v>15017988</v>
      </c>
      <c r="H5" s="8">
        <v>802093928</v>
      </c>
      <c r="I5" s="8" t="s">
        <v>63</v>
      </c>
      <c r="J5" s="8" t="s">
        <v>64</v>
      </c>
      <c r="K5" s="8" t="s">
        <v>293</v>
      </c>
      <c r="L5" s="8" t="s">
        <v>512</v>
      </c>
      <c r="M5" s="8" t="s">
        <v>1703</v>
      </c>
      <c r="N5" s="8" t="s">
        <v>1704</v>
      </c>
      <c r="O5" s="8">
        <v>193.55</v>
      </c>
      <c r="P5" s="8" t="s">
        <v>33</v>
      </c>
      <c r="Q5" s="8" t="s">
        <v>1705</v>
      </c>
      <c r="R5" s="8" t="s">
        <v>60</v>
      </c>
      <c r="S5" s="8">
        <v>8</v>
      </c>
      <c r="T5" s="8" t="s">
        <v>36</v>
      </c>
      <c r="U5" s="8" t="s">
        <v>37</v>
      </c>
      <c r="V5" s="8" t="s">
        <v>1706</v>
      </c>
      <c r="W5" s="8" t="s">
        <v>645</v>
      </c>
      <c r="X5" s="8"/>
      <c r="Y5" s="8">
        <v>192</v>
      </c>
      <c r="Z5" s="8" t="s">
        <v>615</v>
      </c>
      <c r="AA5" s="8" t="s">
        <v>39</v>
      </c>
      <c r="AB5" s="8">
        <v>31</v>
      </c>
      <c r="AC5" s="23" t="s">
        <v>1703</v>
      </c>
      <c r="AD5" s="23" t="s">
        <v>1707</v>
      </c>
      <c r="AE5" s="8">
        <v>0</v>
      </c>
      <c r="AF5" s="8">
        <v>4</v>
      </c>
      <c r="AG5" s="8"/>
    </row>
    <row r="6" spans="1:33" x14ac:dyDescent="0.2">
      <c r="A6" s="8">
        <v>2501</v>
      </c>
      <c r="B6" s="16">
        <v>44043</v>
      </c>
      <c r="C6" s="8">
        <v>30012681</v>
      </c>
      <c r="D6" s="8" t="s">
        <v>54</v>
      </c>
      <c r="E6" s="8" t="s">
        <v>369</v>
      </c>
      <c r="F6" s="8" t="s">
        <v>370</v>
      </c>
      <c r="G6" s="8">
        <v>15017989</v>
      </c>
      <c r="H6" s="8">
        <v>802093929</v>
      </c>
      <c r="I6" s="8" t="s">
        <v>63</v>
      </c>
      <c r="J6" s="8" t="s">
        <v>64</v>
      </c>
      <c r="K6" s="8" t="s">
        <v>293</v>
      </c>
      <c r="L6" s="8" t="s">
        <v>512</v>
      </c>
      <c r="M6" s="8" t="s">
        <v>1703</v>
      </c>
      <c r="N6" s="8" t="s">
        <v>1704</v>
      </c>
      <c r="O6" s="8">
        <v>290.15199999999999</v>
      </c>
      <c r="P6" s="8" t="s">
        <v>33</v>
      </c>
      <c r="Q6" s="8" t="s">
        <v>1705</v>
      </c>
      <c r="R6" s="8" t="s">
        <v>60</v>
      </c>
      <c r="S6" s="8">
        <v>12</v>
      </c>
      <c r="T6" s="8" t="s">
        <v>36</v>
      </c>
      <c r="U6" s="8" t="s">
        <v>37</v>
      </c>
      <c r="V6" s="8" t="s">
        <v>1706</v>
      </c>
      <c r="W6" s="8" t="s">
        <v>648</v>
      </c>
      <c r="X6" s="8"/>
      <c r="Y6" s="8">
        <v>288</v>
      </c>
      <c r="Z6" s="8" t="s">
        <v>649</v>
      </c>
      <c r="AA6" s="8" t="s">
        <v>39</v>
      </c>
      <c r="AB6" s="8">
        <v>31</v>
      </c>
      <c r="AC6" s="23" t="s">
        <v>1703</v>
      </c>
      <c r="AD6" s="23" t="s">
        <v>1707</v>
      </c>
      <c r="AE6" s="8">
        <v>0</v>
      </c>
      <c r="AF6" s="8">
        <v>4</v>
      </c>
      <c r="AG6" s="8"/>
    </row>
    <row r="7" spans="1:33" x14ac:dyDescent="0.2">
      <c r="A7" s="8">
        <v>2501</v>
      </c>
      <c r="B7" s="16">
        <v>44043</v>
      </c>
      <c r="C7" s="8">
        <v>30012681</v>
      </c>
      <c r="D7" s="8" t="s">
        <v>54</v>
      </c>
      <c r="E7" s="8" t="s">
        <v>369</v>
      </c>
      <c r="F7" s="8" t="s">
        <v>370</v>
      </c>
      <c r="G7" s="8">
        <v>15017990</v>
      </c>
      <c r="H7" s="8">
        <v>802093930</v>
      </c>
      <c r="I7" s="8" t="s">
        <v>63</v>
      </c>
      <c r="J7" s="8" t="s">
        <v>64</v>
      </c>
      <c r="K7" s="8" t="s">
        <v>293</v>
      </c>
      <c r="L7" s="8" t="s">
        <v>512</v>
      </c>
      <c r="M7" s="8" t="s">
        <v>1703</v>
      </c>
      <c r="N7" s="8" t="s">
        <v>1704</v>
      </c>
      <c r="O7" s="8">
        <v>290.20699999999999</v>
      </c>
      <c r="P7" s="8" t="s">
        <v>33</v>
      </c>
      <c r="Q7" s="8" t="s">
        <v>1705</v>
      </c>
      <c r="R7" s="8" t="s">
        <v>60</v>
      </c>
      <c r="S7" s="8">
        <v>12</v>
      </c>
      <c r="T7" s="8" t="s">
        <v>36</v>
      </c>
      <c r="U7" s="8" t="s">
        <v>37</v>
      </c>
      <c r="V7" s="8" t="s">
        <v>1706</v>
      </c>
      <c r="W7" s="8" t="s">
        <v>652</v>
      </c>
      <c r="X7" s="8"/>
      <c r="Y7" s="8">
        <v>288</v>
      </c>
      <c r="Z7" s="8" t="s">
        <v>649</v>
      </c>
      <c r="AA7" s="8" t="s">
        <v>39</v>
      </c>
      <c r="AB7" s="8">
        <v>31</v>
      </c>
      <c r="AC7" s="23" t="s">
        <v>1703</v>
      </c>
      <c r="AD7" s="23" t="s">
        <v>1707</v>
      </c>
      <c r="AE7" s="8">
        <v>0</v>
      </c>
      <c r="AF7" s="8">
        <v>4</v>
      </c>
      <c r="AG7" s="8"/>
    </row>
    <row r="8" spans="1:33" x14ac:dyDescent="0.2">
      <c r="A8" s="8">
        <v>2504</v>
      </c>
      <c r="B8" s="16">
        <v>44073</v>
      </c>
      <c r="C8" s="8">
        <v>30012843</v>
      </c>
      <c r="D8" s="8" t="s">
        <v>91</v>
      </c>
      <c r="E8" s="8" t="s">
        <v>728</v>
      </c>
      <c r="F8" s="8" t="s">
        <v>729</v>
      </c>
      <c r="G8" s="8">
        <v>15018471</v>
      </c>
      <c r="H8" s="8">
        <v>802095161</v>
      </c>
      <c r="I8" s="8" t="s">
        <v>730</v>
      </c>
      <c r="J8" s="8" t="s">
        <v>58</v>
      </c>
      <c r="K8" s="8" t="s">
        <v>579</v>
      </c>
      <c r="L8" s="8" t="s">
        <v>1152</v>
      </c>
      <c r="M8" s="8" t="s">
        <v>1731</v>
      </c>
      <c r="N8" s="8" t="s">
        <v>1768</v>
      </c>
      <c r="O8" s="8">
        <v>205.744</v>
      </c>
      <c r="P8" s="8" t="s">
        <v>48</v>
      </c>
      <c r="Q8" s="8" t="s">
        <v>731</v>
      </c>
      <c r="R8" s="8" t="s">
        <v>732</v>
      </c>
      <c r="S8" s="8">
        <v>8</v>
      </c>
      <c r="T8" s="8" t="s">
        <v>72</v>
      </c>
      <c r="U8" s="8" t="s">
        <v>290</v>
      </c>
      <c r="V8" s="8" t="s">
        <v>65</v>
      </c>
      <c r="W8" s="8" t="s">
        <v>1672</v>
      </c>
      <c r="X8" s="8"/>
      <c r="Y8" s="8">
        <v>88</v>
      </c>
      <c r="Z8" s="8"/>
      <c r="AA8" s="8" t="s">
        <v>733</v>
      </c>
      <c r="AB8" s="8">
        <v>31</v>
      </c>
      <c r="AC8" s="21" t="str">
        <f>M8</f>
        <v>01/09/2020</v>
      </c>
      <c r="AD8" s="21" t="str">
        <f>N8</f>
        <v>20/10/2020</v>
      </c>
      <c r="AE8" s="8"/>
      <c r="AF8" s="8"/>
      <c r="AG8" s="8"/>
    </row>
    <row r="9" spans="1:33" x14ac:dyDescent="0.2">
      <c r="A9" s="8">
        <v>2504</v>
      </c>
      <c r="B9" s="16">
        <v>44027</v>
      </c>
      <c r="C9" s="8">
        <v>30012754</v>
      </c>
      <c r="D9" s="8" t="s">
        <v>91</v>
      </c>
      <c r="E9" s="8" t="s">
        <v>258</v>
      </c>
      <c r="F9" s="8" t="s">
        <v>1687</v>
      </c>
      <c r="G9" s="8">
        <v>15018197</v>
      </c>
      <c r="H9" s="8">
        <v>802094709</v>
      </c>
      <c r="I9" s="8" t="s">
        <v>77</v>
      </c>
      <c r="J9" s="8" t="s">
        <v>32</v>
      </c>
      <c r="K9" s="8" t="s">
        <v>743</v>
      </c>
      <c r="L9" s="8" t="s">
        <v>744</v>
      </c>
      <c r="M9" s="8" t="s">
        <v>1708</v>
      </c>
      <c r="N9" s="8" t="s">
        <v>1709</v>
      </c>
      <c r="O9" s="8">
        <v>498.36099999999999</v>
      </c>
      <c r="P9" s="8" t="s">
        <v>48</v>
      </c>
      <c r="Q9" s="8" t="s">
        <v>100</v>
      </c>
      <c r="R9" s="8" t="s">
        <v>1688</v>
      </c>
      <c r="S9" s="8">
        <v>20</v>
      </c>
      <c r="T9" s="8" t="s">
        <v>36</v>
      </c>
      <c r="U9" s="8" t="s">
        <v>37</v>
      </c>
      <c r="V9" s="8" t="s">
        <v>1710</v>
      </c>
      <c r="W9" s="8" t="s">
        <v>1689</v>
      </c>
      <c r="X9" s="8"/>
      <c r="Y9" s="8">
        <v>480</v>
      </c>
      <c r="Z9" s="8"/>
      <c r="AA9" s="8" t="s">
        <v>39</v>
      </c>
      <c r="AB9" s="8">
        <v>31</v>
      </c>
      <c r="AC9" s="21" t="str">
        <f t="shared" ref="AC9:AC11" si="0">M9</f>
        <v>02/08/2020</v>
      </c>
      <c r="AD9" s="21" t="str">
        <f t="shared" ref="AD9:AD11" si="1">N9</f>
        <v>21/08/2020</v>
      </c>
      <c r="AE9" s="8"/>
      <c r="AF9" s="8"/>
      <c r="AG9" s="8"/>
    </row>
    <row r="10" spans="1:33" x14ac:dyDescent="0.2">
      <c r="A10" s="8">
        <v>2504</v>
      </c>
      <c r="B10" s="16">
        <v>44027</v>
      </c>
      <c r="C10" s="8">
        <v>30012754</v>
      </c>
      <c r="D10" s="8" t="s">
        <v>91</v>
      </c>
      <c r="E10" s="8" t="s">
        <v>258</v>
      </c>
      <c r="F10" s="8" t="s">
        <v>1687</v>
      </c>
      <c r="G10" s="8">
        <v>15018198</v>
      </c>
      <c r="H10" s="8">
        <v>802094710</v>
      </c>
      <c r="I10" s="8" t="s">
        <v>77</v>
      </c>
      <c r="J10" s="8" t="s">
        <v>32</v>
      </c>
      <c r="K10" s="8" t="s">
        <v>743</v>
      </c>
      <c r="L10" s="8" t="s">
        <v>744</v>
      </c>
      <c r="M10" s="8" t="s">
        <v>1708</v>
      </c>
      <c r="N10" s="8" t="s">
        <v>1709</v>
      </c>
      <c r="O10" s="8">
        <v>497.79500000000002</v>
      </c>
      <c r="P10" s="8" t="s">
        <v>48</v>
      </c>
      <c r="Q10" s="8" t="s">
        <v>100</v>
      </c>
      <c r="R10" s="8" t="s">
        <v>1690</v>
      </c>
      <c r="S10" s="8">
        <v>20</v>
      </c>
      <c r="T10" s="8" t="s">
        <v>36</v>
      </c>
      <c r="U10" s="8" t="s">
        <v>37</v>
      </c>
      <c r="V10" s="8" t="s">
        <v>1710</v>
      </c>
      <c r="W10" s="8" t="s">
        <v>1691</v>
      </c>
      <c r="X10" s="8"/>
      <c r="Y10" s="8">
        <v>480</v>
      </c>
      <c r="Z10" s="8"/>
      <c r="AA10" s="8" t="s">
        <v>39</v>
      </c>
      <c r="AB10" s="8">
        <v>31</v>
      </c>
      <c r="AC10" s="21" t="str">
        <f t="shared" si="0"/>
        <v>02/08/2020</v>
      </c>
      <c r="AD10" s="21" t="str">
        <f t="shared" si="1"/>
        <v>21/08/2020</v>
      </c>
      <c r="AE10" s="8"/>
      <c r="AF10" s="8"/>
      <c r="AG10" s="8"/>
    </row>
    <row r="11" spans="1:33" x14ac:dyDescent="0.2">
      <c r="A11" s="8">
        <v>2504</v>
      </c>
      <c r="B11" s="16">
        <v>44043</v>
      </c>
      <c r="C11" s="8">
        <v>30012704</v>
      </c>
      <c r="D11" s="8" t="s">
        <v>62</v>
      </c>
      <c r="E11" s="8" t="s">
        <v>294</v>
      </c>
      <c r="F11" s="8" t="s">
        <v>295</v>
      </c>
      <c r="G11" s="8">
        <v>15017991</v>
      </c>
      <c r="H11" s="8">
        <v>802094010</v>
      </c>
      <c r="I11" s="8" t="s">
        <v>77</v>
      </c>
      <c r="J11" s="8" t="s">
        <v>32</v>
      </c>
      <c r="K11" s="8" t="s">
        <v>293</v>
      </c>
      <c r="L11" s="8" t="s">
        <v>512</v>
      </c>
      <c r="M11" s="8" t="s">
        <v>1708</v>
      </c>
      <c r="N11" s="8" t="s">
        <v>1727</v>
      </c>
      <c r="O11" s="8">
        <v>99.563999999999993</v>
      </c>
      <c r="P11" s="8" t="s">
        <v>48</v>
      </c>
      <c r="Q11" s="8" t="s">
        <v>1705</v>
      </c>
      <c r="R11" s="8" t="s">
        <v>60</v>
      </c>
      <c r="S11" s="8">
        <v>4</v>
      </c>
      <c r="T11" s="8" t="s">
        <v>36</v>
      </c>
      <c r="U11" s="8" t="s">
        <v>37</v>
      </c>
      <c r="V11" s="8" t="s">
        <v>1706</v>
      </c>
      <c r="W11" s="8" t="s">
        <v>614</v>
      </c>
      <c r="X11" s="8"/>
      <c r="Y11" s="8">
        <v>96</v>
      </c>
      <c r="Z11" s="8" t="s">
        <v>615</v>
      </c>
      <c r="AA11" s="8" t="s">
        <v>39</v>
      </c>
      <c r="AB11" s="8">
        <v>31</v>
      </c>
      <c r="AC11" s="21" t="str">
        <f t="shared" si="0"/>
        <v>02/08/2020</v>
      </c>
      <c r="AD11" s="21" t="str">
        <f t="shared" si="1"/>
        <v>20/08/2020</v>
      </c>
      <c r="AE11" s="8"/>
      <c r="AF11" s="8"/>
      <c r="AG11" s="8"/>
    </row>
    <row r="12" spans="1:33" x14ac:dyDescent="0.2">
      <c r="A12" s="8">
        <v>2501</v>
      </c>
      <c r="B12" s="16">
        <v>44037</v>
      </c>
      <c r="C12" s="8">
        <v>30012738</v>
      </c>
      <c r="D12" s="8" t="s">
        <v>365</v>
      </c>
      <c r="E12" s="8" t="s">
        <v>620</v>
      </c>
      <c r="F12" s="8" t="s">
        <v>621</v>
      </c>
      <c r="G12" s="8">
        <v>15018100</v>
      </c>
      <c r="H12" s="8">
        <v>802094175</v>
      </c>
      <c r="I12" s="8" t="s">
        <v>31</v>
      </c>
      <c r="J12" s="8" t="s">
        <v>32</v>
      </c>
      <c r="K12" s="8" t="s">
        <v>260</v>
      </c>
      <c r="L12" s="8" t="s">
        <v>518</v>
      </c>
      <c r="M12" s="8" t="s">
        <v>1713</v>
      </c>
      <c r="N12" s="8" t="s">
        <v>1714</v>
      </c>
      <c r="O12" s="8">
        <v>288.238</v>
      </c>
      <c r="P12" s="8" t="s">
        <v>33</v>
      </c>
      <c r="Q12" s="8" t="s">
        <v>159</v>
      </c>
      <c r="R12" s="8" t="s">
        <v>160</v>
      </c>
      <c r="S12" s="8">
        <v>11</v>
      </c>
      <c r="T12" s="8" t="s">
        <v>362</v>
      </c>
      <c r="U12" s="8" t="s">
        <v>37</v>
      </c>
      <c r="V12" s="8" t="s">
        <v>155</v>
      </c>
      <c r="W12" s="8" t="s">
        <v>726</v>
      </c>
      <c r="X12" s="8"/>
      <c r="Y12" s="8">
        <v>286</v>
      </c>
      <c r="Z12" s="8"/>
      <c r="AA12" s="8" t="s">
        <v>39</v>
      </c>
      <c r="AB12" s="8">
        <v>31</v>
      </c>
      <c r="AC12" s="23">
        <v>44049</v>
      </c>
      <c r="AD12" s="23" t="s">
        <v>1715</v>
      </c>
      <c r="AE12" s="8">
        <v>0</v>
      </c>
      <c r="AF12" s="8">
        <v>13</v>
      </c>
      <c r="AG12" s="8"/>
    </row>
    <row r="13" spans="1:33" x14ac:dyDescent="0.2">
      <c r="A13" s="8">
        <v>2504</v>
      </c>
      <c r="B13" s="16">
        <v>44043</v>
      </c>
      <c r="C13" s="8">
        <v>30012704</v>
      </c>
      <c r="D13" s="8" t="s">
        <v>62</v>
      </c>
      <c r="E13" s="8" t="s">
        <v>296</v>
      </c>
      <c r="F13" s="8" t="s">
        <v>297</v>
      </c>
      <c r="G13" s="8">
        <v>15018013</v>
      </c>
      <c r="H13" s="8">
        <v>802094011</v>
      </c>
      <c r="I13" s="8" t="s">
        <v>298</v>
      </c>
      <c r="J13" s="8" t="s">
        <v>58</v>
      </c>
      <c r="K13" s="8" t="s">
        <v>293</v>
      </c>
      <c r="L13" s="8" t="s">
        <v>512</v>
      </c>
      <c r="M13" s="8" t="s">
        <v>1708</v>
      </c>
      <c r="N13" s="8" t="s">
        <v>1727</v>
      </c>
      <c r="O13" s="8">
        <v>47.188000000000002</v>
      </c>
      <c r="P13" s="8" t="s">
        <v>48</v>
      </c>
      <c r="Q13" s="8" t="s">
        <v>1705</v>
      </c>
      <c r="R13" s="8" t="s">
        <v>60</v>
      </c>
      <c r="S13" s="8">
        <v>2</v>
      </c>
      <c r="T13" s="8" t="s">
        <v>61</v>
      </c>
      <c r="U13" s="8" t="s">
        <v>37</v>
      </c>
      <c r="V13" s="8" t="s">
        <v>1706</v>
      </c>
      <c r="W13" s="8" t="s">
        <v>618</v>
      </c>
      <c r="X13" s="8"/>
      <c r="Y13" s="8">
        <v>18</v>
      </c>
      <c r="Z13" s="8" t="s">
        <v>619</v>
      </c>
      <c r="AA13" s="8" t="s">
        <v>39</v>
      </c>
      <c r="AB13" s="8">
        <v>31</v>
      </c>
      <c r="AC13" s="21" t="str">
        <f t="shared" ref="AC13:AC20" si="2">M13</f>
        <v>02/08/2020</v>
      </c>
      <c r="AD13" s="21" t="str">
        <f t="shared" ref="AD13:AD20" si="3">N13</f>
        <v>20/08/2020</v>
      </c>
      <c r="AE13" s="8"/>
      <c r="AF13" s="8"/>
      <c r="AG13" s="8"/>
    </row>
    <row r="14" spans="1:33" x14ac:dyDescent="0.2">
      <c r="A14" s="8">
        <v>2504</v>
      </c>
      <c r="B14" s="16">
        <v>44042</v>
      </c>
      <c r="C14" s="8">
        <v>30012622</v>
      </c>
      <c r="D14" s="8" t="s">
        <v>74</v>
      </c>
      <c r="E14" s="8" t="s">
        <v>75</v>
      </c>
      <c r="F14" s="8" t="s">
        <v>76</v>
      </c>
      <c r="G14" s="8">
        <v>15017813</v>
      </c>
      <c r="H14" s="8">
        <v>802093686</v>
      </c>
      <c r="I14" s="8" t="s">
        <v>77</v>
      </c>
      <c r="J14" s="8" t="s">
        <v>32</v>
      </c>
      <c r="K14" s="8" t="s">
        <v>761</v>
      </c>
      <c r="L14" s="8" t="s">
        <v>762</v>
      </c>
      <c r="M14" s="8" t="s">
        <v>1716</v>
      </c>
      <c r="N14" s="8" t="s">
        <v>1717</v>
      </c>
      <c r="O14" s="8">
        <v>299.22000000000003</v>
      </c>
      <c r="P14" s="8" t="s">
        <v>48</v>
      </c>
      <c r="Q14" s="8" t="s">
        <v>78</v>
      </c>
      <c r="R14" s="8" t="s">
        <v>79</v>
      </c>
      <c r="S14" s="8">
        <v>12</v>
      </c>
      <c r="T14" s="8" t="s">
        <v>36</v>
      </c>
      <c r="U14" s="8" t="s">
        <v>37</v>
      </c>
      <c r="V14" s="8" t="s">
        <v>1718</v>
      </c>
      <c r="W14" s="8" t="s">
        <v>633</v>
      </c>
      <c r="X14" s="8"/>
      <c r="Y14" s="8">
        <v>288</v>
      </c>
      <c r="Z14" s="8"/>
      <c r="AA14" s="8" t="s">
        <v>39</v>
      </c>
      <c r="AB14" s="8">
        <v>31</v>
      </c>
      <c r="AC14" s="21" t="str">
        <f t="shared" si="2"/>
        <v>03/08/2020</v>
      </c>
      <c r="AD14" s="21" t="str">
        <f t="shared" si="3"/>
        <v>11/09/2020</v>
      </c>
      <c r="AE14" s="8"/>
      <c r="AF14" s="8"/>
      <c r="AG14" s="8"/>
    </row>
    <row r="15" spans="1:33" x14ac:dyDescent="0.2">
      <c r="A15" s="8">
        <v>2504</v>
      </c>
      <c r="B15" s="16">
        <v>44042</v>
      </c>
      <c r="C15" s="8">
        <v>30012622</v>
      </c>
      <c r="D15" s="8" t="s">
        <v>74</v>
      </c>
      <c r="E15" s="8" t="s">
        <v>75</v>
      </c>
      <c r="F15" s="8" t="s">
        <v>76</v>
      </c>
      <c r="G15" s="8">
        <v>15017814</v>
      </c>
      <c r="H15" s="8">
        <v>802093687</v>
      </c>
      <c r="I15" s="8" t="s">
        <v>77</v>
      </c>
      <c r="J15" s="8" t="s">
        <v>32</v>
      </c>
      <c r="K15" s="8" t="s">
        <v>761</v>
      </c>
      <c r="L15" s="8" t="s">
        <v>762</v>
      </c>
      <c r="M15" s="8" t="s">
        <v>1716</v>
      </c>
      <c r="N15" s="8" t="s">
        <v>1717</v>
      </c>
      <c r="O15" s="8">
        <v>223.82599999999999</v>
      </c>
      <c r="P15" s="8" t="s">
        <v>48</v>
      </c>
      <c r="Q15" s="8" t="s">
        <v>78</v>
      </c>
      <c r="R15" s="8" t="s">
        <v>79</v>
      </c>
      <c r="S15" s="8">
        <v>9</v>
      </c>
      <c r="T15" s="8" t="s">
        <v>36</v>
      </c>
      <c r="U15" s="8" t="s">
        <v>37</v>
      </c>
      <c r="V15" s="8" t="s">
        <v>1718</v>
      </c>
      <c r="W15" s="8" t="s">
        <v>636</v>
      </c>
      <c r="X15" s="8"/>
      <c r="Y15" s="8">
        <v>216</v>
      </c>
      <c r="Z15" s="8"/>
      <c r="AA15" s="8" t="s">
        <v>39</v>
      </c>
      <c r="AB15" s="8">
        <v>31</v>
      </c>
      <c r="AC15" s="21" t="str">
        <f t="shared" si="2"/>
        <v>03/08/2020</v>
      </c>
      <c r="AD15" s="21" t="str">
        <f t="shared" si="3"/>
        <v>11/09/2020</v>
      </c>
      <c r="AE15" s="8"/>
      <c r="AF15" s="8"/>
      <c r="AG15" s="8"/>
    </row>
    <row r="16" spans="1:33" x14ac:dyDescent="0.2">
      <c r="A16" s="8">
        <v>2504</v>
      </c>
      <c r="B16" s="16">
        <v>44042</v>
      </c>
      <c r="C16" s="8">
        <v>30012658</v>
      </c>
      <c r="D16" s="8" t="s">
        <v>91</v>
      </c>
      <c r="E16" s="8" t="s">
        <v>347</v>
      </c>
      <c r="F16" s="8" t="s">
        <v>348</v>
      </c>
      <c r="G16" s="8">
        <v>15017736</v>
      </c>
      <c r="H16" s="8">
        <v>802093675</v>
      </c>
      <c r="I16" s="8" t="s">
        <v>349</v>
      </c>
      <c r="J16" s="8" t="s">
        <v>58</v>
      </c>
      <c r="K16" s="8" t="s">
        <v>245</v>
      </c>
      <c r="L16" s="8" t="s">
        <v>547</v>
      </c>
      <c r="M16" s="8" t="s">
        <v>1716</v>
      </c>
      <c r="N16" s="8" t="s">
        <v>1719</v>
      </c>
      <c r="O16" s="8">
        <v>103.4</v>
      </c>
      <c r="P16" s="8" t="s">
        <v>48</v>
      </c>
      <c r="Q16" s="8" t="s">
        <v>100</v>
      </c>
      <c r="R16" s="8" t="s">
        <v>101</v>
      </c>
      <c r="S16" s="8">
        <v>4</v>
      </c>
      <c r="T16" s="8" t="s">
        <v>72</v>
      </c>
      <c r="U16" s="8" t="s">
        <v>37</v>
      </c>
      <c r="V16" s="8" t="s">
        <v>155</v>
      </c>
      <c r="W16" s="8" t="s">
        <v>548</v>
      </c>
      <c r="X16" s="8"/>
      <c r="Y16" s="8">
        <v>44</v>
      </c>
      <c r="Z16" s="8" t="s">
        <v>549</v>
      </c>
      <c r="AA16" s="8" t="s">
        <v>39</v>
      </c>
      <c r="AB16" s="8">
        <v>31</v>
      </c>
      <c r="AC16" s="21" t="str">
        <f t="shared" si="2"/>
        <v>03/08/2020</v>
      </c>
      <c r="AD16" s="21" t="str">
        <f t="shared" si="3"/>
        <v>14/08/2020</v>
      </c>
      <c r="AE16" s="8"/>
      <c r="AF16" s="8"/>
      <c r="AG16" s="8"/>
    </row>
    <row r="17" spans="1:33" x14ac:dyDescent="0.2">
      <c r="A17" s="8">
        <v>2504</v>
      </c>
      <c r="B17" s="16">
        <v>44027</v>
      </c>
      <c r="C17" s="8">
        <v>30012658</v>
      </c>
      <c r="D17" s="8" t="s">
        <v>91</v>
      </c>
      <c r="E17" s="8" t="s">
        <v>350</v>
      </c>
      <c r="F17" s="8" t="s">
        <v>351</v>
      </c>
      <c r="G17" s="8">
        <v>15017809</v>
      </c>
      <c r="H17" s="8">
        <v>802093684</v>
      </c>
      <c r="I17" s="8" t="s">
        <v>77</v>
      </c>
      <c r="J17" s="8" t="s">
        <v>32</v>
      </c>
      <c r="K17" s="8" t="s">
        <v>245</v>
      </c>
      <c r="L17" s="8" t="s">
        <v>547</v>
      </c>
      <c r="M17" s="8" t="s">
        <v>1716</v>
      </c>
      <c r="N17" s="8" t="s">
        <v>1719</v>
      </c>
      <c r="O17" s="8">
        <v>99.679000000000002</v>
      </c>
      <c r="P17" s="8" t="s">
        <v>48</v>
      </c>
      <c r="Q17" s="8" t="s">
        <v>100</v>
      </c>
      <c r="R17" s="8" t="s">
        <v>101</v>
      </c>
      <c r="S17" s="8">
        <v>4</v>
      </c>
      <c r="T17" s="8" t="s">
        <v>36</v>
      </c>
      <c r="U17" s="8" t="s">
        <v>37</v>
      </c>
      <c r="V17" s="8" t="s">
        <v>155</v>
      </c>
      <c r="W17" s="8" t="s">
        <v>552</v>
      </c>
      <c r="X17" s="8"/>
      <c r="Y17" s="8">
        <v>96</v>
      </c>
      <c r="Z17" s="8"/>
      <c r="AA17" s="8" t="s">
        <v>39</v>
      </c>
      <c r="AB17" s="8">
        <v>31</v>
      </c>
      <c r="AC17" s="21" t="str">
        <f t="shared" si="2"/>
        <v>03/08/2020</v>
      </c>
      <c r="AD17" s="21" t="str">
        <f t="shared" si="3"/>
        <v>14/08/2020</v>
      </c>
      <c r="AE17" s="8"/>
      <c r="AF17" s="8"/>
      <c r="AG17" s="8"/>
    </row>
    <row r="18" spans="1:33" x14ac:dyDescent="0.2">
      <c r="A18" s="8">
        <v>2504</v>
      </c>
      <c r="B18" s="16">
        <v>44032</v>
      </c>
      <c r="C18" s="8">
        <v>30012658</v>
      </c>
      <c r="D18" s="8" t="s">
        <v>91</v>
      </c>
      <c r="E18" s="8" t="s">
        <v>553</v>
      </c>
      <c r="F18" s="8" t="s">
        <v>554</v>
      </c>
      <c r="G18" s="8">
        <v>15017811</v>
      </c>
      <c r="H18" s="8">
        <v>802093685</v>
      </c>
      <c r="I18" s="8" t="s">
        <v>77</v>
      </c>
      <c r="J18" s="8" t="s">
        <v>32</v>
      </c>
      <c r="K18" s="8" t="s">
        <v>245</v>
      </c>
      <c r="L18" s="8" t="s">
        <v>547</v>
      </c>
      <c r="M18" s="8" t="s">
        <v>1716</v>
      </c>
      <c r="N18" s="8" t="s">
        <v>1719</v>
      </c>
      <c r="O18" s="8">
        <v>299.24599999999998</v>
      </c>
      <c r="P18" s="8" t="s">
        <v>48</v>
      </c>
      <c r="Q18" s="8" t="s">
        <v>100</v>
      </c>
      <c r="R18" s="8" t="s">
        <v>101</v>
      </c>
      <c r="S18" s="8">
        <v>12</v>
      </c>
      <c r="T18" s="8" t="s">
        <v>36</v>
      </c>
      <c r="U18" s="8" t="s">
        <v>37</v>
      </c>
      <c r="V18" s="8" t="s">
        <v>155</v>
      </c>
      <c r="W18" s="8" t="s">
        <v>557</v>
      </c>
      <c r="X18" s="8"/>
      <c r="Y18" s="8">
        <v>288</v>
      </c>
      <c r="Z18" s="8"/>
      <c r="AA18" s="8" t="s">
        <v>39</v>
      </c>
      <c r="AB18" s="8">
        <v>31</v>
      </c>
      <c r="AC18" s="21" t="str">
        <f t="shared" si="2"/>
        <v>03/08/2020</v>
      </c>
      <c r="AD18" s="21" t="str">
        <f t="shared" si="3"/>
        <v>14/08/2020</v>
      </c>
      <c r="AE18" s="8"/>
      <c r="AF18" s="8"/>
      <c r="AG18" s="8"/>
    </row>
    <row r="19" spans="1:33" x14ac:dyDescent="0.2">
      <c r="A19" s="8">
        <v>2504</v>
      </c>
      <c r="B19" s="16">
        <v>44032</v>
      </c>
      <c r="C19" s="8">
        <v>30012658</v>
      </c>
      <c r="D19" s="8" t="s">
        <v>102</v>
      </c>
      <c r="E19" s="8" t="s">
        <v>398</v>
      </c>
      <c r="F19" s="8" t="s">
        <v>399</v>
      </c>
      <c r="G19" s="8">
        <v>15017886</v>
      </c>
      <c r="H19" s="8">
        <v>802093854</v>
      </c>
      <c r="I19" s="8" t="s">
        <v>400</v>
      </c>
      <c r="J19" s="8" t="s">
        <v>58</v>
      </c>
      <c r="K19" s="8" t="s">
        <v>245</v>
      </c>
      <c r="L19" s="8" t="s">
        <v>547</v>
      </c>
      <c r="M19" s="8" t="s">
        <v>1716</v>
      </c>
      <c r="N19" s="8" t="s">
        <v>1720</v>
      </c>
      <c r="O19" s="8">
        <v>76.841999999999999</v>
      </c>
      <c r="P19" s="8" t="s">
        <v>48</v>
      </c>
      <c r="Q19" s="8" t="s">
        <v>401</v>
      </c>
      <c r="R19" s="8" t="s">
        <v>402</v>
      </c>
      <c r="S19" s="8">
        <v>4</v>
      </c>
      <c r="T19" s="8" t="s">
        <v>140</v>
      </c>
      <c r="U19" s="8" t="s">
        <v>37</v>
      </c>
      <c r="V19" s="8" t="s">
        <v>155</v>
      </c>
      <c r="W19" s="8" t="s">
        <v>560</v>
      </c>
      <c r="X19" s="8"/>
      <c r="Y19" s="8">
        <v>40</v>
      </c>
      <c r="Z19" s="8" t="s">
        <v>561</v>
      </c>
      <c r="AA19" s="8" t="s">
        <v>39</v>
      </c>
      <c r="AB19" s="8">
        <v>31</v>
      </c>
      <c r="AC19" s="21" t="str">
        <f t="shared" si="2"/>
        <v>03/08/2020</v>
      </c>
      <c r="AD19" s="21" t="str">
        <f t="shared" si="3"/>
        <v>22/08/2020</v>
      </c>
      <c r="AE19" s="8"/>
      <c r="AF19" s="8"/>
      <c r="AG19" s="8"/>
    </row>
    <row r="20" spans="1:33" x14ac:dyDescent="0.2">
      <c r="A20" s="8">
        <v>2504</v>
      </c>
      <c r="B20" s="16">
        <v>44017</v>
      </c>
      <c r="C20" s="8">
        <v>30012658</v>
      </c>
      <c r="D20" s="8" t="s">
        <v>44</v>
      </c>
      <c r="E20" s="8" t="s">
        <v>45</v>
      </c>
      <c r="F20" s="8" t="s">
        <v>299</v>
      </c>
      <c r="G20" s="8">
        <v>15017894</v>
      </c>
      <c r="H20" s="8">
        <v>802093855</v>
      </c>
      <c r="I20" s="8" t="s">
        <v>300</v>
      </c>
      <c r="J20" s="8" t="s">
        <v>58</v>
      </c>
      <c r="K20" s="8" t="s">
        <v>245</v>
      </c>
      <c r="L20" s="8" t="s">
        <v>547</v>
      </c>
      <c r="M20" s="8" t="s">
        <v>1716</v>
      </c>
      <c r="N20" s="8" t="s">
        <v>1721</v>
      </c>
      <c r="O20" s="8">
        <v>20.347999999999999</v>
      </c>
      <c r="P20" s="8" t="s">
        <v>48</v>
      </c>
      <c r="Q20" s="8" t="s">
        <v>85</v>
      </c>
      <c r="R20" s="8" t="s">
        <v>301</v>
      </c>
      <c r="S20" s="8">
        <v>1</v>
      </c>
      <c r="T20" s="8" t="s">
        <v>42</v>
      </c>
      <c r="U20" s="8" t="s">
        <v>37</v>
      </c>
      <c r="V20" s="8" t="s">
        <v>155</v>
      </c>
      <c r="W20" s="8" t="s">
        <v>564</v>
      </c>
      <c r="X20" s="8"/>
      <c r="Y20" s="8">
        <v>8</v>
      </c>
      <c r="Z20" s="8" t="s">
        <v>53</v>
      </c>
      <c r="AA20" s="8" t="s">
        <v>39</v>
      </c>
      <c r="AB20" s="8">
        <v>31</v>
      </c>
      <c r="AC20" s="21" t="str">
        <f t="shared" si="2"/>
        <v>03/08/2020</v>
      </c>
      <c r="AD20" s="21" t="str">
        <f t="shared" si="3"/>
        <v>25/08/2020</v>
      </c>
      <c r="AE20" s="8"/>
      <c r="AF20" s="8"/>
      <c r="AG20" s="8"/>
    </row>
    <row r="21" spans="1:33" x14ac:dyDescent="0.2">
      <c r="A21" s="8">
        <v>2501</v>
      </c>
      <c r="B21" s="16">
        <v>44027</v>
      </c>
      <c r="C21" s="8">
        <v>30012665</v>
      </c>
      <c r="D21" s="8" t="s">
        <v>102</v>
      </c>
      <c r="E21" s="8" t="s">
        <v>662</v>
      </c>
      <c r="F21" s="8" t="s">
        <v>663</v>
      </c>
      <c r="G21" s="8">
        <v>15017882</v>
      </c>
      <c r="H21" s="8">
        <v>802093910</v>
      </c>
      <c r="I21" s="8" t="s">
        <v>112</v>
      </c>
      <c r="J21" s="8" t="s">
        <v>32</v>
      </c>
      <c r="K21" s="8" t="s">
        <v>526</v>
      </c>
      <c r="L21" s="8" t="s">
        <v>527</v>
      </c>
      <c r="M21" s="8" t="s">
        <v>1703</v>
      </c>
      <c r="N21" s="8" t="s">
        <v>1722</v>
      </c>
      <c r="O21" s="8">
        <v>400.12299999999999</v>
      </c>
      <c r="P21" s="8" t="s">
        <v>114</v>
      </c>
      <c r="Q21" s="8" t="s">
        <v>131</v>
      </c>
      <c r="R21" s="8" t="s">
        <v>132</v>
      </c>
      <c r="S21" s="8">
        <v>0</v>
      </c>
      <c r="T21" s="8" t="s">
        <v>117</v>
      </c>
      <c r="U21" s="8" t="s">
        <v>37</v>
      </c>
      <c r="V21" s="8" t="s">
        <v>118</v>
      </c>
      <c r="W21" s="8"/>
      <c r="X21" s="8"/>
      <c r="Y21" s="8">
        <v>394</v>
      </c>
      <c r="Z21" s="8"/>
      <c r="AA21" s="8" t="s">
        <v>39</v>
      </c>
      <c r="AB21" s="8">
        <v>32</v>
      </c>
      <c r="AC21" s="23">
        <v>44047</v>
      </c>
      <c r="AD21" s="23" t="str">
        <f t="shared" ref="AD21:AD32" si="4">N21</f>
        <v>11/08/2020</v>
      </c>
      <c r="AE21" s="8">
        <v>0</v>
      </c>
      <c r="AF21" s="8"/>
      <c r="AG21" s="8"/>
    </row>
    <row r="22" spans="1:33" x14ac:dyDescent="0.2">
      <c r="A22" s="8">
        <v>2501</v>
      </c>
      <c r="B22" s="16">
        <v>44042</v>
      </c>
      <c r="C22" s="8">
        <v>30012665</v>
      </c>
      <c r="D22" s="8" t="s">
        <v>28</v>
      </c>
      <c r="E22" s="8" t="s">
        <v>29</v>
      </c>
      <c r="F22" s="8" t="s">
        <v>30</v>
      </c>
      <c r="G22" s="8">
        <v>15017943</v>
      </c>
      <c r="H22" s="8">
        <v>802093921</v>
      </c>
      <c r="I22" s="8" t="s">
        <v>112</v>
      </c>
      <c r="J22" s="8" t="s">
        <v>32</v>
      </c>
      <c r="K22" s="8" t="s">
        <v>526</v>
      </c>
      <c r="L22" s="8" t="s">
        <v>527</v>
      </c>
      <c r="M22" s="8" t="s">
        <v>1703</v>
      </c>
      <c r="N22" s="8" t="s">
        <v>1723</v>
      </c>
      <c r="O22" s="8">
        <v>498.71499999999997</v>
      </c>
      <c r="P22" s="8" t="s">
        <v>114</v>
      </c>
      <c r="Q22" s="8" t="s">
        <v>115</v>
      </c>
      <c r="R22" s="8" t="s">
        <v>332</v>
      </c>
      <c r="S22" s="8">
        <v>0</v>
      </c>
      <c r="T22" s="8" t="s">
        <v>117</v>
      </c>
      <c r="U22" s="8" t="s">
        <v>37</v>
      </c>
      <c r="V22" s="8" t="s">
        <v>118</v>
      </c>
      <c r="W22" s="8"/>
      <c r="X22" s="8"/>
      <c r="Y22" s="8">
        <v>492</v>
      </c>
      <c r="Z22" s="8"/>
      <c r="AA22" s="8" t="s">
        <v>39</v>
      </c>
      <c r="AB22" s="8">
        <v>32</v>
      </c>
      <c r="AC22" s="23">
        <v>44047</v>
      </c>
      <c r="AD22" s="23" t="str">
        <f t="shared" si="4"/>
        <v>03/09/2020</v>
      </c>
      <c r="AE22" s="8">
        <v>0</v>
      </c>
      <c r="AF22" s="8"/>
      <c r="AG22" s="8"/>
    </row>
    <row r="23" spans="1:33" x14ac:dyDescent="0.2">
      <c r="A23" s="8">
        <v>2501</v>
      </c>
      <c r="B23" s="16">
        <v>44042</v>
      </c>
      <c r="C23" s="8">
        <v>30012665</v>
      </c>
      <c r="D23" s="8" t="s">
        <v>28</v>
      </c>
      <c r="E23" s="8" t="s">
        <v>29</v>
      </c>
      <c r="F23" s="8" t="s">
        <v>30</v>
      </c>
      <c r="G23" s="8">
        <v>15017944</v>
      </c>
      <c r="H23" s="8">
        <v>802093922</v>
      </c>
      <c r="I23" s="8" t="s">
        <v>112</v>
      </c>
      <c r="J23" s="8" t="s">
        <v>32</v>
      </c>
      <c r="K23" s="8" t="s">
        <v>526</v>
      </c>
      <c r="L23" s="8" t="s">
        <v>527</v>
      </c>
      <c r="M23" s="8" t="s">
        <v>1703</v>
      </c>
      <c r="N23" s="8" t="s">
        <v>1723</v>
      </c>
      <c r="O23" s="8">
        <v>501.11</v>
      </c>
      <c r="P23" s="8" t="s">
        <v>114</v>
      </c>
      <c r="Q23" s="8" t="s">
        <v>115</v>
      </c>
      <c r="R23" s="8" t="s">
        <v>332</v>
      </c>
      <c r="S23" s="8">
        <v>0</v>
      </c>
      <c r="T23" s="8" t="s">
        <v>117</v>
      </c>
      <c r="U23" s="8" t="s">
        <v>37</v>
      </c>
      <c r="V23" s="8" t="s">
        <v>118</v>
      </c>
      <c r="W23" s="8"/>
      <c r="X23" s="8"/>
      <c r="Y23" s="8">
        <v>492</v>
      </c>
      <c r="Z23" s="8"/>
      <c r="AA23" s="8" t="s">
        <v>39</v>
      </c>
      <c r="AB23" s="8">
        <v>32</v>
      </c>
      <c r="AC23" s="23">
        <v>44047</v>
      </c>
      <c r="AD23" s="23" t="str">
        <f t="shared" si="4"/>
        <v>03/09/2020</v>
      </c>
      <c r="AE23" s="8">
        <v>0</v>
      </c>
      <c r="AF23" s="8"/>
      <c r="AG23" s="8"/>
    </row>
    <row r="24" spans="1:33" x14ac:dyDescent="0.2">
      <c r="A24" s="8">
        <v>2501</v>
      </c>
      <c r="B24" s="16">
        <v>44042</v>
      </c>
      <c r="C24" s="8">
        <v>30012665</v>
      </c>
      <c r="D24" s="8" t="s">
        <v>28</v>
      </c>
      <c r="E24" s="8" t="s">
        <v>29</v>
      </c>
      <c r="F24" s="8" t="s">
        <v>30</v>
      </c>
      <c r="G24" s="8">
        <v>15017945</v>
      </c>
      <c r="H24" s="8">
        <v>802093923</v>
      </c>
      <c r="I24" s="8" t="s">
        <v>112</v>
      </c>
      <c r="J24" s="8" t="s">
        <v>32</v>
      </c>
      <c r="K24" s="8" t="s">
        <v>526</v>
      </c>
      <c r="L24" s="8" t="s">
        <v>527</v>
      </c>
      <c r="M24" s="8" t="s">
        <v>1703</v>
      </c>
      <c r="N24" s="8" t="s">
        <v>1723</v>
      </c>
      <c r="O24" s="8">
        <v>501.09300000000002</v>
      </c>
      <c r="P24" s="8" t="s">
        <v>114</v>
      </c>
      <c r="Q24" s="8" t="s">
        <v>115</v>
      </c>
      <c r="R24" s="8" t="s">
        <v>332</v>
      </c>
      <c r="S24" s="8">
        <v>0</v>
      </c>
      <c r="T24" s="8" t="s">
        <v>117</v>
      </c>
      <c r="U24" s="8" t="s">
        <v>37</v>
      </c>
      <c r="V24" s="8" t="s">
        <v>118</v>
      </c>
      <c r="W24" s="8"/>
      <c r="X24" s="8"/>
      <c r="Y24" s="8">
        <v>492</v>
      </c>
      <c r="Z24" s="8"/>
      <c r="AA24" s="8" t="s">
        <v>39</v>
      </c>
      <c r="AB24" s="8">
        <v>32</v>
      </c>
      <c r="AC24" s="23">
        <v>44047</v>
      </c>
      <c r="AD24" s="23" t="str">
        <f t="shared" si="4"/>
        <v>03/09/2020</v>
      </c>
      <c r="AE24" s="17">
        <v>0</v>
      </c>
      <c r="AF24" s="8"/>
      <c r="AG24" s="8"/>
    </row>
    <row r="25" spans="1:33" x14ac:dyDescent="0.2">
      <c r="A25" s="8">
        <v>2501</v>
      </c>
      <c r="B25" s="16">
        <v>44042</v>
      </c>
      <c r="C25" s="8">
        <v>30012665</v>
      </c>
      <c r="D25" s="8" t="s">
        <v>28</v>
      </c>
      <c r="E25" s="8" t="s">
        <v>29</v>
      </c>
      <c r="F25" s="8" t="s">
        <v>30</v>
      </c>
      <c r="G25" s="8">
        <v>15017946</v>
      </c>
      <c r="H25" s="8">
        <v>802093924</v>
      </c>
      <c r="I25" s="8" t="s">
        <v>112</v>
      </c>
      <c r="J25" s="8" t="s">
        <v>32</v>
      </c>
      <c r="K25" s="8" t="s">
        <v>526</v>
      </c>
      <c r="L25" s="8" t="s">
        <v>527</v>
      </c>
      <c r="M25" s="8" t="s">
        <v>1703</v>
      </c>
      <c r="N25" s="8" t="s">
        <v>1723</v>
      </c>
      <c r="O25" s="8">
        <v>501.178</v>
      </c>
      <c r="P25" s="8" t="s">
        <v>114</v>
      </c>
      <c r="Q25" s="8" t="s">
        <v>115</v>
      </c>
      <c r="R25" s="8" t="s">
        <v>332</v>
      </c>
      <c r="S25" s="8">
        <v>0</v>
      </c>
      <c r="T25" s="8" t="s">
        <v>117</v>
      </c>
      <c r="U25" s="8" t="s">
        <v>37</v>
      </c>
      <c r="V25" s="8" t="s">
        <v>118</v>
      </c>
      <c r="W25" s="8"/>
      <c r="X25" s="8"/>
      <c r="Y25" s="8">
        <v>492</v>
      </c>
      <c r="Z25" s="8"/>
      <c r="AA25" s="8" t="s">
        <v>39</v>
      </c>
      <c r="AB25" s="8">
        <v>32</v>
      </c>
      <c r="AC25" s="23">
        <v>44047</v>
      </c>
      <c r="AD25" s="23" t="str">
        <f t="shared" si="4"/>
        <v>03/09/2020</v>
      </c>
      <c r="AE25" s="18">
        <v>0</v>
      </c>
      <c r="AF25" s="8"/>
      <c r="AG25" s="8"/>
    </row>
    <row r="26" spans="1:33" x14ac:dyDescent="0.2">
      <c r="A26" s="8">
        <v>2501</v>
      </c>
      <c r="B26" s="16">
        <v>44017</v>
      </c>
      <c r="C26" s="8">
        <v>30012665</v>
      </c>
      <c r="D26" s="8" t="s">
        <v>91</v>
      </c>
      <c r="E26" s="8" t="s">
        <v>191</v>
      </c>
      <c r="F26" s="8" t="s">
        <v>192</v>
      </c>
      <c r="G26" s="8">
        <v>15018015</v>
      </c>
      <c r="H26" s="8">
        <v>802093995</v>
      </c>
      <c r="I26" s="8" t="s">
        <v>112</v>
      </c>
      <c r="J26" s="8" t="s">
        <v>32</v>
      </c>
      <c r="K26" s="8" t="s">
        <v>526</v>
      </c>
      <c r="L26" s="8" t="s">
        <v>527</v>
      </c>
      <c r="M26" s="8" t="s">
        <v>1703</v>
      </c>
      <c r="N26" s="8" t="s">
        <v>1714</v>
      </c>
      <c r="O26" s="8">
        <v>259.34500000000003</v>
      </c>
      <c r="P26" s="8" t="s">
        <v>114</v>
      </c>
      <c r="Q26" s="8" t="s">
        <v>182</v>
      </c>
      <c r="R26" s="8" t="s">
        <v>183</v>
      </c>
      <c r="S26" s="8">
        <v>0</v>
      </c>
      <c r="T26" s="8" t="s">
        <v>117</v>
      </c>
      <c r="U26" s="8" t="s">
        <v>37</v>
      </c>
      <c r="V26" s="8" t="s">
        <v>118</v>
      </c>
      <c r="W26" s="8"/>
      <c r="X26" s="8"/>
      <c r="Y26" s="8">
        <v>256</v>
      </c>
      <c r="Z26" s="8"/>
      <c r="AA26" s="8" t="s">
        <v>39</v>
      </c>
      <c r="AB26" s="8">
        <v>32</v>
      </c>
      <c r="AC26" s="23">
        <v>44047</v>
      </c>
      <c r="AD26" s="23" t="str">
        <f t="shared" si="4"/>
        <v>15/08/2020</v>
      </c>
      <c r="AE26" s="18">
        <v>0</v>
      </c>
      <c r="AF26" s="8"/>
      <c r="AG26" s="8"/>
    </row>
    <row r="27" spans="1:33" x14ac:dyDescent="0.2">
      <c r="A27" s="8">
        <v>2501</v>
      </c>
      <c r="B27" s="16">
        <v>44027</v>
      </c>
      <c r="C27" s="8">
        <v>30012665</v>
      </c>
      <c r="D27" s="8" t="s">
        <v>102</v>
      </c>
      <c r="E27" s="8" t="s">
        <v>322</v>
      </c>
      <c r="F27" s="8" t="s">
        <v>331</v>
      </c>
      <c r="G27" s="8">
        <v>15018035</v>
      </c>
      <c r="H27" s="8">
        <v>802094029</v>
      </c>
      <c r="I27" s="8" t="s">
        <v>112</v>
      </c>
      <c r="J27" s="8" t="s">
        <v>32</v>
      </c>
      <c r="K27" s="8" t="s">
        <v>526</v>
      </c>
      <c r="L27" s="8" t="s">
        <v>527</v>
      </c>
      <c r="M27" s="8" t="s">
        <v>1703</v>
      </c>
      <c r="N27" s="8" t="s">
        <v>1722</v>
      </c>
      <c r="O27" s="8">
        <v>48.584000000000003</v>
      </c>
      <c r="P27" s="8" t="s">
        <v>114</v>
      </c>
      <c r="Q27" s="8" t="s">
        <v>131</v>
      </c>
      <c r="R27" s="8" t="s">
        <v>132</v>
      </c>
      <c r="S27" s="8">
        <v>0</v>
      </c>
      <c r="T27" s="8" t="s">
        <v>117</v>
      </c>
      <c r="U27" s="8" t="s">
        <v>37</v>
      </c>
      <c r="V27" s="8" t="s">
        <v>118</v>
      </c>
      <c r="W27" s="8"/>
      <c r="X27" s="8"/>
      <c r="Y27" s="8">
        <v>48</v>
      </c>
      <c r="Z27" s="8"/>
      <c r="AA27" s="8" t="s">
        <v>39</v>
      </c>
      <c r="AB27" s="8">
        <v>32</v>
      </c>
      <c r="AC27" s="23">
        <v>44047</v>
      </c>
      <c r="AD27" s="23" t="str">
        <f t="shared" si="4"/>
        <v>11/08/2020</v>
      </c>
      <c r="AE27" s="18">
        <v>0</v>
      </c>
      <c r="AF27" s="8"/>
      <c r="AG27" s="8"/>
    </row>
    <row r="28" spans="1:33" x14ac:dyDescent="0.2">
      <c r="A28" s="8">
        <v>2501</v>
      </c>
      <c r="B28" s="16">
        <v>44042</v>
      </c>
      <c r="C28" s="8">
        <v>30012665</v>
      </c>
      <c r="D28" s="8" t="s">
        <v>28</v>
      </c>
      <c r="E28" s="8" t="s">
        <v>129</v>
      </c>
      <c r="F28" s="8" t="s">
        <v>130</v>
      </c>
      <c r="G28" s="8">
        <v>15018038</v>
      </c>
      <c r="H28" s="8">
        <v>802094043</v>
      </c>
      <c r="I28" s="8" t="s">
        <v>112</v>
      </c>
      <c r="J28" s="8" t="s">
        <v>32</v>
      </c>
      <c r="K28" s="8" t="s">
        <v>526</v>
      </c>
      <c r="L28" s="8" t="s">
        <v>527</v>
      </c>
      <c r="M28" s="8" t="s">
        <v>1703</v>
      </c>
      <c r="N28" s="8" t="s">
        <v>1719</v>
      </c>
      <c r="O28" s="8">
        <v>499.06299999999999</v>
      </c>
      <c r="P28" s="8" t="s">
        <v>114</v>
      </c>
      <c r="Q28" s="8" t="s">
        <v>85</v>
      </c>
      <c r="R28" s="8" t="s">
        <v>86</v>
      </c>
      <c r="S28" s="8">
        <v>0</v>
      </c>
      <c r="T28" s="8" t="s">
        <v>117</v>
      </c>
      <c r="U28" s="8" t="s">
        <v>37</v>
      </c>
      <c r="V28" s="8" t="s">
        <v>118</v>
      </c>
      <c r="W28" s="8"/>
      <c r="X28" s="8"/>
      <c r="Y28" s="8">
        <v>492</v>
      </c>
      <c r="Z28" s="8"/>
      <c r="AA28" s="8" t="s">
        <v>39</v>
      </c>
      <c r="AB28" s="8">
        <v>32</v>
      </c>
      <c r="AC28" s="23">
        <v>44047</v>
      </c>
      <c r="AD28" s="23" t="str">
        <f t="shared" si="4"/>
        <v>14/08/2020</v>
      </c>
      <c r="AE28" s="18">
        <v>0</v>
      </c>
      <c r="AF28" s="8"/>
      <c r="AG28" s="8"/>
    </row>
    <row r="29" spans="1:33" x14ac:dyDescent="0.2">
      <c r="A29" s="8">
        <v>2501</v>
      </c>
      <c r="B29" s="16">
        <v>44042</v>
      </c>
      <c r="C29" s="8">
        <v>30012665</v>
      </c>
      <c r="D29" s="8" t="s">
        <v>28</v>
      </c>
      <c r="E29" s="8" t="s">
        <v>129</v>
      </c>
      <c r="F29" s="8" t="s">
        <v>130</v>
      </c>
      <c r="G29" s="8">
        <v>15018039</v>
      </c>
      <c r="H29" s="8">
        <v>802094044</v>
      </c>
      <c r="I29" s="8" t="s">
        <v>112</v>
      </c>
      <c r="J29" s="8" t="s">
        <v>32</v>
      </c>
      <c r="K29" s="8" t="s">
        <v>526</v>
      </c>
      <c r="L29" s="8" t="s">
        <v>527</v>
      </c>
      <c r="M29" s="8" t="s">
        <v>1703</v>
      </c>
      <c r="N29" s="8" t="s">
        <v>1719</v>
      </c>
      <c r="O29" s="8">
        <v>498.70499999999998</v>
      </c>
      <c r="P29" s="8" t="s">
        <v>114</v>
      </c>
      <c r="Q29" s="8" t="s">
        <v>85</v>
      </c>
      <c r="R29" s="8" t="s">
        <v>86</v>
      </c>
      <c r="S29" s="8">
        <v>0</v>
      </c>
      <c r="T29" s="8" t="s">
        <v>117</v>
      </c>
      <c r="U29" s="8" t="s">
        <v>37</v>
      </c>
      <c r="V29" s="8" t="s">
        <v>118</v>
      </c>
      <c r="W29" s="8"/>
      <c r="X29" s="8"/>
      <c r="Y29" s="8">
        <v>492</v>
      </c>
      <c r="Z29" s="8"/>
      <c r="AA29" s="8" t="s">
        <v>39</v>
      </c>
      <c r="AB29" s="8">
        <v>32</v>
      </c>
      <c r="AC29" s="23">
        <v>44047</v>
      </c>
      <c r="AD29" s="23" t="str">
        <f t="shared" si="4"/>
        <v>14/08/2020</v>
      </c>
      <c r="AE29" s="18">
        <v>0</v>
      </c>
      <c r="AF29" s="8"/>
      <c r="AG29" s="8"/>
    </row>
    <row r="30" spans="1:33" x14ac:dyDescent="0.2">
      <c r="A30" s="8">
        <v>2501</v>
      </c>
      <c r="B30" s="16">
        <v>44042</v>
      </c>
      <c r="C30" s="8">
        <v>30012665</v>
      </c>
      <c r="D30" s="8" t="s">
        <v>28</v>
      </c>
      <c r="E30" s="8" t="s">
        <v>129</v>
      </c>
      <c r="F30" s="8" t="s">
        <v>130</v>
      </c>
      <c r="G30" s="8">
        <v>15018040</v>
      </c>
      <c r="H30" s="8">
        <v>802094045</v>
      </c>
      <c r="I30" s="8" t="s">
        <v>112</v>
      </c>
      <c r="J30" s="8" t="s">
        <v>32</v>
      </c>
      <c r="K30" s="8" t="s">
        <v>526</v>
      </c>
      <c r="L30" s="8" t="s">
        <v>527</v>
      </c>
      <c r="M30" s="8" t="s">
        <v>1703</v>
      </c>
      <c r="N30" s="8" t="s">
        <v>1719</v>
      </c>
      <c r="O30" s="8">
        <v>498.762</v>
      </c>
      <c r="P30" s="8" t="s">
        <v>114</v>
      </c>
      <c r="Q30" s="8" t="s">
        <v>85</v>
      </c>
      <c r="R30" s="8" t="s">
        <v>86</v>
      </c>
      <c r="S30" s="8">
        <v>0</v>
      </c>
      <c r="T30" s="8" t="s">
        <v>117</v>
      </c>
      <c r="U30" s="8" t="s">
        <v>37</v>
      </c>
      <c r="V30" s="8" t="s">
        <v>118</v>
      </c>
      <c r="W30" s="8"/>
      <c r="X30" s="8"/>
      <c r="Y30" s="8">
        <v>492</v>
      </c>
      <c r="Z30" s="8"/>
      <c r="AA30" s="8" t="s">
        <v>39</v>
      </c>
      <c r="AB30" s="8">
        <v>32</v>
      </c>
      <c r="AC30" s="23">
        <v>44047</v>
      </c>
      <c r="AD30" s="23" t="str">
        <f t="shared" si="4"/>
        <v>14/08/2020</v>
      </c>
      <c r="AE30" s="18">
        <v>0</v>
      </c>
      <c r="AF30" s="8"/>
      <c r="AG30" s="8"/>
    </row>
    <row r="31" spans="1:33" x14ac:dyDescent="0.2">
      <c r="A31" s="8">
        <v>2501</v>
      </c>
      <c r="B31" s="16">
        <v>44042</v>
      </c>
      <c r="C31" s="8">
        <v>30012665</v>
      </c>
      <c r="D31" s="8" t="s">
        <v>28</v>
      </c>
      <c r="E31" s="8" t="s">
        <v>129</v>
      </c>
      <c r="F31" s="8" t="s">
        <v>130</v>
      </c>
      <c r="G31" s="8">
        <v>15018041</v>
      </c>
      <c r="H31" s="8">
        <v>802094046</v>
      </c>
      <c r="I31" s="8" t="s">
        <v>112</v>
      </c>
      <c r="J31" s="8" t="s">
        <v>32</v>
      </c>
      <c r="K31" s="8" t="s">
        <v>526</v>
      </c>
      <c r="L31" s="8" t="s">
        <v>527</v>
      </c>
      <c r="M31" s="8" t="s">
        <v>1703</v>
      </c>
      <c r="N31" s="8" t="s">
        <v>1719</v>
      </c>
      <c r="O31" s="8">
        <v>498.73500000000001</v>
      </c>
      <c r="P31" s="8" t="s">
        <v>114</v>
      </c>
      <c r="Q31" s="8" t="s">
        <v>85</v>
      </c>
      <c r="R31" s="8" t="s">
        <v>86</v>
      </c>
      <c r="S31" s="8">
        <v>0</v>
      </c>
      <c r="T31" s="8" t="s">
        <v>117</v>
      </c>
      <c r="U31" s="8" t="s">
        <v>37</v>
      </c>
      <c r="V31" s="8" t="s">
        <v>118</v>
      </c>
      <c r="W31" s="8"/>
      <c r="X31" s="8"/>
      <c r="Y31" s="8">
        <v>492</v>
      </c>
      <c r="Z31" s="8"/>
      <c r="AA31" s="8" t="s">
        <v>39</v>
      </c>
      <c r="AB31" s="8">
        <v>32</v>
      </c>
      <c r="AC31" s="23">
        <v>44047</v>
      </c>
      <c r="AD31" s="23" t="str">
        <f t="shared" si="4"/>
        <v>14/08/2020</v>
      </c>
      <c r="AE31" s="18">
        <v>0</v>
      </c>
      <c r="AF31" s="8"/>
      <c r="AG31" s="8"/>
    </row>
    <row r="32" spans="1:33" x14ac:dyDescent="0.2">
      <c r="A32" s="8">
        <v>2501</v>
      </c>
      <c r="B32" s="16">
        <v>44027</v>
      </c>
      <c r="C32" s="8">
        <v>30012665</v>
      </c>
      <c r="D32" s="8" t="s">
        <v>102</v>
      </c>
      <c r="E32" s="8" t="s">
        <v>322</v>
      </c>
      <c r="F32" s="8" t="s">
        <v>687</v>
      </c>
      <c r="G32" s="8">
        <v>15018053</v>
      </c>
      <c r="H32" s="8">
        <v>802094083</v>
      </c>
      <c r="I32" s="8" t="s">
        <v>112</v>
      </c>
      <c r="J32" s="8" t="s">
        <v>32</v>
      </c>
      <c r="K32" s="8" t="s">
        <v>526</v>
      </c>
      <c r="L32" s="8" t="s">
        <v>527</v>
      </c>
      <c r="M32" s="8" t="s">
        <v>1703</v>
      </c>
      <c r="N32" s="8" t="s">
        <v>1722</v>
      </c>
      <c r="O32" s="8">
        <v>202.03700000000001</v>
      </c>
      <c r="P32" s="8" t="s">
        <v>114</v>
      </c>
      <c r="Q32" s="8" t="s">
        <v>131</v>
      </c>
      <c r="R32" s="8" t="s">
        <v>132</v>
      </c>
      <c r="S32" s="8">
        <v>0</v>
      </c>
      <c r="T32" s="8" t="s">
        <v>117</v>
      </c>
      <c r="U32" s="8" t="s">
        <v>37</v>
      </c>
      <c r="V32" s="8" t="s">
        <v>118</v>
      </c>
      <c r="W32" s="8"/>
      <c r="X32" s="8"/>
      <c r="Y32" s="8">
        <v>198</v>
      </c>
      <c r="Z32" s="8"/>
      <c r="AA32" s="8" t="s">
        <v>39</v>
      </c>
      <c r="AB32" s="8">
        <v>32</v>
      </c>
      <c r="AC32" s="23">
        <v>44047</v>
      </c>
      <c r="AD32" s="23" t="str">
        <f t="shared" si="4"/>
        <v>11/08/2020</v>
      </c>
      <c r="AE32" s="18">
        <v>0</v>
      </c>
      <c r="AF32" s="8"/>
      <c r="AG32" s="8"/>
    </row>
    <row r="33" spans="1:33" x14ac:dyDescent="0.2">
      <c r="A33" s="8">
        <v>2503</v>
      </c>
      <c r="B33" s="16">
        <v>44048</v>
      </c>
      <c r="C33" s="8">
        <v>30012761</v>
      </c>
      <c r="D33" s="8" t="s">
        <v>74</v>
      </c>
      <c r="E33" s="8" t="s">
        <v>75</v>
      </c>
      <c r="F33" s="8" t="s">
        <v>285</v>
      </c>
      <c r="G33" s="8">
        <v>15018166</v>
      </c>
      <c r="H33" s="8">
        <v>802094769</v>
      </c>
      <c r="I33" s="8" t="s">
        <v>491</v>
      </c>
      <c r="J33" s="8" t="s">
        <v>286</v>
      </c>
      <c r="K33" s="8" t="s">
        <v>773</v>
      </c>
      <c r="L33" s="8" t="s">
        <v>622</v>
      </c>
      <c r="M33" s="8" t="s">
        <v>1724</v>
      </c>
      <c r="N33" s="8" t="s">
        <v>1725</v>
      </c>
      <c r="O33" s="8">
        <v>19.577000000000002</v>
      </c>
      <c r="P33" s="8" t="s">
        <v>287</v>
      </c>
      <c r="Q33" s="8" t="s">
        <v>288</v>
      </c>
      <c r="R33" s="8" t="s">
        <v>289</v>
      </c>
      <c r="S33" s="8">
        <v>1</v>
      </c>
      <c r="T33" s="8" t="s">
        <v>87</v>
      </c>
      <c r="U33" s="8" t="s">
        <v>37</v>
      </c>
      <c r="V33" s="8" t="s">
        <v>65</v>
      </c>
      <c r="W33" s="8" t="s">
        <v>774</v>
      </c>
      <c r="X33" s="8"/>
      <c r="Y33" s="8">
        <v>19</v>
      </c>
      <c r="Z33" s="8" t="s">
        <v>592</v>
      </c>
      <c r="AA33" s="8" t="s">
        <v>109</v>
      </c>
      <c r="AB33" s="8">
        <v>31</v>
      </c>
      <c r="AC33" s="23" t="str">
        <f>M33</f>
        <v>01/08/2020</v>
      </c>
      <c r="AD33" s="23" t="str">
        <f>N33</f>
        <v>26/08/2020</v>
      </c>
      <c r="AE33" s="8">
        <v>0</v>
      </c>
      <c r="AF33" s="8">
        <v>0</v>
      </c>
      <c r="AG33" s="8"/>
    </row>
    <row r="34" spans="1:33" x14ac:dyDescent="0.2">
      <c r="A34" s="8">
        <v>2503</v>
      </c>
      <c r="B34" s="16">
        <v>44048</v>
      </c>
      <c r="C34" s="8">
        <v>30012761</v>
      </c>
      <c r="D34" s="8" t="s">
        <v>74</v>
      </c>
      <c r="E34" s="8" t="s">
        <v>75</v>
      </c>
      <c r="F34" s="8" t="s">
        <v>285</v>
      </c>
      <c r="G34" s="8">
        <v>15018167</v>
      </c>
      <c r="H34" s="8">
        <v>802094770</v>
      </c>
      <c r="I34" s="8" t="s">
        <v>222</v>
      </c>
      <c r="J34" s="8" t="s">
        <v>223</v>
      </c>
      <c r="K34" s="8" t="s">
        <v>773</v>
      </c>
      <c r="L34" s="8" t="s">
        <v>622</v>
      </c>
      <c r="M34" s="8" t="s">
        <v>1724</v>
      </c>
      <c r="N34" s="8" t="s">
        <v>1725</v>
      </c>
      <c r="O34" s="8">
        <v>19.617000000000001</v>
      </c>
      <c r="P34" s="8" t="s">
        <v>287</v>
      </c>
      <c r="Q34" s="8" t="s">
        <v>288</v>
      </c>
      <c r="R34" s="8" t="s">
        <v>289</v>
      </c>
      <c r="S34" s="8">
        <v>1</v>
      </c>
      <c r="T34" s="8" t="s">
        <v>87</v>
      </c>
      <c r="U34" s="8" t="s">
        <v>37</v>
      </c>
      <c r="V34" s="8" t="s">
        <v>65</v>
      </c>
      <c r="W34" s="8" t="s">
        <v>777</v>
      </c>
      <c r="X34" s="8"/>
      <c r="Y34" s="8">
        <v>19</v>
      </c>
      <c r="Z34" s="8" t="s">
        <v>592</v>
      </c>
      <c r="AA34" s="8" t="s">
        <v>109</v>
      </c>
      <c r="AB34" s="8">
        <v>31</v>
      </c>
      <c r="AC34" s="23" t="str">
        <f t="shared" ref="AC34:AD34" si="5">M34</f>
        <v>01/08/2020</v>
      </c>
      <c r="AD34" s="23" t="str">
        <f t="shared" si="5"/>
        <v>26/08/2020</v>
      </c>
      <c r="AE34" s="8">
        <v>0</v>
      </c>
      <c r="AF34" s="8">
        <v>0</v>
      </c>
      <c r="AG34" s="8"/>
    </row>
    <row r="35" spans="1:33" x14ac:dyDescent="0.2">
      <c r="A35" s="8">
        <v>2503</v>
      </c>
      <c r="B35" s="16">
        <v>44042</v>
      </c>
      <c r="C35" s="8">
        <v>30012636</v>
      </c>
      <c r="D35" s="8" t="s">
        <v>28</v>
      </c>
      <c r="E35" s="8" t="s">
        <v>98</v>
      </c>
      <c r="F35" s="8" t="s">
        <v>205</v>
      </c>
      <c r="G35" s="8">
        <v>15017923</v>
      </c>
      <c r="H35" s="8">
        <v>802093760</v>
      </c>
      <c r="I35" s="8" t="s">
        <v>31</v>
      </c>
      <c r="J35" s="8" t="s">
        <v>32</v>
      </c>
      <c r="K35" s="8" t="s">
        <v>752</v>
      </c>
      <c r="L35" s="8" t="s">
        <v>694</v>
      </c>
      <c r="M35" s="8" t="s">
        <v>1708</v>
      </c>
      <c r="N35" s="8" t="s">
        <v>1712</v>
      </c>
      <c r="O35" s="8">
        <v>494.37799999999999</v>
      </c>
      <c r="P35" s="8" t="s">
        <v>224</v>
      </c>
      <c r="Q35" s="8" t="s">
        <v>206</v>
      </c>
      <c r="R35" s="8" t="s">
        <v>35</v>
      </c>
      <c r="S35" s="8">
        <v>20</v>
      </c>
      <c r="T35" s="8" t="s">
        <v>87</v>
      </c>
      <c r="U35" s="8" t="s">
        <v>37</v>
      </c>
      <c r="V35" s="8" t="s">
        <v>88</v>
      </c>
      <c r="W35" s="8" t="s">
        <v>695</v>
      </c>
      <c r="X35" s="8"/>
      <c r="Y35" s="8">
        <v>480</v>
      </c>
      <c r="Z35" s="8"/>
      <c r="AA35" s="8" t="s">
        <v>39</v>
      </c>
      <c r="AB35" s="8">
        <v>31</v>
      </c>
      <c r="AC35" s="23" t="str">
        <f>M35</f>
        <v>02/08/2020</v>
      </c>
      <c r="AD35" s="23" t="str">
        <f>N35</f>
        <v>02/09/2020</v>
      </c>
      <c r="AE35" s="8">
        <v>0</v>
      </c>
      <c r="AF35" s="8">
        <v>0</v>
      </c>
      <c r="AG35" s="8"/>
    </row>
    <row r="36" spans="1:33" x14ac:dyDescent="0.2">
      <c r="A36" s="8">
        <v>2503</v>
      </c>
      <c r="B36" s="16">
        <v>44042</v>
      </c>
      <c r="C36" s="8">
        <v>30012636</v>
      </c>
      <c r="D36" s="8" t="s">
        <v>28</v>
      </c>
      <c r="E36" s="8" t="s">
        <v>98</v>
      </c>
      <c r="F36" s="8" t="s">
        <v>205</v>
      </c>
      <c r="G36" s="8">
        <v>15017924</v>
      </c>
      <c r="H36" s="8">
        <v>802093761</v>
      </c>
      <c r="I36" s="8" t="s">
        <v>31</v>
      </c>
      <c r="J36" s="8" t="s">
        <v>32</v>
      </c>
      <c r="K36" s="8" t="s">
        <v>752</v>
      </c>
      <c r="L36" s="8" t="s">
        <v>694</v>
      </c>
      <c r="M36" s="8" t="s">
        <v>1708</v>
      </c>
      <c r="N36" s="8" t="s">
        <v>1712</v>
      </c>
      <c r="O36" s="8">
        <v>494.75799999999998</v>
      </c>
      <c r="P36" s="8" t="s">
        <v>224</v>
      </c>
      <c r="Q36" s="8" t="s">
        <v>206</v>
      </c>
      <c r="R36" s="8" t="s">
        <v>35</v>
      </c>
      <c r="S36" s="8">
        <v>20</v>
      </c>
      <c r="T36" s="8" t="s">
        <v>87</v>
      </c>
      <c r="U36" s="8" t="s">
        <v>37</v>
      </c>
      <c r="V36" s="8" t="s">
        <v>88</v>
      </c>
      <c r="W36" s="8" t="s">
        <v>698</v>
      </c>
      <c r="X36" s="8"/>
      <c r="Y36" s="8">
        <v>480</v>
      </c>
      <c r="Z36" s="8"/>
      <c r="AA36" s="8" t="s">
        <v>39</v>
      </c>
      <c r="AB36" s="8">
        <v>31</v>
      </c>
      <c r="AC36" s="23" t="str">
        <f t="shared" ref="AC36:AC39" si="6">M36</f>
        <v>02/08/2020</v>
      </c>
      <c r="AD36" s="23" t="str">
        <f t="shared" ref="AD36:AD39" si="7">N36</f>
        <v>02/09/2020</v>
      </c>
      <c r="AE36" s="8">
        <v>0</v>
      </c>
      <c r="AF36" s="8">
        <v>0</v>
      </c>
      <c r="AG36" s="8"/>
    </row>
    <row r="37" spans="1:33" x14ac:dyDescent="0.2">
      <c r="A37" s="8">
        <v>2503</v>
      </c>
      <c r="B37" s="16">
        <v>44042</v>
      </c>
      <c r="C37" s="8">
        <v>30012636</v>
      </c>
      <c r="D37" s="8" t="s">
        <v>28</v>
      </c>
      <c r="E37" s="8" t="s">
        <v>98</v>
      </c>
      <c r="F37" s="8" t="s">
        <v>205</v>
      </c>
      <c r="G37" s="8">
        <v>15017925</v>
      </c>
      <c r="H37" s="8">
        <v>802093762</v>
      </c>
      <c r="I37" s="8" t="s">
        <v>31</v>
      </c>
      <c r="J37" s="8" t="s">
        <v>32</v>
      </c>
      <c r="K37" s="8" t="s">
        <v>752</v>
      </c>
      <c r="L37" s="8" t="s">
        <v>694</v>
      </c>
      <c r="M37" s="8" t="s">
        <v>1708</v>
      </c>
      <c r="N37" s="8" t="s">
        <v>1712</v>
      </c>
      <c r="O37" s="8">
        <v>494.24299999999999</v>
      </c>
      <c r="P37" s="8" t="s">
        <v>224</v>
      </c>
      <c r="Q37" s="8" t="s">
        <v>206</v>
      </c>
      <c r="R37" s="8" t="s">
        <v>35</v>
      </c>
      <c r="S37" s="8">
        <v>20</v>
      </c>
      <c r="T37" s="8" t="s">
        <v>87</v>
      </c>
      <c r="U37" s="8" t="s">
        <v>37</v>
      </c>
      <c r="V37" s="8" t="s">
        <v>88</v>
      </c>
      <c r="W37" s="8" t="s">
        <v>701</v>
      </c>
      <c r="X37" s="8"/>
      <c r="Y37" s="8">
        <v>480</v>
      </c>
      <c r="Z37" s="8"/>
      <c r="AA37" s="8" t="s">
        <v>39</v>
      </c>
      <c r="AB37" s="8">
        <v>31</v>
      </c>
      <c r="AC37" s="23" t="str">
        <f t="shared" si="6"/>
        <v>02/08/2020</v>
      </c>
      <c r="AD37" s="23" t="str">
        <f t="shared" si="7"/>
        <v>02/09/2020</v>
      </c>
      <c r="AE37" s="8">
        <v>0</v>
      </c>
      <c r="AF37" s="8">
        <v>0</v>
      </c>
      <c r="AG37" s="8"/>
    </row>
    <row r="38" spans="1:33" x14ac:dyDescent="0.2">
      <c r="A38" s="8">
        <v>2503</v>
      </c>
      <c r="B38" s="16">
        <v>44042</v>
      </c>
      <c r="C38" s="8">
        <v>30012636</v>
      </c>
      <c r="D38" s="8" t="s">
        <v>28</v>
      </c>
      <c r="E38" s="8" t="s">
        <v>98</v>
      </c>
      <c r="F38" s="8" t="s">
        <v>205</v>
      </c>
      <c r="G38" s="8">
        <v>15017926</v>
      </c>
      <c r="H38" s="8">
        <v>802093763</v>
      </c>
      <c r="I38" s="8" t="s">
        <v>31</v>
      </c>
      <c r="J38" s="8" t="s">
        <v>32</v>
      </c>
      <c r="K38" s="8" t="s">
        <v>752</v>
      </c>
      <c r="L38" s="8" t="s">
        <v>694</v>
      </c>
      <c r="M38" s="8" t="s">
        <v>1708</v>
      </c>
      <c r="N38" s="8" t="s">
        <v>1712</v>
      </c>
      <c r="O38" s="8">
        <v>495.041</v>
      </c>
      <c r="P38" s="8" t="s">
        <v>224</v>
      </c>
      <c r="Q38" s="8" t="s">
        <v>206</v>
      </c>
      <c r="R38" s="8" t="s">
        <v>35</v>
      </c>
      <c r="S38" s="8">
        <v>20</v>
      </c>
      <c r="T38" s="8" t="s">
        <v>87</v>
      </c>
      <c r="U38" s="8" t="s">
        <v>37</v>
      </c>
      <c r="V38" s="8" t="s">
        <v>88</v>
      </c>
      <c r="W38" s="8" t="s">
        <v>704</v>
      </c>
      <c r="X38" s="8"/>
      <c r="Y38" s="8">
        <v>480</v>
      </c>
      <c r="Z38" s="8"/>
      <c r="AA38" s="8" t="s">
        <v>39</v>
      </c>
      <c r="AB38" s="8">
        <v>31</v>
      </c>
      <c r="AC38" s="23" t="str">
        <f t="shared" si="6"/>
        <v>02/08/2020</v>
      </c>
      <c r="AD38" s="23" t="str">
        <f t="shared" si="7"/>
        <v>02/09/2020</v>
      </c>
      <c r="AE38" s="8">
        <v>0</v>
      </c>
      <c r="AF38" s="8">
        <v>0</v>
      </c>
      <c r="AG38" s="8"/>
    </row>
    <row r="39" spans="1:33" x14ac:dyDescent="0.2">
      <c r="A39" s="8">
        <v>2503</v>
      </c>
      <c r="B39" s="16">
        <v>44042</v>
      </c>
      <c r="C39" s="8">
        <v>30012636</v>
      </c>
      <c r="D39" s="8" t="s">
        <v>91</v>
      </c>
      <c r="E39" s="8" t="s">
        <v>745</v>
      </c>
      <c r="F39" s="8" t="s">
        <v>746</v>
      </c>
      <c r="G39" s="8">
        <v>15018202</v>
      </c>
      <c r="H39" s="8">
        <v>802094711</v>
      </c>
      <c r="I39" s="8" t="s">
        <v>747</v>
      </c>
      <c r="J39" s="8" t="s">
        <v>223</v>
      </c>
      <c r="K39" s="8" t="s">
        <v>752</v>
      </c>
      <c r="L39" s="8" t="s">
        <v>694</v>
      </c>
      <c r="M39" s="8" t="s">
        <v>1708</v>
      </c>
      <c r="N39" s="8" t="s">
        <v>1726</v>
      </c>
      <c r="O39" s="8">
        <v>429.04500000000002</v>
      </c>
      <c r="P39" s="8" t="s">
        <v>224</v>
      </c>
      <c r="Q39" s="8" t="s">
        <v>748</v>
      </c>
      <c r="R39" s="8" t="s">
        <v>749</v>
      </c>
      <c r="S39" s="8">
        <v>16</v>
      </c>
      <c r="T39" s="8" t="s">
        <v>87</v>
      </c>
      <c r="U39" s="8" t="s">
        <v>37</v>
      </c>
      <c r="V39" s="8" t="s">
        <v>88</v>
      </c>
      <c r="W39" s="8" t="s">
        <v>750</v>
      </c>
      <c r="X39" s="8"/>
      <c r="Y39" s="8">
        <v>416</v>
      </c>
      <c r="Z39" s="8"/>
      <c r="AA39" s="8" t="s">
        <v>39</v>
      </c>
      <c r="AB39" s="8">
        <v>31</v>
      </c>
      <c r="AC39" s="23" t="str">
        <f t="shared" si="6"/>
        <v>02/08/2020</v>
      </c>
      <c r="AD39" s="23" t="str">
        <f t="shared" si="7"/>
        <v>05/10/2020</v>
      </c>
      <c r="AE39" s="8">
        <v>0</v>
      </c>
      <c r="AF39" s="8">
        <v>0</v>
      </c>
      <c r="AG39" s="8"/>
    </row>
    <row r="40" spans="1:33" x14ac:dyDescent="0.2">
      <c r="A40" s="8">
        <v>2504</v>
      </c>
      <c r="B40" s="16">
        <v>44017</v>
      </c>
      <c r="C40" s="8">
        <v>30012658</v>
      </c>
      <c r="D40" s="8" t="s">
        <v>44</v>
      </c>
      <c r="E40" s="8" t="s">
        <v>45</v>
      </c>
      <c r="F40" s="8" t="s">
        <v>299</v>
      </c>
      <c r="G40" s="8">
        <v>15018094</v>
      </c>
      <c r="H40" s="8">
        <v>802094168</v>
      </c>
      <c r="I40" s="8" t="s">
        <v>567</v>
      </c>
      <c r="J40" s="8" t="s">
        <v>58</v>
      </c>
      <c r="K40" s="8" t="s">
        <v>245</v>
      </c>
      <c r="L40" s="8" t="s">
        <v>547</v>
      </c>
      <c r="M40" s="8" t="s">
        <v>1716</v>
      </c>
      <c r="N40" s="8" t="s">
        <v>1721</v>
      </c>
      <c r="O40" s="8">
        <v>102.004</v>
      </c>
      <c r="P40" s="8" t="s">
        <v>48</v>
      </c>
      <c r="Q40" s="8" t="s">
        <v>85</v>
      </c>
      <c r="R40" s="8" t="s">
        <v>301</v>
      </c>
      <c r="S40" s="8">
        <v>5</v>
      </c>
      <c r="T40" s="8" t="s">
        <v>42</v>
      </c>
      <c r="U40" s="8" t="s">
        <v>37</v>
      </c>
      <c r="V40" s="8" t="s">
        <v>155</v>
      </c>
      <c r="W40" s="8" t="s">
        <v>568</v>
      </c>
      <c r="X40" s="8"/>
      <c r="Y40" s="8">
        <v>50</v>
      </c>
      <c r="Z40" s="8" t="s">
        <v>53</v>
      </c>
      <c r="AA40" s="8" t="s">
        <v>39</v>
      </c>
      <c r="AB40" s="8">
        <v>31</v>
      </c>
      <c r="AC40" s="21" t="str">
        <f t="shared" ref="AC40:AC42" si="8">M40</f>
        <v>03/08/2020</v>
      </c>
      <c r="AD40" s="21" t="str">
        <f t="shared" ref="AD40:AD42" si="9">N40</f>
        <v>25/08/2020</v>
      </c>
      <c r="AE40" s="8"/>
      <c r="AF40" s="8"/>
      <c r="AG40" s="8"/>
    </row>
    <row r="41" spans="1:33" x14ac:dyDescent="0.2">
      <c r="A41" s="8">
        <v>2504</v>
      </c>
      <c r="B41" s="16">
        <v>44042</v>
      </c>
      <c r="C41" s="8">
        <v>30012702</v>
      </c>
      <c r="D41" s="8" t="s">
        <v>28</v>
      </c>
      <c r="E41" s="8" t="s">
        <v>29</v>
      </c>
      <c r="F41" s="8" t="s">
        <v>397</v>
      </c>
      <c r="G41" s="8">
        <v>15017938</v>
      </c>
      <c r="H41" s="8">
        <v>802093861</v>
      </c>
      <c r="I41" s="8" t="s">
        <v>77</v>
      </c>
      <c r="J41" s="8" t="s">
        <v>32</v>
      </c>
      <c r="K41" s="8" t="s">
        <v>260</v>
      </c>
      <c r="L41" s="8" t="s">
        <v>518</v>
      </c>
      <c r="M41" s="8" t="s">
        <v>1716</v>
      </c>
      <c r="N41" s="8" t="s">
        <v>1707</v>
      </c>
      <c r="O41" s="8">
        <v>498.19200000000001</v>
      </c>
      <c r="P41" s="8" t="s">
        <v>48</v>
      </c>
      <c r="Q41" s="8" t="s">
        <v>405</v>
      </c>
      <c r="R41" s="8" t="s">
        <v>406</v>
      </c>
      <c r="S41" s="8">
        <v>20</v>
      </c>
      <c r="T41" s="8" t="s">
        <v>36</v>
      </c>
      <c r="U41" s="8" t="s">
        <v>37</v>
      </c>
      <c r="V41" s="8" t="s">
        <v>1710</v>
      </c>
      <c r="W41" s="8" t="s">
        <v>657</v>
      </c>
      <c r="X41" s="8"/>
      <c r="Y41" s="8">
        <v>480</v>
      </c>
      <c r="Z41" s="8"/>
      <c r="AA41" s="8" t="s">
        <v>39</v>
      </c>
      <c r="AB41" s="8">
        <v>31</v>
      </c>
      <c r="AC41" s="21" t="str">
        <f t="shared" si="8"/>
        <v>03/08/2020</v>
      </c>
      <c r="AD41" s="21" t="str">
        <f t="shared" si="9"/>
        <v>16/08/2020</v>
      </c>
      <c r="AE41" s="8"/>
      <c r="AF41" s="8"/>
      <c r="AG41" s="8"/>
    </row>
    <row r="42" spans="1:33" x14ac:dyDescent="0.2">
      <c r="A42" s="8">
        <v>2504</v>
      </c>
      <c r="B42" s="16">
        <v>44042</v>
      </c>
      <c r="C42" s="8">
        <v>30012702</v>
      </c>
      <c r="D42" s="8" t="s">
        <v>28</v>
      </c>
      <c r="E42" s="8" t="s">
        <v>29</v>
      </c>
      <c r="F42" s="8" t="s">
        <v>397</v>
      </c>
      <c r="G42" s="8">
        <v>15017939</v>
      </c>
      <c r="H42" s="8">
        <v>802093862</v>
      </c>
      <c r="I42" s="8" t="s">
        <v>77</v>
      </c>
      <c r="J42" s="8" t="s">
        <v>32</v>
      </c>
      <c r="K42" s="8" t="s">
        <v>260</v>
      </c>
      <c r="L42" s="8" t="s">
        <v>518</v>
      </c>
      <c r="M42" s="8" t="s">
        <v>1716</v>
      </c>
      <c r="N42" s="8" t="s">
        <v>1707</v>
      </c>
      <c r="O42" s="8">
        <v>497.62299999999999</v>
      </c>
      <c r="P42" s="8" t="s">
        <v>48</v>
      </c>
      <c r="Q42" s="8" t="s">
        <v>405</v>
      </c>
      <c r="R42" s="8" t="s">
        <v>406</v>
      </c>
      <c r="S42" s="8">
        <v>20</v>
      </c>
      <c r="T42" s="8" t="s">
        <v>36</v>
      </c>
      <c r="U42" s="8" t="s">
        <v>37</v>
      </c>
      <c r="V42" s="8" t="s">
        <v>1710</v>
      </c>
      <c r="W42" s="8" t="s">
        <v>660</v>
      </c>
      <c r="X42" s="8"/>
      <c r="Y42" s="8">
        <v>480</v>
      </c>
      <c r="Z42" s="8"/>
      <c r="AA42" s="8" t="s">
        <v>39</v>
      </c>
      <c r="AB42" s="8">
        <v>31</v>
      </c>
      <c r="AC42" s="21" t="str">
        <f t="shared" si="8"/>
        <v>03/08/2020</v>
      </c>
      <c r="AD42" s="21" t="str">
        <f t="shared" si="9"/>
        <v>16/08/2020</v>
      </c>
      <c r="AE42" s="8"/>
      <c r="AF42" s="8"/>
      <c r="AG42" s="8"/>
    </row>
    <row r="43" spans="1:33" x14ac:dyDescent="0.2">
      <c r="A43" s="8">
        <v>2504</v>
      </c>
      <c r="B43" s="16">
        <v>44017</v>
      </c>
      <c r="C43" s="8">
        <v>30012733</v>
      </c>
      <c r="D43" s="8" t="s">
        <v>44</v>
      </c>
      <c r="E43" s="8" t="s">
        <v>45</v>
      </c>
      <c r="F43" s="8" t="s">
        <v>46</v>
      </c>
      <c r="G43" s="8">
        <v>15018097</v>
      </c>
      <c r="H43" s="8">
        <v>802094171</v>
      </c>
      <c r="I43" s="8" t="s">
        <v>708</v>
      </c>
      <c r="J43" s="8" t="s">
        <v>47</v>
      </c>
      <c r="K43" s="8" t="s">
        <v>257</v>
      </c>
      <c r="L43" s="8" t="s">
        <v>622</v>
      </c>
      <c r="M43" s="8" t="s">
        <v>1703</v>
      </c>
      <c r="N43" s="8" t="s">
        <v>1711</v>
      </c>
      <c r="O43" s="8">
        <v>30.38</v>
      </c>
      <c r="P43" s="8" t="s">
        <v>48</v>
      </c>
      <c r="Q43" s="8" t="s">
        <v>49</v>
      </c>
      <c r="R43" s="8" t="s">
        <v>50</v>
      </c>
      <c r="S43" s="8">
        <v>3</v>
      </c>
      <c r="T43" s="8" t="s">
        <v>51</v>
      </c>
      <c r="U43" s="8" t="s">
        <v>37</v>
      </c>
      <c r="V43" s="8" t="s">
        <v>1699</v>
      </c>
      <c r="W43" s="8" t="s">
        <v>709</v>
      </c>
      <c r="X43" s="8"/>
      <c r="Y43" s="8">
        <v>3</v>
      </c>
      <c r="Z43" s="8" t="s">
        <v>53</v>
      </c>
      <c r="AA43" s="8" t="s">
        <v>39</v>
      </c>
      <c r="AB43" s="8">
        <v>31</v>
      </c>
      <c r="AC43" s="21">
        <v>44048</v>
      </c>
      <c r="AD43" s="21">
        <v>44074</v>
      </c>
      <c r="AE43" s="8">
        <v>1</v>
      </c>
      <c r="AF43" s="8">
        <v>1</v>
      </c>
      <c r="AG43" s="22" t="s">
        <v>1778</v>
      </c>
    </row>
    <row r="44" spans="1:33" x14ac:dyDescent="0.2">
      <c r="A44" s="8">
        <v>2501</v>
      </c>
      <c r="B44" s="16">
        <v>44048</v>
      </c>
      <c r="C44" s="8">
        <v>30012768</v>
      </c>
      <c r="D44" s="8" t="s">
        <v>170</v>
      </c>
      <c r="E44" s="8" t="s">
        <v>171</v>
      </c>
      <c r="F44" s="8" t="s">
        <v>172</v>
      </c>
      <c r="G44" s="8">
        <v>15018180</v>
      </c>
      <c r="H44" s="8">
        <v>802094824</v>
      </c>
      <c r="I44" s="8" t="s">
        <v>176</v>
      </c>
      <c r="J44" s="8" t="s">
        <v>58</v>
      </c>
      <c r="K44" s="8" t="s">
        <v>784</v>
      </c>
      <c r="L44" s="8" t="s">
        <v>785</v>
      </c>
      <c r="M44" s="8" t="s">
        <v>1716</v>
      </c>
      <c r="N44" s="8" t="s">
        <v>1728</v>
      </c>
      <c r="O44" s="8">
        <v>135.16</v>
      </c>
      <c r="P44" s="8" t="s">
        <v>33</v>
      </c>
      <c r="Q44" s="8" t="s">
        <v>173</v>
      </c>
      <c r="R44" s="8" t="s">
        <v>174</v>
      </c>
      <c r="S44" s="8">
        <v>6</v>
      </c>
      <c r="T44" s="8" t="s">
        <v>61</v>
      </c>
      <c r="U44" s="8" t="s">
        <v>37</v>
      </c>
      <c r="V44" s="8" t="s">
        <v>65</v>
      </c>
      <c r="W44" s="8" t="s">
        <v>786</v>
      </c>
      <c r="X44" s="8"/>
      <c r="Y44" s="8">
        <v>42</v>
      </c>
      <c r="Z44" s="8"/>
      <c r="AA44" s="8" t="s">
        <v>175</v>
      </c>
      <c r="AB44" s="8">
        <v>31</v>
      </c>
      <c r="AC44" s="23">
        <v>44047</v>
      </c>
      <c r="AD44" s="23" t="str">
        <f>N44</f>
        <v>09/08/2020</v>
      </c>
      <c r="AE44" s="19">
        <v>1</v>
      </c>
      <c r="AF44" s="8"/>
      <c r="AG44" s="8" t="s">
        <v>1777</v>
      </c>
    </row>
    <row r="45" spans="1:33" x14ac:dyDescent="0.2">
      <c r="A45" s="8">
        <v>2501</v>
      </c>
      <c r="B45" s="16">
        <v>44073</v>
      </c>
      <c r="C45" s="8">
        <v>30012778</v>
      </c>
      <c r="D45" s="8" t="s">
        <v>28</v>
      </c>
      <c r="E45" s="8" t="s">
        <v>129</v>
      </c>
      <c r="F45" s="8" t="s">
        <v>363</v>
      </c>
      <c r="G45" s="8">
        <v>15018329</v>
      </c>
      <c r="H45" s="8">
        <v>802094894</v>
      </c>
      <c r="I45" s="8" t="s">
        <v>357</v>
      </c>
      <c r="J45" s="8" t="s">
        <v>58</v>
      </c>
      <c r="K45" s="8" t="s">
        <v>790</v>
      </c>
      <c r="L45" s="8" t="s">
        <v>791</v>
      </c>
      <c r="M45" s="8" t="s">
        <v>1716</v>
      </c>
      <c r="N45" s="8" t="s">
        <v>1723</v>
      </c>
      <c r="O45" s="8">
        <v>257.58600000000001</v>
      </c>
      <c r="P45" s="8" t="s">
        <v>33</v>
      </c>
      <c r="Q45" s="8" t="s">
        <v>263</v>
      </c>
      <c r="R45" s="8" t="s">
        <v>360</v>
      </c>
      <c r="S45" s="8">
        <v>10</v>
      </c>
      <c r="T45" s="8" t="s">
        <v>72</v>
      </c>
      <c r="U45" s="8" t="s">
        <v>37</v>
      </c>
      <c r="V45" s="8" t="s">
        <v>88</v>
      </c>
      <c r="W45" s="8" t="s">
        <v>792</v>
      </c>
      <c r="X45" s="8"/>
      <c r="Y45" s="8">
        <v>110</v>
      </c>
      <c r="Z45" s="8" t="s">
        <v>596</v>
      </c>
      <c r="AA45" s="8" t="s">
        <v>39</v>
      </c>
      <c r="AB45" s="8">
        <v>31</v>
      </c>
      <c r="AC45" s="23">
        <v>44046</v>
      </c>
      <c r="AD45" s="23" t="str">
        <f>N45</f>
        <v>03/09/2020</v>
      </c>
      <c r="AE45" s="8">
        <v>0</v>
      </c>
      <c r="AF45" s="8"/>
      <c r="AG45" s="8"/>
    </row>
    <row r="46" spans="1:33" x14ac:dyDescent="0.2">
      <c r="A46" s="8">
        <v>2504</v>
      </c>
      <c r="B46" s="16">
        <v>44017</v>
      </c>
      <c r="C46" s="8">
        <v>30012733</v>
      </c>
      <c r="D46" s="8" t="s">
        <v>44</v>
      </c>
      <c r="E46" s="8" t="s">
        <v>45</v>
      </c>
      <c r="F46" s="8" t="s">
        <v>46</v>
      </c>
      <c r="G46" s="8">
        <v>15018098</v>
      </c>
      <c r="H46" s="8">
        <v>802094172</v>
      </c>
      <c r="I46" s="8" t="s">
        <v>712</v>
      </c>
      <c r="J46" s="8" t="s">
        <v>47</v>
      </c>
      <c r="K46" s="8" t="s">
        <v>257</v>
      </c>
      <c r="L46" s="8" t="s">
        <v>622</v>
      </c>
      <c r="M46" s="8" t="s">
        <v>1703</v>
      </c>
      <c r="N46" s="8" t="s">
        <v>1711</v>
      </c>
      <c r="O46" s="8">
        <v>30.36</v>
      </c>
      <c r="P46" s="8" t="s">
        <v>48</v>
      </c>
      <c r="Q46" s="8" t="s">
        <v>49</v>
      </c>
      <c r="R46" s="8" t="s">
        <v>50</v>
      </c>
      <c r="S46" s="8">
        <v>3</v>
      </c>
      <c r="T46" s="8" t="s">
        <v>51</v>
      </c>
      <c r="U46" s="8" t="s">
        <v>37</v>
      </c>
      <c r="V46" s="8" t="s">
        <v>1699</v>
      </c>
      <c r="W46" s="8" t="s">
        <v>709</v>
      </c>
      <c r="X46" s="8"/>
      <c r="Y46" s="8">
        <v>3</v>
      </c>
      <c r="Z46" s="8" t="s">
        <v>53</v>
      </c>
      <c r="AA46" s="8" t="s">
        <v>39</v>
      </c>
      <c r="AB46" s="8">
        <v>31</v>
      </c>
      <c r="AC46" s="21">
        <v>44048</v>
      </c>
      <c r="AD46" s="21">
        <v>44074</v>
      </c>
      <c r="AE46" s="8">
        <v>1</v>
      </c>
      <c r="AF46" s="8">
        <v>1</v>
      </c>
      <c r="AG46" s="22" t="s">
        <v>1778</v>
      </c>
    </row>
    <row r="47" spans="1:33" x14ac:dyDescent="0.2">
      <c r="A47" s="8">
        <v>2504</v>
      </c>
      <c r="B47" s="16">
        <v>44055</v>
      </c>
      <c r="C47" s="8">
        <v>30012812</v>
      </c>
      <c r="D47" s="8" t="s">
        <v>62</v>
      </c>
      <c r="E47" s="8" t="s">
        <v>167</v>
      </c>
      <c r="F47" s="8" t="s">
        <v>168</v>
      </c>
      <c r="G47" s="8">
        <v>15018190</v>
      </c>
      <c r="H47" s="8">
        <v>802094728</v>
      </c>
      <c r="I47" s="8" t="s">
        <v>77</v>
      </c>
      <c r="J47" s="8" t="s">
        <v>32</v>
      </c>
      <c r="K47" s="8" t="s">
        <v>796</v>
      </c>
      <c r="L47" s="8" t="s">
        <v>797</v>
      </c>
      <c r="M47" s="8" t="s">
        <v>1703</v>
      </c>
      <c r="N47" s="8" t="s">
        <v>1712</v>
      </c>
      <c r="O47" s="8">
        <v>199.375</v>
      </c>
      <c r="P47" s="8" t="s">
        <v>48</v>
      </c>
      <c r="Q47" s="8" t="s">
        <v>498</v>
      </c>
      <c r="R47" s="8" t="s">
        <v>169</v>
      </c>
      <c r="S47" s="8">
        <v>8</v>
      </c>
      <c r="T47" s="8" t="s">
        <v>36</v>
      </c>
      <c r="U47" s="8" t="s">
        <v>37</v>
      </c>
      <c r="V47" s="8" t="s">
        <v>1706</v>
      </c>
      <c r="W47" s="8" t="s">
        <v>798</v>
      </c>
      <c r="X47" s="8"/>
      <c r="Y47" s="8">
        <v>192</v>
      </c>
      <c r="Z47" s="8" t="s">
        <v>799</v>
      </c>
      <c r="AA47" s="8" t="s">
        <v>39</v>
      </c>
      <c r="AB47" s="8">
        <v>31</v>
      </c>
      <c r="AC47" s="21" t="str">
        <f t="shared" ref="AC47:AC50" si="10">M47</f>
        <v>04/08/2020</v>
      </c>
      <c r="AD47" s="21" t="str">
        <f t="shared" ref="AD47:AD50" si="11">N47</f>
        <v>02/09/2020</v>
      </c>
      <c r="AE47" s="8"/>
      <c r="AF47" s="8"/>
      <c r="AG47" s="8"/>
    </row>
    <row r="48" spans="1:33" x14ac:dyDescent="0.2">
      <c r="A48" s="8">
        <v>2504</v>
      </c>
      <c r="B48" s="16">
        <v>44073</v>
      </c>
      <c r="C48" s="8">
        <v>30012812</v>
      </c>
      <c r="D48" s="8" t="s">
        <v>91</v>
      </c>
      <c r="E48" s="8" t="s">
        <v>164</v>
      </c>
      <c r="F48" s="8" t="s">
        <v>165</v>
      </c>
      <c r="G48" s="8">
        <v>15018193</v>
      </c>
      <c r="H48" s="8">
        <v>802094731</v>
      </c>
      <c r="I48" s="8" t="s">
        <v>77</v>
      </c>
      <c r="J48" s="8" t="s">
        <v>32</v>
      </c>
      <c r="K48" s="8" t="s">
        <v>796</v>
      </c>
      <c r="L48" s="8" t="s">
        <v>797</v>
      </c>
      <c r="M48" s="8" t="s">
        <v>1703</v>
      </c>
      <c r="N48" s="8" t="s">
        <v>1712</v>
      </c>
      <c r="O48" s="8">
        <v>311.67500000000001</v>
      </c>
      <c r="P48" s="8" t="s">
        <v>48</v>
      </c>
      <c r="Q48" s="8" t="s">
        <v>498</v>
      </c>
      <c r="R48" s="8" t="s">
        <v>169</v>
      </c>
      <c r="S48" s="8">
        <v>15</v>
      </c>
      <c r="T48" s="8" t="s">
        <v>42</v>
      </c>
      <c r="U48" s="8" t="s">
        <v>37</v>
      </c>
      <c r="V48" s="8" t="s">
        <v>1706</v>
      </c>
      <c r="W48" s="8" t="s">
        <v>802</v>
      </c>
      <c r="X48" s="8"/>
      <c r="Y48" s="8">
        <v>300</v>
      </c>
      <c r="Z48" s="8" t="s">
        <v>594</v>
      </c>
      <c r="AA48" s="8" t="s">
        <v>39</v>
      </c>
      <c r="AB48" s="8">
        <v>31</v>
      </c>
      <c r="AC48" s="21" t="str">
        <f t="shared" si="10"/>
        <v>04/08/2020</v>
      </c>
      <c r="AD48" s="21" t="str">
        <f t="shared" si="11"/>
        <v>02/09/2020</v>
      </c>
      <c r="AE48" s="8"/>
      <c r="AF48" s="8"/>
      <c r="AG48" s="8"/>
    </row>
    <row r="49" spans="1:33" x14ac:dyDescent="0.2">
      <c r="A49" s="8">
        <v>2504</v>
      </c>
      <c r="B49" s="16">
        <v>44042</v>
      </c>
      <c r="C49" s="8">
        <v>30012699</v>
      </c>
      <c r="D49" s="8" t="s">
        <v>28</v>
      </c>
      <c r="E49" s="8" t="s">
        <v>29</v>
      </c>
      <c r="F49" s="8" t="s">
        <v>397</v>
      </c>
      <c r="G49" s="8">
        <v>15017957</v>
      </c>
      <c r="H49" s="8">
        <v>802093871</v>
      </c>
      <c r="I49" s="8" t="s">
        <v>77</v>
      </c>
      <c r="J49" s="8" t="s">
        <v>32</v>
      </c>
      <c r="K49" s="8" t="s">
        <v>240</v>
      </c>
      <c r="L49" s="8" t="s">
        <v>586</v>
      </c>
      <c r="M49" s="8" t="s">
        <v>1700</v>
      </c>
      <c r="N49" s="8" t="s">
        <v>1729</v>
      </c>
      <c r="O49" s="8">
        <v>499.36500000000001</v>
      </c>
      <c r="P49" s="8" t="s">
        <v>48</v>
      </c>
      <c r="Q49" s="8" t="s">
        <v>405</v>
      </c>
      <c r="R49" s="8" t="s">
        <v>406</v>
      </c>
      <c r="S49" s="8">
        <v>20</v>
      </c>
      <c r="T49" s="8" t="s">
        <v>36</v>
      </c>
      <c r="U49" s="8" t="s">
        <v>37</v>
      </c>
      <c r="V49" s="8" t="s">
        <v>1702</v>
      </c>
      <c r="W49" s="8" t="s">
        <v>587</v>
      </c>
      <c r="X49" s="8"/>
      <c r="Y49" s="8">
        <v>480</v>
      </c>
      <c r="Z49" s="8"/>
      <c r="AA49" s="8" t="s">
        <v>39</v>
      </c>
      <c r="AB49" s="8">
        <v>31</v>
      </c>
      <c r="AC49" s="21" t="str">
        <f t="shared" si="10"/>
        <v>05/08/2020</v>
      </c>
      <c r="AD49" s="21" t="str">
        <f t="shared" si="11"/>
        <v>04/09/2020</v>
      </c>
      <c r="AE49" s="8"/>
      <c r="AF49" s="8"/>
      <c r="AG49" s="8"/>
    </row>
    <row r="50" spans="1:33" x14ac:dyDescent="0.2">
      <c r="A50" s="8">
        <v>2504</v>
      </c>
      <c r="B50" s="16">
        <v>44042</v>
      </c>
      <c r="C50" s="8">
        <v>30012699</v>
      </c>
      <c r="D50" s="8" t="s">
        <v>28</v>
      </c>
      <c r="E50" s="8" t="s">
        <v>29</v>
      </c>
      <c r="F50" s="8" t="s">
        <v>397</v>
      </c>
      <c r="G50" s="8">
        <v>15017958</v>
      </c>
      <c r="H50" s="8">
        <v>802093872</v>
      </c>
      <c r="I50" s="8" t="s">
        <v>77</v>
      </c>
      <c r="J50" s="8" t="s">
        <v>32</v>
      </c>
      <c r="K50" s="8" t="s">
        <v>240</v>
      </c>
      <c r="L50" s="8" t="s">
        <v>586</v>
      </c>
      <c r="M50" s="8" t="s">
        <v>1700</v>
      </c>
      <c r="N50" s="8" t="s">
        <v>1729</v>
      </c>
      <c r="O50" s="8">
        <v>497.935</v>
      </c>
      <c r="P50" s="8" t="s">
        <v>48</v>
      </c>
      <c r="Q50" s="8" t="s">
        <v>405</v>
      </c>
      <c r="R50" s="8" t="s">
        <v>406</v>
      </c>
      <c r="S50" s="8">
        <v>20</v>
      </c>
      <c r="T50" s="8" t="s">
        <v>36</v>
      </c>
      <c r="U50" s="8" t="s">
        <v>37</v>
      </c>
      <c r="V50" s="8" t="s">
        <v>1702</v>
      </c>
      <c r="W50" s="8" t="s">
        <v>590</v>
      </c>
      <c r="X50" s="8"/>
      <c r="Y50" s="8">
        <v>480</v>
      </c>
      <c r="Z50" s="8"/>
      <c r="AA50" s="8" t="s">
        <v>39</v>
      </c>
      <c r="AB50" s="8">
        <v>31</v>
      </c>
      <c r="AC50" s="21" t="str">
        <f t="shared" si="10"/>
        <v>05/08/2020</v>
      </c>
      <c r="AD50" s="21" t="str">
        <f t="shared" si="11"/>
        <v>04/09/2020</v>
      </c>
      <c r="AE50" s="8"/>
      <c r="AF50" s="8"/>
      <c r="AG50" s="8"/>
    </row>
    <row r="51" spans="1:33" x14ac:dyDescent="0.2">
      <c r="A51" s="8">
        <v>2504</v>
      </c>
      <c r="B51" s="16">
        <v>44042</v>
      </c>
      <c r="C51" s="8">
        <v>30012752</v>
      </c>
      <c r="D51" s="8" t="s">
        <v>91</v>
      </c>
      <c r="E51" s="8" t="s">
        <v>728</v>
      </c>
      <c r="F51" s="8" t="s">
        <v>729</v>
      </c>
      <c r="G51" s="8">
        <v>15018156</v>
      </c>
      <c r="H51" s="8">
        <v>802094236</v>
      </c>
      <c r="I51" s="8" t="s">
        <v>730</v>
      </c>
      <c r="J51" s="8" t="s">
        <v>58</v>
      </c>
      <c r="K51" s="8" t="s">
        <v>739</v>
      </c>
      <c r="L51" s="8" t="s">
        <v>740</v>
      </c>
      <c r="M51" s="8" t="s">
        <v>1700</v>
      </c>
      <c r="N51" s="8" t="s">
        <v>1730</v>
      </c>
      <c r="O51" s="8">
        <v>103.37</v>
      </c>
      <c r="P51" s="8" t="s">
        <v>48</v>
      </c>
      <c r="Q51" s="8" t="s">
        <v>731</v>
      </c>
      <c r="R51" s="8" t="s">
        <v>732</v>
      </c>
      <c r="S51" s="8">
        <v>4</v>
      </c>
      <c r="T51" s="8" t="s">
        <v>72</v>
      </c>
      <c r="U51" s="8" t="s">
        <v>37</v>
      </c>
      <c r="V51" s="8" t="s">
        <v>65</v>
      </c>
      <c r="W51" s="8" t="s">
        <v>735</v>
      </c>
      <c r="X51" s="8"/>
      <c r="Y51" s="8">
        <v>44</v>
      </c>
      <c r="Z51" s="8" t="s">
        <v>53</v>
      </c>
      <c r="AA51" s="8" t="s">
        <v>733</v>
      </c>
      <c r="AB51" s="8">
        <v>31</v>
      </c>
      <c r="AC51" s="21">
        <v>44049</v>
      </c>
      <c r="AD51" s="21">
        <v>44056</v>
      </c>
      <c r="AE51" s="8">
        <v>1</v>
      </c>
      <c r="AF51" s="8"/>
      <c r="AG51" s="22" t="s">
        <v>1778</v>
      </c>
    </row>
    <row r="52" spans="1:33" x14ac:dyDescent="0.2">
      <c r="A52" s="8">
        <v>2504</v>
      </c>
      <c r="B52" s="16">
        <v>44042</v>
      </c>
      <c r="C52" s="8">
        <v>30012752</v>
      </c>
      <c r="D52" s="8" t="s">
        <v>91</v>
      </c>
      <c r="E52" s="8" t="s">
        <v>728</v>
      </c>
      <c r="F52" s="8" t="s">
        <v>729</v>
      </c>
      <c r="G52" s="8">
        <v>15018157</v>
      </c>
      <c r="H52" s="8">
        <v>802094237</v>
      </c>
      <c r="I52" s="8" t="s">
        <v>730</v>
      </c>
      <c r="J52" s="8" t="s">
        <v>58</v>
      </c>
      <c r="K52" s="8" t="s">
        <v>739</v>
      </c>
      <c r="L52" s="8" t="s">
        <v>740</v>
      </c>
      <c r="M52" s="8" t="s">
        <v>1700</v>
      </c>
      <c r="N52" s="8" t="s">
        <v>1730</v>
      </c>
      <c r="O52" s="8">
        <v>103.45</v>
      </c>
      <c r="P52" s="8" t="s">
        <v>48</v>
      </c>
      <c r="Q52" s="8" t="s">
        <v>731</v>
      </c>
      <c r="R52" s="8" t="s">
        <v>732</v>
      </c>
      <c r="S52" s="8">
        <v>4</v>
      </c>
      <c r="T52" s="8" t="s">
        <v>72</v>
      </c>
      <c r="U52" s="8" t="s">
        <v>37</v>
      </c>
      <c r="V52" s="8" t="s">
        <v>65</v>
      </c>
      <c r="W52" s="8" t="s">
        <v>736</v>
      </c>
      <c r="X52" s="8"/>
      <c r="Y52" s="8">
        <v>44</v>
      </c>
      <c r="Z52" s="8" t="s">
        <v>53</v>
      </c>
      <c r="AA52" s="8" t="s">
        <v>733</v>
      </c>
      <c r="AB52" s="8">
        <v>31</v>
      </c>
      <c r="AC52" s="21">
        <v>44049</v>
      </c>
      <c r="AD52" s="21">
        <v>44056</v>
      </c>
      <c r="AE52" s="8">
        <v>1</v>
      </c>
      <c r="AF52" s="8"/>
      <c r="AG52" s="22" t="s">
        <v>1778</v>
      </c>
    </row>
    <row r="53" spans="1:33" x14ac:dyDescent="0.2">
      <c r="A53" s="8">
        <v>2504</v>
      </c>
      <c r="B53" s="16">
        <v>44042</v>
      </c>
      <c r="C53" s="8">
        <v>30012752</v>
      </c>
      <c r="D53" s="8" t="s">
        <v>91</v>
      </c>
      <c r="E53" s="8" t="s">
        <v>728</v>
      </c>
      <c r="F53" s="8" t="s">
        <v>729</v>
      </c>
      <c r="G53" s="8">
        <v>15018158</v>
      </c>
      <c r="H53" s="8">
        <v>802094238</v>
      </c>
      <c r="I53" s="8" t="s">
        <v>730</v>
      </c>
      <c r="J53" s="8" t="s">
        <v>58</v>
      </c>
      <c r="K53" s="8" t="s">
        <v>739</v>
      </c>
      <c r="L53" s="8" t="s">
        <v>740</v>
      </c>
      <c r="M53" s="8" t="s">
        <v>1700</v>
      </c>
      <c r="N53" s="8" t="s">
        <v>1730</v>
      </c>
      <c r="O53" s="8">
        <v>103.402</v>
      </c>
      <c r="P53" s="8" t="s">
        <v>48</v>
      </c>
      <c r="Q53" s="8" t="s">
        <v>731</v>
      </c>
      <c r="R53" s="8" t="s">
        <v>732</v>
      </c>
      <c r="S53" s="8">
        <v>4</v>
      </c>
      <c r="T53" s="8" t="s">
        <v>72</v>
      </c>
      <c r="U53" s="8" t="s">
        <v>37</v>
      </c>
      <c r="V53" s="8" t="s">
        <v>65</v>
      </c>
      <c r="W53" s="8" t="s">
        <v>737</v>
      </c>
      <c r="X53" s="8"/>
      <c r="Y53" s="8">
        <v>44</v>
      </c>
      <c r="Z53" s="8" t="s">
        <v>53</v>
      </c>
      <c r="AA53" s="8" t="s">
        <v>733</v>
      </c>
      <c r="AB53" s="8">
        <v>31</v>
      </c>
      <c r="AC53" s="21">
        <v>44049</v>
      </c>
      <c r="AD53" s="21">
        <v>44056</v>
      </c>
      <c r="AE53" s="8">
        <v>1</v>
      </c>
      <c r="AF53" s="8"/>
      <c r="AG53" s="22" t="s">
        <v>1778</v>
      </c>
    </row>
    <row r="54" spans="1:33" x14ac:dyDescent="0.2">
      <c r="A54" s="8">
        <v>2504</v>
      </c>
      <c r="B54" s="16">
        <v>44042</v>
      </c>
      <c r="C54" s="8">
        <v>30012752</v>
      </c>
      <c r="D54" s="8" t="s">
        <v>91</v>
      </c>
      <c r="E54" s="8" t="s">
        <v>728</v>
      </c>
      <c r="F54" s="8" t="s">
        <v>729</v>
      </c>
      <c r="G54" s="8">
        <v>15018159</v>
      </c>
      <c r="H54" s="8">
        <v>802094239</v>
      </c>
      <c r="I54" s="8" t="s">
        <v>730</v>
      </c>
      <c r="J54" s="8" t="s">
        <v>58</v>
      </c>
      <c r="K54" s="8" t="s">
        <v>739</v>
      </c>
      <c r="L54" s="8" t="s">
        <v>740</v>
      </c>
      <c r="M54" s="8" t="s">
        <v>1700</v>
      </c>
      <c r="N54" s="8" t="s">
        <v>1730</v>
      </c>
      <c r="O54" s="8">
        <v>103.44199999999999</v>
      </c>
      <c r="P54" s="8" t="s">
        <v>48</v>
      </c>
      <c r="Q54" s="8" t="s">
        <v>731</v>
      </c>
      <c r="R54" s="8" t="s">
        <v>732</v>
      </c>
      <c r="S54" s="8">
        <v>4</v>
      </c>
      <c r="T54" s="8" t="s">
        <v>72</v>
      </c>
      <c r="U54" s="8" t="s">
        <v>37</v>
      </c>
      <c r="V54" s="8" t="s">
        <v>65</v>
      </c>
      <c r="W54" s="8" t="s">
        <v>738</v>
      </c>
      <c r="X54" s="8"/>
      <c r="Y54" s="8">
        <v>44</v>
      </c>
      <c r="Z54" s="8" t="s">
        <v>53</v>
      </c>
      <c r="AA54" s="8" t="s">
        <v>733</v>
      </c>
      <c r="AB54" s="8">
        <v>31</v>
      </c>
      <c r="AC54" s="21">
        <v>44049</v>
      </c>
      <c r="AD54" s="21">
        <v>44056</v>
      </c>
      <c r="AE54" s="8">
        <v>1</v>
      </c>
      <c r="AF54" s="8"/>
      <c r="AG54" s="22" t="s">
        <v>1778</v>
      </c>
    </row>
    <row r="55" spans="1:33" x14ac:dyDescent="0.2">
      <c r="A55" s="8">
        <v>2504</v>
      </c>
      <c r="B55" s="16">
        <v>44042</v>
      </c>
      <c r="C55" s="8">
        <v>30012752</v>
      </c>
      <c r="D55" s="8" t="s">
        <v>91</v>
      </c>
      <c r="E55" s="8" t="s">
        <v>728</v>
      </c>
      <c r="F55" s="8" t="s">
        <v>729</v>
      </c>
      <c r="G55" s="8">
        <v>15018160</v>
      </c>
      <c r="H55" s="8">
        <v>802094240</v>
      </c>
      <c r="I55" s="8" t="s">
        <v>730</v>
      </c>
      <c r="J55" s="8" t="s">
        <v>58</v>
      </c>
      <c r="K55" s="8" t="s">
        <v>739</v>
      </c>
      <c r="L55" s="8" t="s">
        <v>740</v>
      </c>
      <c r="M55" s="8" t="s">
        <v>1700</v>
      </c>
      <c r="N55" s="8" t="s">
        <v>1730</v>
      </c>
      <c r="O55" s="8">
        <v>103.44199999999999</v>
      </c>
      <c r="P55" s="8" t="s">
        <v>48</v>
      </c>
      <c r="Q55" s="8" t="s">
        <v>731</v>
      </c>
      <c r="R55" s="8" t="s">
        <v>732</v>
      </c>
      <c r="S55" s="8">
        <v>4</v>
      </c>
      <c r="T55" s="8" t="s">
        <v>72</v>
      </c>
      <c r="U55" s="8" t="s">
        <v>37</v>
      </c>
      <c r="V55" s="8" t="s">
        <v>65</v>
      </c>
      <c r="W55" s="8" t="s">
        <v>741</v>
      </c>
      <c r="X55" s="8"/>
      <c r="Y55" s="8">
        <v>44</v>
      </c>
      <c r="Z55" s="8" t="s">
        <v>53</v>
      </c>
      <c r="AA55" s="8" t="s">
        <v>733</v>
      </c>
      <c r="AB55" s="8">
        <v>31</v>
      </c>
      <c r="AC55" s="21">
        <v>44049</v>
      </c>
      <c r="AD55" s="21">
        <v>44056</v>
      </c>
      <c r="AE55" s="8">
        <v>1</v>
      </c>
      <c r="AF55" s="8"/>
      <c r="AG55" s="22" t="s">
        <v>1778</v>
      </c>
    </row>
    <row r="56" spans="1:33" x14ac:dyDescent="0.2">
      <c r="A56" s="8">
        <v>2502</v>
      </c>
      <c r="B56" s="16">
        <v>44073</v>
      </c>
      <c r="C56" s="8">
        <v>30012803</v>
      </c>
      <c r="D56" s="8" t="s">
        <v>28</v>
      </c>
      <c r="E56" s="8" t="s">
        <v>98</v>
      </c>
      <c r="F56" s="8" t="s">
        <v>205</v>
      </c>
      <c r="G56" s="8">
        <v>15018322</v>
      </c>
      <c r="H56" s="8">
        <v>802094880</v>
      </c>
      <c r="I56" s="8" t="s">
        <v>99</v>
      </c>
      <c r="J56" s="8" t="s">
        <v>32</v>
      </c>
      <c r="K56" s="8" t="s">
        <v>759</v>
      </c>
      <c r="L56" s="8" t="s">
        <v>760</v>
      </c>
      <c r="M56" s="8" t="s">
        <v>1728</v>
      </c>
      <c r="N56" s="8" t="s">
        <v>1715</v>
      </c>
      <c r="O56" s="8">
        <v>503.75299999999999</v>
      </c>
      <c r="P56" s="8" t="s">
        <v>492</v>
      </c>
      <c r="Q56" s="8" t="s">
        <v>34</v>
      </c>
      <c r="R56" s="8" t="s">
        <v>35</v>
      </c>
      <c r="S56" s="8">
        <v>22</v>
      </c>
      <c r="T56" s="8" t="s">
        <v>87</v>
      </c>
      <c r="U56" s="8" t="s">
        <v>37</v>
      </c>
      <c r="V56" s="8" t="s">
        <v>493</v>
      </c>
      <c r="W56" s="8" t="s">
        <v>819</v>
      </c>
      <c r="X56" s="8"/>
      <c r="Y56" s="8">
        <v>528</v>
      </c>
      <c r="Z56" s="8"/>
      <c r="AA56" s="8" t="s">
        <v>39</v>
      </c>
      <c r="AB56" s="8">
        <v>31</v>
      </c>
      <c r="AC56" s="23">
        <v>44054</v>
      </c>
      <c r="AD56" s="23" t="str">
        <f>N56</f>
        <v>28/08/2020</v>
      </c>
      <c r="AE56" s="8">
        <v>3</v>
      </c>
      <c r="AF56" s="8">
        <v>0</v>
      </c>
      <c r="AG56" s="8" t="s">
        <v>1780</v>
      </c>
    </row>
    <row r="57" spans="1:33" x14ac:dyDescent="0.2">
      <c r="A57" s="8">
        <v>2502</v>
      </c>
      <c r="B57" s="16">
        <v>44053</v>
      </c>
      <c r="C57" s="8">
        <v>30012803</v>
      </c>
      <c r="D57" s="8" t="s">
        <v>102</v>
      </c>
      <c r="E57" s="8" t="s">
        <v>191</v>
      </c>
      <c r="F57" s="8" t="s">
        <v>192</v>
      </c>
      <c r="G57" s="8">
        <v>15018356</v>
      </c>
      <c r="H57" s="8">
        <v>802094916</v>
      </c>
      <c r="I57" s="8" t="s">
        <v>382</v>
      </c>
      <c r="J57" s="8" t="s">
        <v>83</v>
      </c>
      <c r="K57" s="8" t="s">
        <v>759</v>
      </c>
      <c r="L57" s="8" t="s">
        <v>760</v>
      </c>
      <c r="M57" s="8" t="s">
        <v>1728</v>
      </c>
      <c r="N57" s="8" t="s">
        <v>1731</v>
      </c>
      <c r="O57" s="8">
        <v>54.511000000000003</v>
      </c>
      <c r="P57" s="8" t="s">
        <v>492</v>
      </c>
      <c r="Q57" s="8" t="s">
        <v>85</v>
      </c>
      <c r="R57" s="8" t="s">
        <v>194</v>
      </c>
      <c r="S57" s="8">
        <v>3</v>
      </c>
      <c r="T57" s="8" t="s">
        <v>87</v>
      </c>
      <c r="U57" s="8" t="s">
        <v>37</v>
      </c>
      <c r="V57" s="8" t="s">
        <v>493</v>
      </c>
      <c r="W57" s="8" t="s">
        <v>822</v>
      </c>
      <c r="X57" s="8"/>
      <c r="Y57" s="8">
        <v>98</v>
      </c>
      <c r="Z57" s="8"/>
      <c r="AA57" s="8" t="s">
        <v>39</v>
      </c>
      <c r="AB57" s="8">
        <v>31</v>
      </c>
      <c r="AC57" s="23">
        <v>44054</v>
      </c>
      <c r="AD57" s="23" t="str">
        <f t="shared" ref="AD57:AD58" si="12">N57</f>
        <v>01/09/2020</v>
      </c>
      <c r="AE57" s="8">
        <v>3</v>
      </c>
      <c r="AF57" s="8">
        <v>0</v>
      </c>
      <c r="AG57" s="8" t="s">
        <v>1780</v>
      </c>
    </row>
    <row r="58" spans="1:33" x14ac:dyDescent="0.2">
      <c r="A58" s="8">
        <v>2502</v>
      </c>
      <c r="B58" s="16">
        <v>44053</v>
      </c>
      <c r="C58" s="8">
        <v>30012803</v>
      </c>
      <c r="D58" s="8" t="s">
        <v>102</v>
      </c>
      <c r="E58" s="8" t="s">
        <v>191</v>
      </c>
      <c r="F58" s="8" t="s">
        <v>192</v>
      </c>
      <c r="G58" s="8">
        <v>15018470</v>
      </c>
      <c r="H58" s="8">
        <v>802095157</v>
      </c>
      <c r="I58" s="8" t="s">
        <v>193</v>
      </c>
      <c r="J58" s="8" t="s">
        <v>83</v>
      </c>
      <c r="K58" s="8" t="s">
        <v>759</v>
      </c>
      <c r="L58" s="8" t="s">
        <v>760</v>
      </c>
      <c r="M58" s="8" t="s">
        <v>1728</v>
      </c>
      <c r="N58" s="8" t="s">
        <v>1731</v>
      </c>
      <c r="O58" s="8">
        <v>18.815000000000001</v>
      </c>
      <c r="P58" s="8" t="s">
        <v>492</v>
      </c>
      <c r="Q58" s="8" t="s">
        <v>85</v>
      </c>
      <c r="R58" s="8" t="s">
        <v>826</v>
      </c>
      <c r="S58" s="8">
        <v>1</v>
      </c>
      <c r="T58" s="8" t="s">
        <v>87</v>
      </c>
      <c r="U58" s="8" t="s">
        <v>37</v>
      </c>
      <c r="V58" s="8" t="s">
        <v>493</v>
      </c>
      <c r="W58" s="8" t="s">
        <v>822</v>
      </c>
      <c r="X58" s="8"/>
      <c r="Y58" s="8">
        <v>34</v>
      </c>
      <c r="Z58" s="8"/>
      <c r="AA58" s="8" t="s">
        <v>39</v>
      </c>
      <c r="AB58" s="8">
        <v>31</v>
      </c>
      <c r="AC58" s="23">
        <v>44054</v>
      </c>
      <c r="AD58" s="23" t="str">
        <f t="shared" si="12"/>
        <v>01/09/2020</v>
      </c>
      <c r="AE58" s="8">
        <v>3</v>
      </c>
      <c r="AF58" s="8">
        <v>0</v>
      </c>
      <c r="AG58" s="8" t="s">
        <v>1780</v>
      </c>
    </row>
    <row r="59" spans="1:33" x14ac:dyDescent="0.2">
      <c r="A59" s="8">
        <v>2504</v>
      </c>
      <c r="B59" s="16">
        <v>44042</v>
      </c>
      <c r="C59" s="8">
        <v>30012752</v>
      </c>
      <c r="D59" s="8" t="s">
        <v>91</v>
      </c>
      <c r="E59" s="8" t="s">
        <v>728</v>
      </c>
      <c r="F59" s="8" t="s">
        <v>729</v>
      </c>
      <c r="G59" s="8">
        <v>15018161</v>
      </c>
      <c r="H59" s="8">
        <v>802094241</v>
      </c>
      <c r="I59" s="8" t="s">
        <v>730</v>
      </c>
      <c r="J59" s="8" t="s">
        <v>58</v>
      </c>
      <c r="K59" s="8" t="s">
        <v>739</v>
      </c>
      <c r="L59" s="8" t="s">
        <v>740</v>
      </c>
      <c r="M59" s="8" t="s">
        <v>1700</v>
      </c>
      <c r="N59" s="8" t="s">
        <v>1730</v>
      </c>
      <c r="O59" s="8">
        <v>103.446</v>
      </c>
      <c r="P59" s="8" t="s">
        <v>48</v>
      </c>
      <c r="Q59" s="8" t="s">
        <v>731</v>
      </c>
      <c r="R59" s="8" t="s">
        <v>732</v>
      </c>
      <c r="S59" s="8">
        <v>4</v>
      </c>
      <c r="T59" s="8" t="s">
        <v>72</v>
      </c>
      <c r="U59" s="8" t="s">
        <v>37</v>
      </c>
      <c r="V59" s="8" t="s">
        <v>65</v>
      </c>
      <c r="W59" s="8" t="s">
        <v>742</v>
      </c>
      <c r="X59" s="8"/>
      <c r="Y59" s="8">
        <v>44</v>
      </c>
      <c r="Z59" s="8" t="s">
        <v>53</v>
      </c>
      <c r="AA59" s="8" t="s">
        <v>733</v>
      </c>
      <c r="AB59" s="8">
        <v>31</v>
      </c>
      <c r="AC59" s="21">
        <v>44049</v>
      </c>
      <c r="AD59" s="21">
        <v>44056</v>
      </c>
      <c r="AE59" s="8">
        <v>1</v>
      </c>
      <c r="AF59" s="8"/>
      <c r="AG59" s="22" t="s">
        <v>1778</v>
      </c>
    </row>
    <row r="60" spans="1:33" x14ac:dyDescent="0.2">
      <c r="A60" s="8">
        <v>2504</v>
      </c>
      <c r="B60" s="16">
        <v>44048</v>
      </c>
      <c r="C60" s="8">
        <v>30012809</v>
      </c>
      <c r="D60" s="8" t="s">
        <v>62</v>
      </c>
      <c r="E60" s="8" t="s">
        <v>212</v>
      </c>
      <c r="F60" s="8" t="s">
        <v>213</v>
      </c>
      <c r="G60" s="8">
        <v>15018204</v>
      </c>
      <c r="H60" s="8">
        <v>802094739</v>
      </c>
      <c r="I60" s="8" t="s">
        <v>77</v>
      </c>
      <c r="J60" s="8" t="s">
        <v>32</v>
      </c>
      <c r="K60" s="8" t="s">
        <v>388</v>
      </c>
      <c r="L60" s="8" t="s">
        <v>831</v>
      </c>
      <c r="M60" s="8" t="s">
        <v>1700</v>
      </c>
      <c r="N60" s="8" t="s">
        <v>1711</v>
      </c>
      <c r="O60" s="8">
        <v>494.41</v>
      </c>
      <c r="P60" s="8" t="s">
        <v>48</v>
      </c>
      <c r="Q60" s="8" t="s">
        <v>115</v>
      </c>
      <c r="R60" s="8" t="s">
        <v>116</v>
      </c>
      <c r="S60" s="8">
        <v>25</v>
      </c>
      <c r="T60" s="8" t="s">
        <v>140</v>
      </c>
      <c r="U60" s="8" t="s">
        <v>37</v>
      </c>
      <c r="V60" s="8" t="s">
        <v>1699</v>
      </c>
      <c r="W60" s="8" t="s">
        <v>832</v>
      </c>
      <c r="X60" s="8"/>
      <c r="Y60" s="8">
        <v>475</v>
      </c>
      <c r="Z60" s="8" t="s">
        <v>833</v>
      </c>
      <c r="AA60" s="8" t="s">
        <v>39</v>
      </c>
      <c r="AB60" s="8">
        <v>31</v>
      </c>
      <c r="AC60" s="21" t="str">
        <f t="shared" ref="AC60:AC62" si="13">M60</f>
        <v>05/08/2020</v>
      </c>
      <c r="AD60" s="21" t="str">
        <f t="shared" ref="AD60:AD62" si="14">N60</f>
        <v>30/08/2020</v>
      </c>
      <c r="AE60" s="8"/>
      <c r="AF60" s="8"/>
      <c r="AG60" s="8"/>
    </row>
    <row r="61" spans="1:33" x14ac:dyDescent="0.2">
      <c r="A61" s="8">
        <v>2504</v>
      </c>
      <c r="B61" s="16">
        <v>44024</v>
      </c>
      <c r="C61" s="8">
        <v>30012837</v>
      </c>
      <c r="D61" s="8" t="s">
        <v>62</v>
      </c>
      <c r="E61" s="8" t="s">
        <v>167</v>
      </c>
      <c r="F61" s="8" t="s">
        <v>168</v>
      </c>
      <c r="G61" s="8">
        <v>15017725</v>
      </c>
      <c r="H61" s="8">
        <v>802093669</v>
      </c>
      <c r="I61" s="8" t="s">
        <v>77</v>
      </c>
      <c r="J61" s="8" t="s">
        <v>32</v>
      </c>
      <c r="K61" s="8" t="s">
        <v>759</v>
      </c>
      <c r="L61" s="8" t="s">
        <v>760</v>
      </c>
      <c r="M61" s="8" t="s">
        <v>1713</v>
      </c>
      <c r="N61" s="8" t="s">
        <v>1732</v>
      </c>
      <c r="O61" s="8">
        <v>199.77500000000001</v>
      </c>
      <c r="P61" s="8" t="s">
        <v>48</v>
      </c>
      <c r="Q61" s="8" t="s">
        <v>498</v>
      </c>
      <c r="R61" s="8" t="s">
        <v>169</v>
      </c>
      <c r="S61" s="8">
        <v>8</v>
      </c>
      <c r="T61" s="8" t="s">
        <v>36</v>
      </c>
      <c r="U61" s="8" t="s">
        <v>37</v>
      </c>
      <c r="V61" s="8" t="s">
        <v>1706</v>
      </c>
      <c r="W61" s="8" t="s">
        <v>610</v>
      </c>
      <c r="X61" s="8"/>
      <c r="Y61" s="8">
        <v>192</v>
      </c>
      <c r="Z61" s="8" t="s">
        <v>611</v>
      </c>
      <c r="AA61" s="8" t="s">
        <v>39</v>
      </c>
      <c r="AB61" s="8">
        <v>31</v>
      </c>
      <c r="AC61" s="21" t="str">
        <f t="shared" si="13"/>
        <v>06/08/2020</v>
      </c>
      <c r="AD61" s="21" t="str">
        <f t="shared" si="14"/>
        <v>31/08/2020</v>
      </c>
      <c r="AE61" s="8"/>
      <c r="AF61" s="8"/>
      <c r="AG61" s="8"/>
    </row>
    <row r="62" spans="1:33" x14ac:dyDescent="0.2">
      <c r="A62" s="8">
        <v>2503</v>
      </c>
      <c r="B62" s="16">
        <v>44048</v>
      </c>
      <c r="C62" s="8">
        <v>30012750</v>
      </c>
      <c r="D62" s="8" t="s">
        <v>219</v>
      </c>
      <c r="E62" s="8" t="s">
        <v>220</v>
      </c>
      <c r="F62" s="8" t="s">
        <v>221</v>
      </c>
      <c r="G62" s="8">
        <v>15015842</v>
      </c>
      <c r="H62" s="8">
        <v>802094235</v>
      </c>
      <c r="I62" s="8" t="s">
        <v>222</v>
      </c>
      <c r="J62" s="8" t="s">
        <v>223</v>
      </c>
      <c r="K62" s="8" t="s">
        <v>734</v>
      </c>
      <c r="L62" s="8" t="s">
        <v>838</v>
      </c>
      <c r="M62" s="8" t="s">
        <v>1700</v>
      </c>
      <c r="N62" s="8" t="s">
        <v>1733</v>
      </c>
      <c r="O62" s="8">
        <v>128.55000000000001</v>
      </c>
      <c r="P62" s="8" t="s">
        <v>224</v>
      </c>
      <c r="Q62" s="8" t="s">
        <v>225</v>
      </c>
      <c r="R62" s="8" t="s">
        <v>226</v>
      </c>
      <c r="S62" s="8">
        <v>5</v>
      </c>
      <c r="T62" s="8" t="s">
        <v>87</v>
      </c>
      <c r="U62" s="8" t="s">
        <v>37</v>
      </c>
      <c r="V62" s="8" t="s">
        <v>88</v>
      </c>
      <c r="W62" s="8" t="s">
        <v>839</v>
      </c>
      <c r="X62" s="8"/>
      <c r="Y62" s="8">
        <v>125</v>
      </c>
      <c r="Z62" s="8"/>
      <c r="AA62" s="8" t="s">
        <v>227</v>
      </c>
      <c r="AB62" s="8">
        <v>31</v>
      </c>
      <c r="AC62" s="23" t="str">
        <f t="shared" si="13"/>
        <v>05/08/2020</v>
      </c>
      <c r="AD62" s="23" t="str">
        <f t="shared" si="14"/>
        <v>24/09/2020</v>
      </c>
      <c r="AE62" s="8">
        <v>0</v>
      </c>
      <c r="AF62" s="8">
        <v>0</v>
      </c>
      <c r="AG62" s="8"/>
    </row>
    <row r="63" spans="1:33" x14ac:dyDescent="0.2">
      <c r="A63" s="8">
        <v>2503</v>
      </c>
      <c r="B63" s="16">
        <v>44073</v>
      </c>
      <c r="C63" s="8">
        <v>30012750</v>
      </c>
      <c r="D63" s="8" t="s">
        <v>91</v>
      </c>
      <c r="E63" s="8" t="s">
        <v>228</v>
      </c>
      <c r="F63" s="8" t="s">
        <v>229</v>
      </c>
      <c r="G63" s="8">
        <v>15018183</v>
      </c>
      <c r="H63" s="8">
        <v>802094707</v>
      </c>
      <c r="I63" s="8" t="s">
        <v>230</v>
      </c>
      <c r="J63" s="8" t="s">
        <v>223</v>
      </c>
      <c r="K63" s="8" t="s">
        <v>734</v>
      </c>
      <c r="L63" s="8" t="s">
        <v>838</v>
      </c>
      <c r="M63" s="8" t="s">
        <v>1700</v>
      </c>
      <c r="N63" s="8" t="s">
        <v>1734</v>
      </c>
      <c r="O63" s="8">
        <v>102.93</v>
      </c>
      <c r="P63" s="8" t="s">
        <v>224</v>
      </c>
      <c r="Q63" s="8" t="s">
        <v>231</v>
      </c>
      <c r="R63" s="8" t="s">
        <v>232</v>
      </c>
      <c r="S63" s="8">
        <v>4</v>
      </c>
      <c r="T63" s="8" t="s">
        <v>87</v>
      </c>
      <c r="U63" s="8" t="s">
        <v>37</v>
      </c>
      <c r="V63" s="8" t="s">
        <v>88</v>
      </c>
      <c r="W63" s="8" t="s">
        <v>843</v>
      </c>
      <c r="X63" s="8"/>
      <c r="Y63" s="8">
        <v>100</v>
      </c>
      <c r="Z63" s="8" t="s">
        <v>519</v>
      </c>
      <c r="AA63" s="8" t="s">
        <v>39</v>
      </c>
      <c r="AB63" s="8">
        <v>31</v>
      </c>
      <c r="AC63" s="23" t="str">
        <f>M63</f>
        <v>05/08/2020</v>
      </c>
      <c r="AD63" s="23" t="str">
        <f>N63</f>
        <v>08/09/2020</v>
      </c>
      <c r="AE63" s="8">
        <v>0</v>
      </c>
      <c r="AF63" s="8">
        <v>0</v>
      </c>
      <c r="AG63" s="8"/>
    </row>
    <row r="64" spans="1:33" x14ac:dyDescent="0.2">
      <c r="A64" s="8">
        <v>2503</v>
      </c>
      <c r="B64" s="16">
        <v>44048</v>
      </c>
      <c r="C64" s="8">
        <v>30012750</v>
      </c>
      <c r="D64" s="8" t="s">
        <v>137</v>
      </c>
      <c r="E64" s="8" t="s">
        <v>138</v>
      </c>
      <c r="F64" s="8" t="s">
        <v>139</v>
      </c>
      <c r="G64" s="8">
        <v>15018232</v>
      </c>
      <c r="H64" s="8">
        <v>802094776</v>
      </c>
      <c r="I64" s="8" t="s">
        <v>846</v>
      </c>
      <c r="J64" s="8" t="s">
        <v>32</v>
      </c>
      <c r="K64" s="8" t="s">
        <v>734</v>
      </c>
      <c r="L64" s="8" t="s">
        <v>838</v>
      </c>
      <c r="M64" s="8" t="s">
        <v>1700</v>
      </c>
      <c r="N64" s="8" t="s">
        <v>1735</v>
      </c>
      <c r="O64" s="8">
        <v>488.863</v>
      </c>
      <c r="P64" s="8" t="s">
        <v>224</v>
      </c>
      <c r="Q64" s="8" t="s">
        <v>206</v>
      </c>
      <c r="R64" s="8" t="s">
        <v>35</v>
      </c>
      <c r="S64" s="8">
        <v>25</v>
      </c>
      <c r="T64" s="8" t="s">
        <v>87</v>
      </c>
      <c r="U64" s="8" t="s">
        <v>37</v>
      </c>
      <c r="V64" s="8" t="s">
        <v>88</v>
      </c>
      <c r="W64" s="8" t="s">
        <v>847</v>
      </c>
      <c r="X64" s="8"/>
      <c r="Y64" s="8">
        <v>475</v>
      </c>
      <c r="Z64" s="8"/>
      <c r="AA64" s="8" t="s">
        <v>39</v>
      </c>
      <c r="AB64" s="8">
        <v>31</v>
      </c>
      <c r="AC64" s="23" t="str">
        <f t="shared" ref="AC64:AC65" si="15">M64</f>
        <v>05/08/2020</v>
      </c>
      <c r="AD64" s="23" t="str">
        <f t="shared" ref="AD64:AD65" si="16">N64</f>
        <v>05/09/2020</v>
      </c>
      <c r="AE64" s="8">
        <v>0</v>
      </c>
      <c r="AF64" s="8">
        <v>0</v>
      </c>
      <c r="AG64" s="8"/>
    </row>
    <row r="65" spans="1:33" x14ac:dyDescent="0.2">
      <c r="A65" s="8">
        <v>2503</v>
      </c>
      <c r="B65" s="16">
        <v>44053</v>
      </c>
      <c r="C65" s="8">
        <v>30012750</v>
      </c>
      <c r="D65" s="8" t="s">
        <v>137</v>
      </c>
      <c r="E65" s="8" t="s">
        <v>138</v>
      </c>
      <c r="F65" s="8" t="s">
        <v>139</v>
      </c>
      <c r="G65" s="8">
        <v>15018233</v>
      </c>
      <c r="H65" s="8">
        <v>802094777</v>
      </c>
      <c r="I65" s="8" t="s">
        <v>846</v>
      </c>
      <c r="J65" s="8" t="s">
        <v>32</v>
      </c>
      <c r="K65" s="8" t="s">
        <v>734</v>
      </c>
      <c r="L65" s="8" t="s">
        <v>838</v>
      </c>
      <c r="M65" s="8" t="s">
        <v>1700</v>
      </c>
      <c r="N65" s="8" t="s">
        <v>1735</v>
      </c>
      <c r="O65" s="8">
        <v>508.589</v>
      </c>
      <c r="P65" s="8" t="s">
        <v>224</v>
      </c>
      <c r="Q65" s="8" t="s">
        <v>206</v>
      </c>
      <c r="R65" s="8" t="s">
        <v>35</v>
      </c>
      <c r="S65" s="8">
        <v>26</v>
      </c>
      <c r="T65" s="8" t="s">
        <v>87</v>
      </c>
      <c r="U65" s="8" t="s">
        <v>37</v>
      </c>
      <c r="V65" s="8" t="s">
        <v>88</v>
      </c>
      <c r="W65" s="8" t="s">
        <v>850</v>
      </c>
      <c r="X65" s="8"/>
      <c r="Y65" s="8">
        <v>494</v>
      </c>
      <c r="Z65" s="8"/>
      <c r="AA65" s="8" t="s">
        <v>39</v>
      </c>
      <c r="AB65" s="8">
        <v>31</v>
      </c>
      <c r="AC65" s="23" t="str">
        <f t="shared" si="15"/>
        <v>05/08/2020</v>
      </c>
      <c r="AD65" s="23" t="str">
        <f t="shared" si="16"/>
        <v>05/09/2020</v>
      </c>
      <c r="AE65" s="8">
        <v>0</v>
      </c>
      <c r="AF65" s="8">
        <v>0</v>
      </c>
      <c r="AG65" s="8"/>
    </row>
    <row r="66" spans="1:33" x14ac:dyDescent="0.2">
      <c r="A66" s="8">
        <v>2502</v>
      </c>
      <c r="B66" s="16">
        <v>44042</v>
      </c>
      <c r="C66" s="8">
        <v>30012753</v>
      </c>
      <c r="D66" s="8" t="s">
        <v>28</v>
      </c>
      <c r="E66" s="8" t="s">
        <v>29</v>
      </c>
      <c r="F66" s="8" t="s">
        <v>397</v>
      </c>
      <c r="G66" s="8">
        <v>15017949</v>
      </c>
      <c r="H66" s="8">
        <v>802093829</v>
      </c>
      <c r="I66" s="8" t="s">
        <v>89</v>
      </c>
      <c r="J66" s="8" t="s">
        <v>90</v>
      </c>
      <c r="K66" s="8" t="s">
        <v>487</v>
      </c>
      <c r="L66" s="8" t="s">
        <v>751</v>
      </c>
      <c r="M66" s="8" t="s">
        <v>1700</v>
      </c>
      <c r="N66" s="8" t="s">
        <v>1735</v>
      </c>
      <c r="O66" s="8">
        <v>494.30099999999999</v>
      </c>
      <c r="P66" s="8" t="s">
        <v>84</v>
      </c>
      <c r="Q66" s="8" t="s">
        <v>405</v>
      </c>
      <c r="R66" s="8" t="s">
        <v>717</v>
      </c>
      <c r="S66" s="8">
        <v>20</v>
      </c>
      <c r="T66" s="8" t="s">
        <v>87</v>
      </c>
      <c r="U66" s="8" t="s">
        <v>37</v>
      </c>
      <c r="V66" s="8" t="s">
        <v>88</v>
      </c>
      <c r="W66" s="8" t="s">
        <v>718</v>
      </c>
      <c r="X66" s="8"/>
      <c r="Y66" s="8">
        <v>694</v>
      </c>
      <c r="Z66" s="8"/>
      <c r="AA66" s="8" t="s">
        <v>39</v>
      </c>
      <c r="AB66" s="8">
        <v>31</v>
      </c>
      <c r="AC66" s="23">
        <v>44048</v>
      </c>
      <c r="AD66" s="23" t="str">
        <f>N66</f>
        <v>05/09/2020</v>
      </c>
      <c r="AE66" s="8">
        <v>0</v>
      </c>
      <c r="AF66" s="8">
        <v>0</v>
      </c>
      <c r="AG66" s="8"/>
    </row>
    <row r="67" spans="1:33" x14ac:dyDescent="0.2">
      <c r="A67" s="8">
        <v>2502</v>
      </c>
      <c r="B67" s="16">
        <v>44079</v>
      </c>
      <c r="C67" s="8">
        <v>30012753</v>
      </c>
      <c r="D67" s="8" t="s">
        <v>152</v>
      </c>
      <c r="E67" s="8" t="s">
        <v>138</v>
      </c>
      <c r="F67" s="8" t="s">
        <v>265</v>
      </c>
      <c r="G67" s="8">
        <v>15018390</v>
      </c>
      <c r="H67" s="8">
        <v>802095009</v>
      </c>
      <c r="I67" s="8" t="s">
        <v>385</v>
      </c>
      <c r="J67" s="8" t="s">
        <v>47</v>
      </c>
      <c r="K67" s="8" t="s">
        <v>487</v>
      </c>
      <c r="L67" s="8" t="s">
        <v>751</v>
      </c>
      <c r="M67" s="8" t="s">
        <v>1700</v>
      </c>
      <c r="N67" s="8" t="s">
        <v>1729</v>
      </c>
      <c r="O67" s="8">
        <v>105.75</v>
      </c>
      <c r="P67" s="8" t="s">
        <v>84</v>
      </c>
      <c r="Q67" s="8" t="s">
        <v>206</v>
      </c>
      <c r="R67" s="8" t="s">
        <v>266</v>
      </c>
      <c r="S67" s="8">
        <v>5</v>
      </c>
      <c r="T67" s="8" t="s">
        <v>87</v>
      </c>
      <c r="U67" s="8" t="s">
        <v>37</v>
      </c>
      <c r="V67" s="8" t="s">
        <v>88</v>
      </c>
      <c r="W67" s="8" t="s">
        <v>855</v>
      </c>
      <c r="X67" s="8"/>
      <c r="Y67" s="8">
        <v>10</v>
      </c>
      <c r="Z67" s="8" t="s">
        <v>856</v>
      </c>
      <c r="AA67" s="8" t="s">
        <v>39</v>
      </c>
      <c r="AB67" s="8">
        <v>31</v>
      </c>
      <c r="AC67" s="23">
        <v>44048</v>
      </c>
      <c r="AD67" s="23" t="str">
        <f t="shared" ref="AD67:AD72" si="17">N67</f>
        <v>04/09/2020</v>
      </c>
      <c r="AE67" s="8">
        <v>0</v>
      </c>
      <c r="AF67" s="8">
        <v>0</v>
      </c>
      <c r="AG67" s="8"/>
    </row>
    <row r="68" spans="1:33" x14ac:dyDescent="0.2">
      <c r="A68" s="8">
        <v>2502</v>
      </c>
      <c r="B68" s="16">
        <v>44079</v>
      </c>
      <c r="C68" s="8">
        <v>30012753</v>
      </c>
      <c r="D68" s="8" t="s">
        <v>152</v>
      </c>
      <c r="E68" s="8" t="s">
        <v>138</v>
      </c>
      <c r="F68" s="8" t="s">
        <v>265</v>
      </c>
      <c r="G68" s="8">
        <v>15018391</v>
      </c>
      <c r="H68" s="8">
        <v>802095010</v>
      </c>
      <c r="I68" s="8" t="s">
        <v>386</v>
      </c>
      <c r="J68" s="8" t="s">
        <v>47</v>
      </c>
      <c r="K68" s="8" t="s">
        <v>487</v>
      </c>
      <c r="L68" s="8" t="s">
        <v>751</v>
      </c>
      <c r="M68" s="8" t="s">
        <v>1700</v>
      </c>
      <c r="N68" s="8" t="s">
        <v>1729</v>
      </c>
      <c r="O68" s="8">
        <v>91.287999999999997</v>
      </c>
      <c r="P68" s="8" t="s">
        <v>84</v>
      </c>
      <c r="Q68" s="8" t="s">
        <v>206</v>
      </c>
      <c r="R68" s="8" t="s">
        <v>266</v>
      </c>
      <c r="S68" s="8">
        <v>4</v>
      </c>
      <c r="T68" s="8" t="s">
        <v>87</v>
      </c>
      <c r="U68" s="8" t="s">
        <v>37</v>
      </c>
      <c r="V68" s="8" t="s">
        <v>88</v>
      </c>
      <c r="W68" s="8" t="s">
        <v>859</v>
      </c>
      <c r="X68" s="8"/>
      <c r="Y68" s="8">
        <v>8</v>
      </c>
      <c r="Z68" s="8" t="s">
        <v>856</v>
      </c>
      <c r="AA68" s="8" t="s">
        <v>39</v>
      </c>
      <c r="AB68" s="8">
        <v>31</v>
      </c>
      <c r="AC68" s="23">
        <v>44048</v>
      </c>
      <c r="AD68" s="23" t="str">
        <f t="shared" si="17"/>
        <v>04/09/2020</v>
      </c>
      <c r="AE68" s="8">
        <v>0</v>
      </c>
      <c r="AF68" s="8">
        <v>0</v>
      </c>
      <c r="AG68" s="8"/>
    </row>
    <row r="69" spans="1:33" x14ac:dyDescent="0.2">
      <c r="A69" s="8">
        <v>2502</v>
      </c>
      <c r="B69" s="16">
        <v>44073</v>
      </c>
      <c r="C69" s="8">
        <v>30012753</v>
      </c>
      <c r="D69" s="8" t="s">
        <v>152</v>
      </c>
      <c r="E69" s="8" t="s">
        <v>534</v>
      </c>
      <c r="F69" s="8" t="s">
        <v>265</v>
      </c>
      <c r="G69" s="8">
        <v>15018432</v>
      </c>
      <c r="H69" s="8">
        <v>802095115</v>
      </c>
      <c r="I69" s="8" t="s">
        <v>862</v>
      </c>
      <c r="J69" s="8" t="s">
        <v>47</v>
      </c>
      <c r="K69" s="8" t="s">
        <v>487</v>
      </c>
      <c r="L69" s="8" t="s">
        <v>751</v>
      </c>
      <c r="M69" s="8" t="s">
        <v>1700</v>
      </c>
      <c r="N69" s="8" t="s">
        <v>1729</v>
      </c>
      <c r="O69" s="8">
        <v>13.411</v>
      </c>
      <c r="P69" s="8" t="s">
        <v>84</v>
      </c>
      <c r="Q69" s="8" t="s">
        <v>206</v>
      </c>
      <c r="R69" s="8" t="s">
        <v>536</v>
      </c>
      <c r="S69" s="8">
        <v>1</v>
      </c>
      <c r="T69" s="8" t="s">
        <v>87</v>
      </c>
      <c r="U69" s="8" t="s">
        <v>37</v>
      </c>
      <c r="V69" s="8" t="s">
        <v>88</v>
      </c>
      <c r="W69" s="8" t="s">
        <v>863</v>
      </c>
      <c r="X69" s="8"/>
      <c r="Y69" s="8">
        <v>1</v>
      </c>
      <c r="Z69" s="8"/>
      <c r="AA69" s="8" t="s">
        <v>39</v>
      </c>
      <c r="AB69" s="8">
        <v>31</v>
      </c>
      <c r="AC69" s="23">
        <v>44048</v>
      </c>
      <c r="AD69" s="23" t="str">
        <f t="shared" si="17"/>
        <v>04/09/2020</v>
      </c>
      <c r="AE69" s="8">
        <v>0</v>
      </c>
      <c r="AF69" s="8">
        <v>0</v>
      </c>
      <c r="AG69" s="8"/>
    </row>
    <row r="70" spans="1:33" x14ac:dyDescent="0.2">
      <c r="A70" s="8">
        <v>2502</v>
      </c>
      <c r="B70" s="16">
        <v>44048</v>
      </c>
      <c r="C70" s="8">
        <v>30012753</v>
      </c>
      <c r="D70" s="8" t="s">
        <v>152</v>
      </c>
      <c r="E70" s="8" t="s">
        <v>534</v>
      </c>
      <c r="F70" s="8" t="s">
        <v>265</v>
      </c>
      <c r="G70" s="8">
        <v>15018433</v>
      </c>
      <c r="H70" s="8">
        <v>802095112</v>
      </c>
      <c r="I70" s="8" t="s">
        <v>866</v>
      </c>
      <c r="J70" s="8" t="s">
        <v>47</v>
      </c>
      <c r="K70" s="8" t="s">
        <v>487</v>
      </c>
      <c r="L70" s="8" t="s">
        <v>751</v>
      </c>
      <c r="M70" s="8" t="s">
        <v>1700</v>
      </c>
      <c r="N70" s="8" t="s">
        <v>1729</v>
      </c>
      <c r="O70" s="8">
        <v>87.581999999999994</v>
      </c>
      <c r="P70" s="8" t="s">
        <v>84</v>
      </c>
      <c r="Q70" s="8" t="s">
        <v>206</v>
      </c>
      <c r="R70" s="8" t="s">
        <v>536</v>
      </c>
      <c r="S70" s="8">
        <v>7</v>
      </c>
      <c r="T70" s="8" t="s">
        <v>87</v>
      </c>
      <c r="U70" s="8" t="s">
        <v>37</v>
      </c>
      <c r="V70" s="8" t="s">
        <v>88</v>
      </c>
      <c r="W70" s="8" t="s">
        <v>867</v>
      </c>
      <c r="X70" s="8"/>
      <c r="Y70" s="8">
        <v>7</v>
      </c>
      <c r="Z70" s="8"/>
      <c r="AA70" s="8" t="s">
        <v>39</v>
      </c>
      <c r="AB70" s="8">
        <v>31</v>
      </c>
      <c r="AC70" s="23">
        <v>44048</v>
      </c>
      <c r="AD70" s="23" t="str">
        <f t="shared" si="17"/>
        <v>04/09/2020</v>
      </c>
      <c r="AE70" s="8">
        <v>0</v>
      </c>
      <c r="AF70" s="8">
        <v>0</v>
      </c>
      <c r="AG70" s="8"/>
    </row>
    <row r="71" spans="1:33" x14ac:dyDescent="0.2">
      <c r="A71" s="8">
        <v>2502</v>
      </c>
      <c r="B71" s="16">
        <v>44048</v>
      </c>
      <c r="C71" s="8">
        <v>30012753</v>
      </c>
      <c r="D71" s="8" t="s">
        <v>152</v>
      </c>
      <c r="E71" s="8" t="s">
        <v>534</v>
      </c>
      <c r="F71" s="8" t="s">
        <v>265</v>
      </c>
      <c r="G71" s="8">
        <v>15018434</v>
      </c>
      <c r="H71" s="8">
        <v>802095113</v>
      </c>
      <c r="I71" s="8" t="s">
        <v>387</v>
      </c>
      <c r="J71" s="8" t="s">
        <v>47</v>
      </c>
      <c r="K71" s="8" t="s">
        <v>487</v>
      </c>
      <c r="L71" s="8" t="s">
        <v>751</v>
      </c>
      <c r="M71" s="8" t="s">
        <v>1700</v>
      </c>
      <c r="N71" s="8" t="s">
        <v>1729</v>
      </c>
      <c r="O71" s="8">
        <v>75.378</v>
      </c>
      <c r="P71" s="8" t="s">
        <v>84</v>
      </c>
      <c r="Q71" s="8" t="s">
        <v>206</v>
      </c>
      <c r="R71" s="8" t="s">
        <v>536</v>
      </c>
      <c r="S71" s="8">
        <v>7</v>
      </c>
      <c r="T71" s="8" t="s">
        <v>87</v>
      </c>
      <c r="U71" s="8" t="s">
        <v>37</v>
      </c>
      <c r="V71" s="8" t="s">
        <v>88</v>
      </c>
      <c r="W71" s="8" t="s">
        <v>870</v>
      </c>
      <c r="X71" s="8"/>
      <c r="Y71" s="8">
        <v>7</v>
      </c>
      <c r="Z71" s="8"/>
      <c r="AA71" s="8" t="s">
        <v>39</v>
      </c>
      <c r="AB71" s="8">
        <v>31</v>
      </c>
      <c r="AC71" s="23">
        <v>44048</v>
      </c>
      <c r="AD71" s="23" t="str">
        <f t="shared" si="17"/>
        <v>04/09/2020</v>
      </c>
      <c r="AE71" s="8">
        <v>0</v>
      </c>
      <c r="AF71" s="8">
        <v>0</v>
      </c>
      <c r="AG71" s="8"/>
    </row>
    <row r="72" spans="1:33" x14ac:dyDescent="0.2">
      <c r="A72" s="8">
        <v>2502</v>
      </c>
      <c r="B72" s="16">
        <v>44048</v>
      </c>
      <c r="C72" s="8">
        <v>30012753</v>
      </c>
      <c r="D72" s="8" t="s">
        <v>152</v>
      </c>
      <c r="E72" s="8" t="s">
        <v>534</v>
      </c>
      <c r="F72" s="8" t="s">
        <v>265</v>
      </c>
      <c r="G72" s="8">
        <v>15018435</v>
      </c>
      <c r="H72" s="8">
        <v>802095114</v>
      </c>
      <c r="I72" s="8" t="s">
        <v>873</v>
      </c>
      <c r="J72" s="8" t="s">
        <v>47</v>
      </c>
      <c r="K72" s="8" t="s">
        <v>487</v>
      </c>
      <c r="L72" s="8" t="s">
        <v>751</v>
      </c>
      <c r="M72" s="8" t="s">
        <v>1700</v>
      </c>
      <c r="N72" s="8" t="s">
        <v>1729</v>
      </c>
      <c r="O72" s="8">
        <v>48.624000000000002</v>
      </c>
      <c r="P72" s="8" t="s">
        <v>84</v>
      </c>
      <c r="Q72" s="8" t="s">
        <v>206</v>
      </c>
      <c r="R72" s="8" t="s">
        <v>536</v>
      </c>
      <c r="S72" s="8">
        <v>2</v>
      </c>
      <c r="T72" s="8" t="s">
        <v>87</v>
      </c>
      <c r="U72" s="8" t="s">
        <v>37</v>
      </c>
      <c r="V72" s="8" t="s">
        <v>88</v>
      </c>
      <c r="W72" s="8" t="s">
        <v>874</v>
      </c>
      <c r="X72" s="8"/>
      <c r="Y72" s="8">
        <v>4</v>
      </c>
      <c r="Z72" s="8"/>
      <c r="AA72" s="8" t="s">
        <v>39</v>
      </c>
      <c r="AB72" s="8">
        <v>31</v>
      </c>
      <c r="AC72" s="23">
        <v>44048</v>
      </c>
      <c r="AD72" s="23" t="str">
        <f t="shared" si="17"/>
        <v>04/09/2020</v>
      </c>
      <c r="AE72" s="8">
        <v>0</v>
      </c>
      <c r="AF72" s="8">
        <v>0</v>
      </c>
      <c r="AG72" s="8"/>
    </row>
    <row r="73" spans="1:33" x14ac:dyDescent="0.2">
      <c r="A73" s="8">
        <v>2502</v>
      </c>
      <c r="B73" s="16">
        <v>44073</v>
      </c>
      <c r="C73" s="8">
        <v>30012795</v>
      </c>
      <c r="D73" s="8" t="s">
        <v>152</v>
      </c>
      <c r="E73" s="8" t="s">
        <v>523</v>
      </c>
      <c r="F73" s="8" t="s">
        <v>524</v>
      </c>
      <c r="G73" s="8">
        <v>15018290</v>
      </c>
      <c r="H73" s="8">
        <v>802094851</v>
      </c>
      <c r="I73" s="8" t="s">
        <v>202</v>
      </c>
      <c r="J73" s="8" t="s">
        <v>95</v>
      </c>
      <c r="K73" s="8" t="s">
        <v>754</v>
      </c>
      <c r="L73" s="8" t="s">
        <v>755</v>
      </c>
      <c r="M73" s="8" t="s">
        <v>1736</v>
      </c>
      <c r="N73" s="8" t="s">
        <v>1709</v>
      </c>
      <c r="O73" s="8">
        <v>262.77300000000002</v>
      </c>
      <c r="P73" s="8" t="s">
        <v>492</v>
      </c>
      <c r="Q73" s="8" t="s">
        <v>105</v>
      </c>
      <c r="R73" s="8" t="s">
        <v>525</v>
      </c>
      <c r="S73" s="8">
        <v>11</v>
      </c>
      <c r="T73" s="8" t="s">
        <v>87</v>
      </c>
      <c r="U73" s="8" t="s">
        <v>37</v>
      </c>
      <c r="V73" s="8" t="s">
        <v>1699</v>
      </c>
      <c r="W73" s="8" t="s">
        <v>878</v>
      </c>
      <c r="X73" s="8"/>
      <c r="Y73" s="8">
        <v>187</v>
      </c>
      <c r="Z73" s="8"/>
      <c r="AA73" s="8" t="s">
        <v>39</v>
      </c>
      <c r="AB73" s="8">
        <v>31</v>
      </c>
      <c r="AC73" s="23" t="s">
        <v>1736</v>
      </c>
      <c r="AD73" s="23" t="s">
        <v>1709</v>
      </c>
      <c r="AE73" s="8">
        <v>0</v>
      </c>
      <c r="AF73" s="8">
        <v>0</v>
      </c>
      <c r="AG73" s="8"/>
    </row>
    <row r="74" spans="1:33" x14ac:dyDescent="0.2">
      <c r="A74" s="8">
        <v>2502</v>
      </c>
      <c r="B74" s="16">
        <v>44073</v>
      </c>
      <c r="C74" s="8">
        <v>30012795</v>
      </c>
      <c r="D74" s="8" t="s">
        <v>54</v>
      </c>
      <c r="E74" s="8" t="s">
        <v>879</v>
      </c>
      <c r="F74" s="8" t="s">
        <v>880</v>
      </c>
      <c r="G74" s="8">
        <v>15018292</v>
      </c>
      <c r="H74" s="8">
        <v>802094853</v>
      </c>
      <c r="I74" s="8" t="s">
        <v>883</v>
      </c>
      <c r="J74" s="8" t="s">
        <v>83</v>
      </c>
      <c r="K74" s="8" t="s">
        <v>754</v>
      </c>
      <c r="L74" s="8" t="s">
        <v>755</v>
      </c>
      <c r="M74" s="8" t="s">
        <v>1736</v>
      </c>
      <c r="N74" s="8" t="s">
        <v>1709</v>
      </c>
      <c r="O74" s="8">
        <v>184.90799999999999</v>
      </c>
      <c r="P74" s="8" t="s">
        <v>492</v>
      </c>
      <c r="Q74" s="8" t="s">
        <v>105</v>
      </c>
      <c r="R74" s="8" t="s">
        <v>106</v>
      </c>
      <c r="S74" s="8">
        <v>8</v>
      </c>
      <c r="T74" s="8" t="s">
        <v>87</v>
      </c>
      <c r="U74" s="8" t="s">
        <v>37</v>
      </c>
      <c r="V74" s="8" t="s">
        <v>1699</v>
      </c>
      <c r="W74" s="8" t="s">
        <v>884</v>
      </c>
      <c r="X74" s="8"/>
      <c r="Y74" s="8">
        <v>192</v>
      </c>
      <c r="Z74" s="8" t="s">
        <v>885</v>
      </c>
      <c r="AA74" s="8" t="s">
        <v>39</v>
      </c>
      <c r="AB74" s="8">
        <v>31</v>
      </c>
      <c r="AC74" s="23" t="s">
        <v>1736</v>
      </c>
      <c r="AD74" s="23" t="s">
        <v>1709</v>
      </c>
      <c r="AE74" s="8">
        <v>0</v>
      </c>
      <c r="AF74" s="8">
        <v>0</v>
      </c>
      <c r="AG74" s="8"/>
    </row>
    <row r="75" spans="1:33" x14ac:dyDescent="0.2">
      <c r="A75" s="8">
        <v>2502</v>
      </c>
      <c r="B75" s="16">
        <v>44073</v>
      </c>
      <c r="C75" s="8">
        <v>30012795</v>
      </c>
      <c r="D75" s="8" t="s">
        <v>91</v>
      </c>
      <c r="E75" s="8" t="s">
        <v>197</v>
      </c>
      <c r="F75" s="8" t="s">
        <v>198</v>
      </c>
      <c r="G75" s="8">
        <v>15018352</v>
      </c>
      <c r="H75" s="8">
        <v>802094913</v>
      </c>
      <c r="I75" s="8" t="s">
        <v>94</v>
      </c>
      <c r="J75" s="8" t="s">
        <v>95</v>
      </c>
      <c r="K75" s="8" t="s">
        <v>754</v>
      </c>
      <c r="L75" s="8" t="s">
        <v>755</v>
      </c>
      <c r="M75" s="8" t="s">
        <v>1736</v>
      </c>
      <c r="N75" s="8" t="s">
        <v>1709</v>
      </c>
      <c r="O75" s="8">
        <v>95.682000000000002</v>
      </c>
      <c r="P75" s="8" t="s">
        <v>492</v>
      </c>
      <c r="Q75" s="8" t="s">
        <v>105</v>
      </c>
      <c r="R75" s="8" t="s">
        <v>199</v>
      </c>
      <c r="S75" s="8">
        <v>4</v>
      </c>
      <c r="T75" s="8" t="s">
        <v>87</v>
      </c>
      <c r="U75" s="8" t="s">
        <v>37</v>
      </c>
      <c r="V75" s="8" t="s">
        <v>1699</v>
      </c>
      <c r="W75" s="8" t="s">
        <v>888</v>
      </c>
      <c r="X75" s="8"/>
      <c r="Y75" s="8">
        <v>68</v>
      </c>
      <c r="Z75" s="8" t="s">
        <v>539</v>
      </c>
      <c r="AA75" s="8" t="s">
        <v>39</v>
      </c>
      <c r="AB75" s="8">
        <v>31</v>
      </c>
      <c r="AC75" s="23" t="s">
        <v>1736</v>
      </c>
      <c r="AD75" s="23" t="s">
        <v>1709</v>
      </c>
      <c r="AE75" s="8">
        <v>0</v>
      </c>
      <c r="AF75" s="8">
        <v>0</v>
      </c>
      <c r="AG75" s="8"/>
    </row>
    <row r="76" spans="1:33" x14ac:dyDescent="0.2">
      <c r="A76" s="8">
        <v>2501</v>
      </c>
      <c r="B76" s="16">
        <v>44053</v>
      </c>
      <c r="C76" s="8">
        <v>30012773</v>
      </c>
      <c r="D76" s="8" t="s">
        <v>28</v>
      </c>
      <c r="E76" s="8" t="s">
        <v>40</v>
      </c>
      <c r="F76" s="8" t="s">
        <v>41</v>
      </c>
      <c r="G76" s="8">
        <v>15018215</v>
      </c>
      <c r="H76" s="8">
        <v>802094833</v>
      </c>
      <c r="I76" s="8" t="s">
        <v>31</v>
      </c>
      <c r="J76" s="8" t="s">
        <v>32</v>
      </c>
      <c r="K76" s="8" t="s">
        <v>743</v>
      </c>
      <c r="L76" s="8" t="s">
        <v>744</v>
      </c>
      <c r="M76" s="8" t="s">
        <v>1713</v>
      </c>
      <c r="N76" s="8" t="s">
        <v>1698</v>
      </c>
      <c r="O76" s="8">
        <v>303.26600000000002</v>
      </c>
      <c r="P76" s="8" t="s">
        <v>33</v>
      </c>
      <c r="Q76" s="8" t="s">
        <v>206</v>
      </c>
      <c r="R76" s="8" t="s">
        <v>35</v>
      </c>
      <c r="S76" s="8">
        <v>15</v>
      </c>
      <c r="T76" s="8" t="s">
        <v>42</v>
      </c>
      <c r="U76" s="8" t="s">
        <v>37</v>
      </c>
      <c r="V76" s="8" t="s">
        <v>1699</v>
      </c>
      <c r="W76" s="8" t="s">
        <v>892</v>
      </c>
      <c r="X76" s="8"/>
      <c r="Y76" s="8">
        <v>300</v>
      </c>
      <c r="Z76" s="8"/>
      <c r="AA76" s="8" t="s">
        <v>39</v>
      </c>
      <c r="AB76" s="8">
        <v>31</v>
      </c>
      <c r="AC76" s="23">
        <v>44052</v>
      </c>
      <c r="AD76" s="23" t="s">
        <v>1698</v>
      </c>
      <c r="AE76" s="8">
        <v>3</v>
      </c>
      <c r="AF76" s="8">
        <v>0</v>
      </c>
      <c r="AG76" s="8" t="s">
        <v>1684</v>
      </c>
    </row>
    <row r="77" spans="1:33" x14ac:dyDescent="0.2">
      <c r="A77" s="8">
        <v>2504</v>
      </c>
      <c r="B77" s="16">
        <v>44043</v>
      </c>
      <c r="C77" s="8">
        <v>30012837</v>
      </c>
      <c r="D77" s="8" t="s">
        <v>137</v>
      </c>
      <c r="E77" s="8" t="s">
        <v>392</v>
      </c>
      <c r="F77" s="8" t="s">
        <v>393</v>
      </c>
      <c r="G77" s="8">
        <v>15017885</v>
      </c>
      <c r="H77" s="8">
        <v>802093853</v>
      </c>
      <c r="I77" s="8" t="s">
        <v>394</v>
      </c>
      <c r="J77" s="8" t="s">
        <v>58</v>
      </c>
      <c r="K77" s="8" t="s">
        <v>759</v>
      </c>
      <c r="L77" s="8" t="s">
        <v>760</v>
      </c>
      <c r="M77" s="8" t="s">
        <v>1713</v>
      </c>
      <c r="N77" s="8" t="s">
        <v>1732</v>
      </c>
      <c r="O77" s="8">
        <v>146.59200000000001</v>
      </c>
      <c r="P77" s="8" t="s">
        <v>48</v>
      </c>
      <c r="Q77" s="8" t="s">
        <v>498</v>
      </c>
      <c r="R77" s="8" t="s">
        <v>395</v>
      </c>
      <c r="S77" s="8">
        <v>6</v>
      </c>
      <c r="T77" s="8" t="s">
        <v>36</v>
      </c>
      <c r="U77" s="8" t="s">
        <v>37</v>
      </c>
      <c r="V77" s="8" t="s">
        <v>1706</v>
      </c>
      <c r="W77" s="8" t="s">
        <v>721</v>
      </c>
      <c r="X77" s="8"/>
      <c r="Y77" s="8">
        <v>72</v>
      </c>
      <c r="Z77" s="8" t="s">
        <v>722</v>
      </c>
      <c r="AA77" s="8" t="s">
        <v>39</v>
      </c>
      <c r="AB77" s="8">
        <v>31</v>
      </c>
      <c r="AC77" s="21" t="str">
        <f t="shared" ref="AC77:AC81" si="18">M77</f>
        <v>06/08/2020</v>
      </c>
      <c r="AD77" s="21" t="str">
        <f t="shared" ref="AD77:AD81" si="19">N77</f>
        <v>31/08/2020</v>
      </c>
      <c r="AE77" s="8"/>
      <c r="AF77" s="8"/>
      <c r="AG77" s="8"/>
    </row>
    <row r="78" spans="1:33" x14ac:dyDescent="0.2">
      <c r="A78" s="8">
        <v>2504</v>
      </c>
      <c r="B78" s="16">
        <v>44042</v>
      </c>
      <c r="C78" s="8">
        <v>30012629</v>
      </c>
      <c r="D78" s="8" t="s">
        <v>137</v>
      </c>
      <c r="E78" s="8" t="s">
        <v>513</v>
      </c>
      <c r="F78" s="8" t="s">
        <v>514</v>
      </c>
      <c r="G78" s="8">
        <v>15017854</v>
      </c>
      <c r="H78" s="8">
        <v>802093699</v>
      </c>
      <c r="I78" s="8" t="s">
        <v>77</v>
      </c>
      <c r="J78" s="8" t="s">
        <v>32</v>
      </c>
      <c r="K78" s="8" t="s">
        <v>591</v>
      </c>
      <c r="L78" s="8" t="s">
        <v>356</v>
      </c>
      <c r="M78" s="8" t="s">
        <v>1738</v>
      </c>
      <c r="N78" s="8" t="s">
        <v>1721</v>
      </c>
      <c r="O78" s="8">
        <v>512.86</v>
      </c>
      <c r="P78" s="8" t="s">
        <v>48</v>
      </c>
      <c r="Q78" s="8" t="s">
        <v>1739</v>
      </c>
      <c r="R78" s="8" t="s">
        <v>517</v>
      </c>
      <c r="S78" s="8">
        <v>19</v>
      </c>
      <c r="T78" s="8" t="s">
        <v>362</v>
      </c>
      <c r="U78" s="8" t="s">
        <v>37</v>
      </c>
      <c r="V78" s="8" t="s">
        <v>155</v>
      </c>
      <c r="W78" s="8" t="s">
        <v>626</v>
      </c>
      <c r="X78" s="8"/>
      <c r="Y78" s="8">
        <v>494</v>
      </c>
      <c r="Z78" s="8" t="s">
        <v>292</v>
      </c>
      <c r="AA78" s="8" t="s">
        <v>39</v>
      </c>
      <c r="AB78" s="8">
        <v>31</v>
      </c>
      <c r="AC78" s="21" t="str">
        <f t="shared" si="18"/>
        <v>08/08/2020</v>
      </c>
      <c r="AD78" s="21" t="str">
        <f t="shared" si="19"/>
        <v>25/08/2020</v>
      </c>
      <c r="AE78" s="8"/>
      <c r="AF78" s="8"/>
      <c r="AG78" s="8"/>
    </row>
    <row r="79" spans="1:33" x14ac:dyDescent="0.2">
      <c r="A79" s="8">
        <v>2524</v>
      </c>
      <c r="B79" s="16">
        <v>44032</v>
      </c>
      <c r="C79" s="8">
        <v>30012629</v>
      </c>
      <c r="D79" s="8" t="s">
        <v>178</v>
      </c>
      <c r="E79" s="8" t="s">
        <v>186</v>
      </c>
      <c r="F79" s="8" t="s">
        <v>187</v>
      </c>
      <c r="G79" s="8">
        <v>15017961</v>
      </c>
      <c r="H79" s="8">
        <v>802093874</v>
      </c>
      <c r="I79" s="8" t="s">
        <v>389</v>
      </c>
      <c r="J79" s="8" t="s">
        <v>47</v>
      </c>
      <c r="K79" s="8" t="s">
        <v>591</v>
      </c>
      <c r="L79" s="8" t="s">
        <v>356</v>
      </c>
      <c r="M79" s="8" t="s">
        <v>1738</v>
      </c>
      <c r="N79" s="8" t="s">
        <v>1740</v>
      </c>
      <c r="O79" s="8">
        <v>173.89099999999999</v>
      </c>
      <c r="P79" s="8" t="s">
        <v>48</v>
      </c>
      <c r="Q79" s="8" t="s">
        <v>182</v>
      </c>
      <c r="R79" s="8" t="s">
        <v>391</v>
      </c>
      <c r="S79" s="8">
        <v>7</v>
      </c>
      <c r="T79" s="8" t="s">
        <v>36</v>
      </c>
      <c r="U79" s="8" t="s">
        <v>37</v>
      </c>
      <c r="V79" s="8" t="s">
        <v>155</v>
      </c>
      <c r="W79" s="8" t="s">
        <v>629</v>
      </c>
      <c r="X79" s="8"/>
      <c r="Y79" s="8">
        <v>140</v>
      </c>
      <c r="Z79" s="8" t="s">
        <v>53</v>
      </c>
      <c r="AA79" s="8" t="s">
        <v>190</v>
      </c>
      <c r="AB79" s="8">
        <v>31</v>
      </c>
      <c r="AC79" s="21" t="str">
        <f t="shared" si="18"/>
        <v>08/08/2020</v>
      </c>
      <c r="AD79" s="21" t="str">
        <f t="shared" si="19"/>
        <v>18/08/2020</v>
      </c>
      <c r="AE79" s="8"/>
      <c r="AF79" s="8"/>
      <c r="AG79" s="8"/>
    </row>
    <row r="80" spans="1:33" x14ac:dyDescent="0.2">
      <c r="A80" s="8">
        <v>2504</v>
      </c>
      <c r="B80" s="16">
        <v>44073</v>
      </c>
      <c r="C80" s="8">
        <v>30012823</v>
      </c>
      <c r="D80" s="8" t="s">
        <v>28</v>
      </c>
      <c r="E80" s="8" t="s">
        <v>129</v>
      </c>
      <c r="F80" s="8" t="s">
        <v>507</v>
      </c>
      <c r="G80" s="8">
        <v>15018339</v>
      </c>
      <c r="H80" s="8">
        <v>802095065</v>
      </c>
      <c r="I80" s="8" t="s">
        <v>77</v>
      </c>
      <c r="J80" s="8" t="s">
        <v>32</v>
      </c>
      <c r="K80" s="8" t="s">
        <v>908</v>
      </c>
      <c r="L80" s="8" t="s">
        <v>572</v>
      </c>
      <c r="M80" s="8" t="s">
        <v>1738</v>
      </c>
      <c r="N80" s="8" t="s">
        <v>1742</v>
      </c>
      <c r="O80" s="8">
        <v>484.38</v>
      </c>
      <c r="P80" s="8" t="s">
        <v>48</v>
      </c>
      <c r="Q80" s="8" t="s">
        <v>405</v>
      </c>
      <c r="R80" s="8" t="s">
        <v>406</v>
      </c>
      <c r="S80" s="8">
        <v>18</v>
      </c>
      <c r="T80" s="8" t="s">
        <v>362</v>
      </c>
      <c r="U80" s="8" t="s">
        <v>934</v>
      </c>
      <c r="V80" s="8" t="s">
        <v>155</v>
      </c>
      <c r="W80" s="8" t="s">
        <v>935</v>
      </c>
      <c r="X80" s="8"/>
      <c r="Y80" s="8">
        <v>468</v>
      </c>
      <c r="Z80" s="8"/>
      <c r="AA80" s="8" t="s">
        <v>39</v>
      </c>
      <c r="AB80" s="8">
        <v>31</v>
      </c>
      <c r="AC80" s="21" t="str">
        <f t="shared" si="18"/>
        <v>08/08/2020</v>
      </c>
      <c r="AD80" s="21" t="str">
        <f t="shared" si="19"/>
        <v>19/08/2020</v>
      </c>
      <c r="AE80" s="8"/>
      <c r="AF80" s="8"/>
      <c r="AG80" s="8"/>
    </row>
    <row r="81" spans="1:33" x14ac:dyDescent="0.2">
      <c r="A81" s="8">
        <v>2504</v>
      </c>
      <c r="B81" s="16">
        <v>44073</v>
      </c>
      <c r="C81" s="8">
        <v>30012823</v>
      </c>
      <c r="D81" s="8" t="s">
        <v>28</v>
      </c>
      <c r="E81" s="8" t="s">
        <v>129</v>
      </c>
      <c r="F81" s="8" t="s">
        <v>507</v>
      </c>
      <c r="G81" s="8">
        <v>15018341</v>
      </c>
      <c r="H81" s="8">
        <v>802095066</v>
      </c>
      <c r="I81" s="8" t="s">
        <v>77</v>
      </c>
      <c r="J81" s="8" t="s">
        <v>32</v>
      </c>
      <c r="K81" s="8" t="s">
        <v>908</v>
      </c>
      <c r="L81" s="8" t="s">
        <v>572</v>
      </c>
      <c r="M81" s="8" t="s">
        <v>1738</v>
      </c>
      <c r="N81" s="8" t="s">
        <v>1742</v>
      </c>
      <c r="O81" s="8">
        <v>511.29</v>
      </c>
      <c r="P81" s="8" t="s">
        <v>48</v>
      </c>
      <c r="Q81" s="8" t="s">
        <v>405</v>
      </c>
      <c r="R81" s="8" t="s">
        <v>406</v>
      </c>
      <c r="S81" s="8">
        <v>19</v>
      </c>
      <c r="T81" s="8" t="s">
        <v>362</v>
      </c>
      <c r="U81" s="8" t="s">
        <v>934</v>
      </c>
      <c r="V81" s="8" t="s">
        <v>155</v>
      </c>
      <c r="W81" s="8" t="s">
        <v>938</v>
      </c>
      <c r="X81" s="8"/>
      <c r="Y81" s="8">
        <v>494</v>
      </c>
      <c r="Z81" s="8"/>
      <c r="AA81" s="8" t="s">
        <v>39</v>
      </c>
      <c r="AB81" s="8">
        <v>31</v>
      </c>
      <c r="AC81" s="21" t="str">
        <f t="shared" si="18"/>
        <v>08/08/2020</v>
      </c>
      <c r="AD81" s="21" t="str">
        <f t="shared" si="19"/>
        <v>19/08/2020</v>
      </c>
      <c r="AE81" s="8"/>
      <c r="AF81" s="8"/>
      <c r="AG81" s="8"/>
    </row>
    <row r="82" spans="1:33" x14ac:dyDescent="0.2">
      <c r="A82" s="8">
        <v>2501</v>
      </c>
      <c r="B82" s="16">
        <v>44048</v>
      </c>
      <c r="C82" s="8">
        <v>30012772</v>
      </c>
      <c r="D82" s="8" t="s">
        <v>137</v>
      </c>
      <c r="E82" s="8" t="s">
        <v>156</v>
      </c>
      <c r="F82" s="8" t="s">
        <v>157</v>
      </c>
      <c r="G82" s="8">
        <v>15018368</v>
      </c>
      <c r="H82" s="8">
        <v>802095011</v>
      </c>
      <c r="I82" s="8" t="s">
        <v>158</v>
      </c>
      <c r="J82" s="8" t="s">
        <v>58</v>
      </c>
      <c r="K82" s="8" t="s">
        <v>908</v>
      </c>
      <c r="L82" s="8" t="s">
        <v>572</v>
      </c>
      <c r="M82" s="8" t="s">
        <v>1722</v>
      </c>
      <c r="N82" s="8" t="s">
        <v>1741</v>
      </c>
      <c r="O82" s="8">
        <v>102.52</v>
      </c>
      <c r="P82" s="8" t="s">
        <v>33</v>
      </c>
      <c r="Q82" s="8" t="s">
        <v>159</v>
      </c>
      <c r="R82" s="8" t="s">
        <v>160</v>
      </c>
      <c r="S82" s="8">
        <v>4</v>
      </c>
      <c r="T82" s="8" t="s">
        <v>72</v>
      </c>
      <c r="U82" s="8" t="s">
        <v>290</v>
      </c>
      <c r="V82" s="8" t="s">
        <v>1699</v>
      </c>
      <c r="W82" s="8" t="s">
        <v>909</v>
      </c>
      <c r="X82" s="8"/>
      <c r="Y82" s="8">
        <v>44</v>
      </c>
      <c r="Z82" s="8"/>
      <c r="AA82" s="8" t="s">
        <v>39</v>
      </c>
      <c r="AB82" s="8">
        <v>31</v>
      </c>
      <c r="AC82" s="23" t="s">
        <v>1722</v>
      </c>
      <c r="AD82" s="23" t="s">
        <v>1741</v>
      </c>
      <c r="AE82" s="8">
        <v>0</v>
      </c>
      <c r="AF82" s="8">
        <v>0</v>
      </c>
      <c r="AG82" s="8"/>
    </row>
    <row r="83" spans="1:33" x14ac:dyDescent="0.2">
      <c r="A83" s="8">
        <v>2501</v>
      </c>
      <c r="B83" s="16">
        <v>44048</v>
      </c>
      <c r="C83" s="8">
        <v>30012772</v>
      </c>
      <c r="D83" s="8" t="s">
        <v>137</v>
      </c>
      <c r="E83" s="8" t="s">
        <v>156</v>
      </c>
      <c r="F83" s="8" t="s">
        <v>157</v>
      </c>
      <c r="G83" s="8">
        <v>15018369</v>
      </c>
      <c r="H83" s="8">
        <v>802095012</v>
      </c>
      <c r="I83" s="8" t="s">
        <v>161</v>
      </c>
      <c r="J83" s="8" t="s">
        <v>58</v>
      </c>
      <c r="K83" s="8" t="s">
        <v>908</v>
      </c>
      <c r="L83" s="8" t="s">
        <v>572</v>
      </c>
      <c r="M83" s="8" t="s">
        <v>1722</v>
      </c>
      <c r="N83" s="8" t="s">
        <v>1741</v>
      </c>
      <c r="O83" s="8">
        <v>102.48</v>
      </c>
      <c r="P83" s="8" t="s">
        <v>33</v>
      </c>
      <c r="Q83" s="8" t="s">
        <v>159</v>
      </c>
      <c r="R83" s="8" t="s">
        <v>160</v>
      </c>
      <c r="S83" s="8">
        <v>4</v>
      </c>
      <c r="T83" s="8" t="s">
        <v>72</v>
      </c>
      <c r="U83" s="8" t="s">
        <v>290</v>
      </c>
      <c r="V83" s="8" t="s">
        <v>1699</v>
      </c>
      <c r="W83" s="8" t="s">
        <v>912</v>
      </c>
      <c r="X83" s="8"/>
      <c r="Y83" s="8">
        <v>40</v>
      </c>
      <c r="Z83" s="8"/>
      <c r="AA83" s="8" t="s">
        <v>39</v>
      </c>
      <c r="AB83" s="8">
        <v>31</v>
      </c>
      <c r="AC83" s="23" t="s">
        <v>1722</v>
      </c>
      <c r="AD83" s="23" t="s">
        <v>1741</v>
      </c>
      <c r="AE83" s="8">
        <v>0</v>
      </c>
      <c r="AF83" s="8">
        <v>0</v>
      </c>
      <c r="AG83" s="8"/>
    </row>
    <row r="84" spans="1:33" x14ac:dyDescent="0.2">
      <c r="A84" s="8">
        <v>2502</v>
      </c>
      <c r="B84" s="16">
        <v>44053</v>
      </c>
      <c r="C84" s="8">
        <v>30012791</v>
      </c>
      <c r="D84" s="8" t="s">
        <v>91</v>
      </c>
      <c r="E84" s="8" t="s">
        <v>214</v>
      </c>
      <c r="F84" s="8" t="s">
        <v>215</v>
      </c>
      <c r="G84" s="8">
        <v>15018188</v>
      </c>
      <c r="H84" s="8">
        <v>802094756</v>
      </c>
      <c r="I84" s="8" t="s">
        <v>216</v>
      </c>
      <c r="J84" s="8" t="s">
        <v>95</v>
      </c>
      <c r="K84" s="8" t="s">
        <v>920</v>
      </c>
      <c r="L84" s="8" t="s">
        <v>831</v>
      </c>
      <c r="M84" s="8" t="s">
        <v>1698</v>
      </c>
      <c r="N84" s="8" t="s">
        <v>1715</v>
      </c>
      <c r="O84" s="8">
        <v>158.42599999999999</v>
      </c>
      <c r="P84" s="8" t="s">
        <v>492</v>
      </c>
      <c r="Q84" s="8" t="s">
        <v>100</v>
      </c>
      <c r="R84" s="8" t="s">
        <v>101</v>
      </c>
      <c r="S84" s="8">
        <v>7</v>
      </c>
      <c r="T84" s="8" t="s">
        <v>87</v>
      </c>
      <c r="U84" s="8" t="s">
        <v>37</v>
      </c>
      <c r="V84" s="8" t="s">
        <v>155</v>
      </c>
      <c r="W84" s="8" t="s">
        <v>921</v>
      </c>
      <c r="X84" s="8"/>
      <c r="Y84" s="8">
        <v>140</v>
      </c>
      <c r="Z84" s="8"/>
      <c r="AA84" s="8" t="s">
        <v>39</v>
      </c>
      <c r="AB84" s="8">
        <v>31</v>
      </c>
      <c r="AC84" s="23">
        <v>44060</v>
      </c>
      <c r="AD84" s="23" t="str">
        <f>N84</f>
        <v>28/08/2020</v>
      </c>
      <c r="AE84" s="8">
        <v>0</v>
      </c>
      <c r="AF84" s="8">
        <v>0</v>
      </c>
      <c r="AG84" s="8" t="s">
        <v>1779</v>
      </c>
    </row>
    <row r="85" spans="1:33" x14ac:dyDescent="0.2">
      <c r="A85" s="8">
        <v>2504</v>
      </c>
      <c r="B85" s="16">
        <v>44017</v>
      </c>
      <c r="C85" s="8">
        <v>30012829</v>
      </c>
      <c r="D85" s="8" t="s">
        <v>44</v>
      </c>
      <c r="E85" s="8" t="s">
        <v>45</v>
      </c>
      <c r="F85" s="8" t="s">
        <v>46</v>
      </c>
      <c r="G85" s="8">
        <v>15018494</v>
      </c>
      <c r="H85" s="8">
        <v>802095180</v>
      </c>
      <c r="I85" s="8" t="s">
        <v>708</v>
      </c>
      <c r="J85" s="8" t="s">
        <v>47</v>
      </c>
      <c r="K85" s="8" t="s">
        <v>754</v>
      </c>
      <c r="L85" s="8" t="s">
        <v>755</v>
      </c>
      <c r="M85" s="8" t="s">
        <v>1738</v>
      </c>
      <c r="N85" s="8" t="s">
        <v>1735</v>
      </c>
      <c r="O85" s="8">
        <v>20.274999999999999</v>
      </c>
      <c r="P85" s="8" t="s">
        <v>48</v>
      </c>
      <c r="Q85" s="8" t="s">
        <v>49</v>
      </c>
      <c r="R85" s="8" t="s">
        <v>50</v>
      </c>
      <c r="S85" s="8">
        <v>1</v>
      </c>
      <c r="T85" s="8" t="s">
        <v>42</v>
      </c>
      <c r="U85" s="8" t="s">
        <v>37</v>
      </c>
      <c r="V85" s="8" t="s">
        <v>1699</v>
      </c>
      <c r="W85" s="8" t="s">
        <v>757</v>
      </c>
      <c r="X85" s="8"/>
      <c r="Y85" s="8">
        <v>2</v>
      </c>
      <c r="Z85" s="8" t="s">
        <v>53</v>
      </c>
      <c r="AA85" s="8" t="s">
        <v>39</v>
      </c>
      <c r="AB85" s="8">
        <v>31</v>
      </c>
      <c r="AC85" s="21" t="str">
        <f t="shared" ref="AC85:AC87" si="20">M85</f>
        <v>08/08/2020</v>
      </c>
      <c r="AD85" s="21" t="str">
        <f t="shared" ref="AD85:AD87" si="21">N85</f>
        <v>05/09/2020</v>
      </c>
      <c r="AE85" s="8"/>
      <c r="AF85" s="8"/>
      <c r="AG85" s="8"/>
    </row>
    <row r="86" spans="1:33" x14ac:dyDescent="0.2">
      <c r="A86" s="8">
        <v>2504</v>
      </c>
      <c r="B86" s="16">
        <v>44074</v>
      </c>
      <c r="C86" s="8">
        <v>30012813</v>
      </c>
      <c r="D86" s="8" t="s">
        <v>28</v>
      </c>
      <c r="E86" s="8" t="s">
        <v>253</v>
      </c>
      <c r="F86" s="8" t="s">
        <v>254</v>
      </c>
      <c r="G86" s="8">
        <v>15018199</v>
      </c>
      <c r="H86" s="8">
        <v>802094735</v>
      </c>
      <c r="I86" s="8" t="s">
        <v>255</v>
      </c>
      <c r="J86" s="8" t="s">
        <v>58</v>
      </c>
      <c r="K86" s="8" t="s">
        <v>489</v>
      </c>
      <c r="L86" s="8" t="s">
        <v>896</v>
      </c>
      <c r="M86" s="8" t="s">
        <v>1728</v>
      </c>
      <c r="N86" s="8" t="s">
        <v>1732</v>
      </c>
      <c r="O86" s="8">
        <v>92.53</v>
      </c>
      <c r="P86" s="8" t="s">
        <v>48</v>
      </c>
      <c r="Q86" s="8" t="s">
        <v>1705</v>
      </c>
      <c r="R86" s="8" t="s">
        <v>60</v>
      </c>
      <c r="S86" s="8">
        <v>4</v>
      </c>
      <c r="T86" s="8" t="s">
        <v>61</v>
      </c>
      <c r="U86" s="8" t="s">
        <v>37</v>
      </c>
      <c r="V86" s="8" t="s">
        <v>1706</v>
      </c>
      <c r="W86" s="8" t="s">
        <v>897</v>
      </c>
      <c r="X86" s="8"/>
      <c r="Y86" s="8">
        <v>40</v>
      </c>
      <c r="Z86" s="8" t="s">
        <v>898</v>
      </c>
      <c r="AA86" s="8" t="s">
        <v>175</v>
      </c>
      <c r="AB86" s="8">
        <v>31</v>
      </c>
      <c r="AC86" s="21" t="str">
        <f t="shared" si="20"/>
        <v>09/08/2020</v>
      </c>
      <c r="AD86" s="21" t="str">
        <f t="shared" si="21"/>
        <v>31/08/2020</v>
      </c>
      <c r="AE86" s="8"/>
      <c r="AF86" s="8"/>
      <c r="AG86" s="8"/>
    </row>
    <row r="87" spans="1:33" x14ac:dyDescent="0.2">
      <c r="A87" s="8">
        <v>2504</v>
      </c>
      <c r="B87" s="16">
        <v>44074</v>
      </c>
      <c r="C87" s="8">
        <v>30012813</v>
      </c>
      <c r="D87" s="8" t="s">
        <v>28</v>
      </c>
      <c r="E87" s="8" t="s">
        <v>253</v>
      </c>
      <c r="F87" s="8" t="s">
        <v>254</v>
      </c>
      <c r="G87" s="8">
        <v>15018200</v>
      </c>
      <c r="H87" s="8">
        <v>802094736</v>
      </c>
      <c r="I87" s="8" t="s">
        <v>256</v>
      </c>
      <c r="J87" s="8" t="s">
        <v>58</v>
      </c>
      <c r="K87" s="8" t="s">
        <v>489</v>
      </c>
      <c r="L87" s="8" t="s">
        <v>896</v>
      </c>
      <c r="M87" s="8" t="s">
        <v>1728</v>
      </c>
      <c r="N87" s="8" t="s">
        <v>1732</v>
      </c>
      <c r="O87" s="8">
        <v>76.364000000000004</v>
      </c>
      <c r="P87" s="8" t="s">
        <v>48</v>
      </c>
      <c r="Q87" s="8" t="s">
        <v>1705</v>
      </c>
      <c r="R87" s="8" t="s">
        <v>60</v>
      </c>
      <c r="S87" s="8">
        <v>3</v>
      </c>
      <c r="T87" s="8" t="s">
        <v>72</v>
      </c>
      <c r="U87" s="8" t="s">
        <v>37</v>
      </c>
      <c r="V87" s="8" t="s">
        <v>1706</v>
      </c>
      <c r="W87" s="8" t="s">
        <v>901</v>
      </c>
      <c r="X87" s="8"/>
      <c r="Y87" s="8">
        <v>24</v>
      </c>
      <c r="Z87" s="8" t="s">
        <v>898</v>
      </c>
      <c r="AA87" s="8" t="s">
        <v>175</v>
      </c>
      <c r="AB87" s="8">
        <v>31</v>
      </c>
      <c r="AC87" s="21" t="str">
        <f t="shared" si="20"/>
        <v>09/08/2020</v>
      </c>
      <c r="AD87" s="21" t="str">
        <f t="shared" si="21"/>
        <v>31/08/2020</v>
      </c>
      <c r="AE87" s="8"/>
      <c r="AF87" s="8"/>
      <c r="AG87" s="8"/>
    </row>
    <row r="88" spans="1:33" x14ac:dyDescent="0.2">
      <c r="A88" s="8">
        <v>2501</v>
      </c>
      <c r="B88" s="16">
        <v>44058</v>
      </c>
      <c r="C88" s="8">
        <v>30012769</v>
      </c>
      <c r="D88" s="8" t="s">
        <v>91</v>
      </c>
      <c r="E88" s="8" t="s">
        <v>217</v>
      </c>
      <c r="F88" s="8" t="s">
        <v>218</v>
      </c>
      <c r="G88" s="8">
        <v>15018173</v>
      </c>
      <c r="H88" s="8">
        <v>802094823</v>
      </c>
      <c r="I88" s="8" t="s">
        <v>63</v>
      </c>
      <c r="J88" s="8" t="s">
        <v>64</v>
      </c>
      <c r="K88" s="8" t="s">
        <v>739</v>
      </c>
      <c r="L88" s="8" t="s">
        <v>740</v>
      </c>
      <c r="M88" s="8" t="s">
        <v>1701</v>
      </c>
      <c r="N88" s="8" t="s">
        <v>1715</v>
      </c>
      <c r="O88" s="8">
        <v>414.12</v>
      </c>
      <c r="P88" s="8" t="s">
        <v>33</v>
      </c>
      <c r="Q88" s="8" t="s">
        <v>206</v>
      </c>
      <c r="R88" s="8" t="s">
        <v>268</v>
      </c>
      <c r="S88" s="8">
        <v>17</v>
      </c>
      <c r="T88" s="8" t="s">
        <v>36</v>
      </c>
      <c r="U88" s="8" t="s">
        <v>290</v>
      </c>
      <c r="V88" s="8" t="s">
        <v>65</v>
      </c>
      <c r="W88" s="8" t="s">
        <v>950</v>
      </c>
      <c r="X88" s="8"/>
      <c r="Y88" s="8">
        <v>408</v>
      </c>
      <c r="Z88" s="8"/>
      <c r="AA88" s="8" t="s">
        <v>39</v>
      </c>
      <c r="AB88" s="8">
        <v>31</v>
      </c>
      <c r="AC88" s="23">
        <v>44056</v>
      </c>
      <c r="AD88" s="23" t="s">
        <v>1715</v>
      </c>
      <c r="AE88" s="8">
        <v>0</v>
      </c>
      <c r="AF88" s="8">
        <v>0</v>
      </c>
      <c r="AG88" s="8"/>
    </row>
    <row r="89" spans="1:33" x14ac:dyDescent="0.2">
      <c r="A89" s="8">
        <v>2502</v>
      </c>
      <c r="B89" s="16">
        <v>44048</v>
      </c>
      <c r="C89" s="8">
        <v>30012790</v>
      </c>
      <c r="D89" s="8" t="s">
        <v>62</v>
      </c>
      <c r="E89" s="8" t="s">
        <v>378</v>
      </c>
      <c r="F89" s="8" t="s">
        <v>379</v>
      </c>
      <c r="G89" s="8">
        <v>15018371</v>
      </c>
      <c r="H89" s="8">
        <v>802094997</v>
      </c>
      <c r="I89" s="8" t="s">
        <v>380</v>
      </c>
      <c r="J89" s="8" t="s">
        <v>83</v>
      </c>
      <c r="K89" s="8" t="s">
        <v>495</v>
      </c>
      <c r="L89" s="8" t="s">
        <v>753</v>
      </c>
      <c r="M89" s="8" t="s">
        <v>1719</v>
      </c>
      <c r="N89" s="8" t="s">
        <v>1712</v>
      </c>
      <c r="O89" s="8">
        <v>96.004999999999995</v>
      </c>
      <c r="P89" s="8" t="s">
        <v>492</v>
      </c>
      <c r="Q89" s="8" t="s">
        <v>206</v>
      </c>
      <c r="R89" s="8" t="s">
        <v>381</v>
      </c>
      <c r="S89" s="8">
        <v>5</v>
      </c>
      <c r="T89" s="8" t="s">
        <v>87</v>
      </c>
      <c r="U89" s="8" t="s">
        <v>37</v>
      </c>
      <c r="V89" s="8" t="s">
        <v>155</v>
      </c>
      <c r="W89" s="8" t="s">
        <v>916</v>
      </c>
      <c r="X89" s="8"/>
      <c r="Y89" s="8">
        <v>100</v>
      </c>
      <c r="Z89" s="8"/>
      <c r="AA89" s="8" t="s">
        <v>39</v>
      </c>
      <c r="AB89" s="8">
        <v>31</v>
      </c>
      <c r="AC89" s="23">
        <v>44057</v>
      </c>
      <c r="AD89" s="23" t="s">
        <v>1712</v>
      </c>
      <c r="AE89" s="8">
        <v>0</v>
      </c>
      <c r="AF89" s="8">
        <v>0</v>
      </c>
      <c r="AG89" s="8"/>
    </row>
    <row r="90" spans="1:33" x14ac:dyDescent="0.2">
      <c r="A90" s="8">
        <v>2504</v>
      </c>
      <c r="B90" s="16">
        <v>44074</v>
      </c>
      <c r="C90" s="8">
        <v>30012813</v>
      </c>
      <c r="D90" s="8" t="s">
        <v>28</v>
      </c>
      <c r="E90" s="8" t="s">
        <v>253</v>
      </c>
      <c r="F90" s="8" t="s">
        <v>254</v>
      </c>
      <c r="G90" s="8">
        <v>15018201</v>
      </c>
      <c r="H90" s="8">
        <v>802094737</v>
      </c>
      <c r="I90" s="8" t="s">
        <v>396</v>
      </c>
      <c r="J90" s="8" t="s">
        <v>58</v>
      </c>
      <c r="K90" s="8" t="s">
        <v>489</v>
      </c>
      <c r="L90" s="8" t="s">
        <v>896</v>
      </c>
      <c r="M90" s="8" t="s">
        <v>1728</v>
      </c>
      <c r="N90" s="8" t="s">
        <v>1732</v>
      </c>
      <c r="O90" s="8">
        <v>44.436</v>
      </c>
      <c r="P90" s="8" t="s">
        <v>48</v>
      </c>
      <c r="Q90" s="8" t="s">
        <v>1705</v>
      </c>
      <c r="R90" s="8" t="s">
        <v>60</v>
      </c>
      <c r="S90" s="8">
        <v>2</v>
      </c>
      <c r="T90" s="8" t="s">
        <v>61</v>
      </c>
      <c r="U90" s="8" t="s">
        <v>756</v>
      </c>
      <c r="V90" s="8" t="s">
        <v>1706</v>
      </c>
      <c r="W90" s="8" t="s">
        <v>904</v>
      </c>
      <c r="X90" s="8"/>
      <c r="Y90" s="8">
        <v>14</v>
      </c>
      <c r="Z90" s="8" t="s">
        <v>898</v>
      </c>
      <c r="AA90" s="8" t="s">
        <v>175</v>
      </c>
      <c r="AB90" s="8">
        <v>31</v>
      </c>
      <c r="AC90" s="21" t="str">
        <f t="shared" ref="AC90:AC96" si="22">M90</f>
        <v>09/08/2020</v>
      </c>
      <c r="AD90" s="21" t="str">
        <f t="shared" ref="AD90:AD96" si="23">N90</f>
        <v>31/08/2020</v>
      </c>
      <c r="AE90" s="8"/>
      <c r="AF90" s="8"/>
      <c r="AG90" s="8"/>
    </row>
    <row r="91" spans="1:33" x14ac:dyDescent="0.2">
      <c r="A91" s="8">
        <v>2504</v>
      </c>
      <c r="B91" s="16">
        <v>44073</v>
      </c>
      <c r="C91" s="8">
        <v>30012806</v>
      </c>
      <c r="D91" s="8" t="s">
        <v>74</v>
      </c>
      <c r="E91" s="8" t="s">
        <v>75</v>
      </c>
      <c r="F91" s="8" t="s">
        <v>76</v>
      </c>
      <c r="G91" s="8">
        <v>15018248</v>
      </c>
      <c r="H91" s="8">
        <v>802095108</v>
      </c>
      <c r="I91" s="8" t="s">
        <v>77</v>
      </c>
      <c r="J91" s="8" t="s">
        <v>32</v>
      </c>
      <c r="K91" s="8" t="s">
        <v>959</v>
      </c>
      <c r="L91" s="8" t="s">
        <v>960</v>
      </c>
      <c r="M91" s="8" t="s">
        <v>1736</v>
      </c>
      <c r="N91" s="8" t="s">
        <v>1744</v>
      </c>
      <c r="O91" s="8">
        <v>299.654</v>
      </c>
      <c r="P91" s="8" t="s">
        <v>48</v>
      </c>
      <c r="Q91" s="8" t="s">
        <v>78</v>
      </c>
      <c r="R91" s="8" t="s">
        <v>79</v>
      </c>
      <c r="S91" s="8">
        <v>12</v>
      </c>
      <c r="T91" s="8" t="s">
        <v>36</v>
      </c>
      <c r="U91" s="8" t="s">
        <v>37</v>
      </c>
      <c r="V91" s="8" t="s">
        <v>1718</v>
      </c>
      <c r="W91" s="8" t="s">
        <v>961</v>
      </c>
      <c r="X91" s="8"/>
      <c r="Y91" s="8">
        <v>288</v>
      </c>
      <c r="Z91" s="8" t="s">
        <v>962</v>
      </c>
      <c r="AA91" s="8" t="s">
        <v>39</v>
      </c>
      <c r="AB91" s="8">
        <v>31</v>
      </c>
      <c r="AC91" s="21" t="str">
        <f t="shared" si="22"/>
        <v>10/08/2020</v>
      </c>
      <c r="AD91" s="21" t="str">
        <f t="shared" si="23"/>
        <v>11/10/2020</v>
      </c>
      <c r="AE91" s="8"/>
      <c r="AF91" s="8"/>
      <c r="AG91" s="8"/>
    </row>
    <row r="92" spans="1:33" x14ac:dyDescent="0.2">
      <c r="A92" s="8">
        <v>2504</v>
      </c>
      <c r="B92" s="16">
        <v>44073</v>
      </c>
      <c r="C92" s="8">
        <v>30012806</v>
      </c>
      <c r="D92" s="8" t="s">
        <v>74</v>
      </c>
      <c r="E92" s="8" t="s">
        <v>75</v>
      </c>
      <c r="F92" s="8" t="s">
        <v>76</v>
      </c>
      <c r="G92" s="8">
        <v>15018249</v>
      </c>
      <c r="H92" s="8">
        <v>802094753</v>
      </c>
      <c r="I92" s="8" t="s">
        <v>77</v>
      </c>
      <c r="J92" s="8" t="s">
        <v>32</v>
      </c>
      <c r="K92" s="8" t="s">
        <v>959</v>
      </c>
      <c r="L92" s="8" t="s">
        <v>960</v>
      </c>
      <c r="M92" s="8" t="s">
        <v>1736</v>
      </c>
      <c r="N92" s="8" t="s">
        <v>1744</v>
      </c>
      <c r="O92" s="8">
        <v>224.77199999999999</v>
      </c>
      <c r="P92" s="8" t="s">
        <v>48</v>
      </c>
      <c r="Q92" s="8" t="s">
        <v>78</v>
      </c>
      <c r="R92" s="8" t="s">
        <v>79</v>
      </c>
      <c r="S92" s="8">
        <v>9</v>
      </c>
      <c r="T92" s="8" t="s">
        <v>72</v>
      </c>
      <c r="U92" s="8" t="s">
        <v>37</v>
      </c>
      <c r="V92" s="8" t="s">
        <v>1718</v>
      </c>
      <c r="W92" s="8" t="s">
        <v>965</v>
      </c>
      <c r="X92" s="8"/>
      <c r="Y92" s="8">
        <v>216</v>
      </c>
      <c r="Z92" s="8" t="s">
        <v>653</v>
      </c>
      <c r="AA92" s="8" t="s">
        <v>39</v>
      </c>
      <c r="AB92" s="8">
        <v>31</v>
      </c>
      <c r="AC92" s="21" t="str">
        <f t="shared" si="22"/>
        <v>10/08/2020</v>
      </c>
      <c r="AD92" s="21" t="str">
        <f t="shared" si="23"/>
        <v>11/10/2020</v>
      </c>
      <c r="AE92" s="8"/>
      <c r="AF92" s="8"/>
      <c r="AG92" s="8"/>
    </row>
    <row r="93" spans="1:33" x14ac:dyDescent="0.2">
      <c r="A93" s="8">
        <v>2504</v>
      </c>
      <c r="B93" s="16">
        <v>44073</v>
      </c>
      <c r="C93" s="8">
        <v>30012806</v>
      </c>
      <c r="D93" s="8" t="s">
        <v>74</v>
      </c>
      <c r="E93" s="8" t="s">
        <v>75</v>
      </c>
      <c r="F93" s="8" t="s">
        <v>966</v>
      </c>
      <c r="G93" s="8">
        <v>15018454</v>
      </c>
      <c r="H93" s="8">
        <v>802095133</v>
      </c>
      <c r="I93" s="8" t="s">
        <v>77</v>
      </c>
      <c r="J93" s="8" t="s">
        <v>32</v>
      </c>
      <c r="K93" s="8" t="s">
        <v>959</v>
      </c>
      <c r="L93" s="8" t="s">
        <v>960</v>
      </c>
      <c r="M93" s="8" t="s">
        <v>1736</v>
      </c>
      <c r="N93" s="8" t="s">
        <v>1745</v>
      </c>
      <c r="O93" s="8">
        <v>499.76100000000002</v>
      </c>
      <c r="P93" s="8" t="s">
        <v>48</v>
      </c>
      <c r="Q93" s="8" t="s">
        <v>149</v>
      </c>
      <c r="R93" s="8" t="s">
        <v>150</v>
      </c>
      <c r="S93" s="8">
        <v>20</v>
      </c>
      <c r="T93" s="8" t="s">
        <v>72</v>
      </c>
      <c r="U93" s="8" t="s">
        <v>37</v>
      </c>
      <c r="V93" s="8" t="s">
        <v>1718</v>
      </c>
      <c r="W93" s="8" t="s">
        <v>969</v>
      </c>
      <c r="X93" s="8"/>
      <c r="Y93" s="8">
        <v>480</v>
      </c>
      <c r="Z93" s="8"/>
      <c r="AA93" s="8" t="s">
        <v>39</v>
      </c>
      <c r="AB93" s="8">
        <v>31</v>
      </c>
      <c r="AC93" s="21" t="str">
        <f t="shared" si="22"/>
        <v>10/08/2020</v>
      </c>
      <c r="AD93" s="21" t="str">
        <f t="shared" si="23"/>
        <v>06/10/2020</v>
      </c>
      <c r="AE93" s="8"/>
      <c r="AF93" s="8"/>
      <c r="AG93" s="8"/>
    </row>
    <row r="94" spans="1:33" x14ac:dyDescent="0.2">
      <c r="A94" s="8">
        <v>2504</v>
      </c>
      <c r="B94" s="16">
        <v>44055</v>
      </c>
      <c r="C94" s="8">
        <v>30012815</v>
      </c>
      <c r="D94" s="8" t="s">
        <v>62</v>
      </c>
      <c r="E94" s="8" t="s">
        <v>167</v>
      </c>
      <c r="F94" s="8" t="s">
        <v>168</v>
      </c>
      <c r="G94" s="8">
        <v>15018191</v>
      </c>
      <c r="H94" s="8">
        <v>802094729</v>
      </c>
      <c r="I94" s="8" t="s">
        <v>77</v>
      </c>
      <c r="J94" s="8" t="s">
        <v>32</v>
      </c>
      <c r="K94" s="8" t="s">
        <v>136</v>
      </c>
      <c r="L94" s="8" t="s">
        <v>973</v>
      </c>
      <c r="M94" s="8" t="s">
        <v>1736</v>
      </c>
      <c r="N94" s="8" t="s">
        <v>1734</v>
      </c>
      <c r="O94" s="8">
        <v>199.02699999999999</v>
      </c>
      <c r="P94" s="8" t="s">
        <v>48</v>
      </c>
      <c r="Q94" s="8" t="s">
        <v>498</v>
      </c>
      <c r="R94" s="8" t="s">
        <v>169</v>
      </c>
      <c r="S94" s="8">
        <v>8</v>
      </c>
      <c r="T94" s="8" t="s">
        <v>36</v>
      </c>
      <c r="U94" s="8" t="s">
        <v>37</v>
      </c>
      <c r="V94" s="8" t="s">
        <v>1706</v>
      </c>
      <c r="W94" s="8" t="s">
        <v>974</v>
      </c>
      <c r="X94" s="8"/>
      <c r="Y94" s="8">
        <v>192</v>
      </c>
      <c r="Z94" s="8" t="s">
        <v>799</v>
      </c>
      <c r="AA94" s="8" t="s">
        <v>39</v>
      </c>
      <c r="AB94" s="8">
        <v>31</v>
      </c>
      <c r="AC94" s="21" t="str">
        <f t="shared" si="22"/>
        <v>10/08/2020</v>
      </c>
      <c r="AD94" s="21" t="str">
        <f t="shared" si="23"/>
        <v>08/09/2020</v>
      </c>
      <c r="AE94" s="8"/>
      <c r="AF94" s="8"/>
      <c r="AG94" s="8"/>
    </row>
    <row r="95" spans="1:33" x14ac:dyDescent="0.2">
      <c r="A95" s="8">
        <v>2504</v>
      </c>
      <c r="B95" s="16">
        <v>44073</v>
      </c>
      <c r="C95" s="8">
        <v>30012815</v>
      </c>
      <c r="D95" s="8" t="s">
        <v>91</v>
      </c>
      <c r="E95" s="8" t="s">
        <v>164</v>
      </c>
      <c r="F95" s="8" t="s">
        <v>165</v>
      </c>
      <c r="G95" s="8">
        <v>15018194</v>
      </c>
      <c r="H95" s="8">
        <v>802094732</v>
      </c>
      <c r="I95" s="8" t="s">
        <v>77</v>
      </c>
      <c r="J95" s="8" t="s">
        <v>32</v>
      </c>
      <c r="K95" s="8" t="s">
        <v>136</v>
      </c>
      <c r="L95" s="8" t="s">
        <v>973</v>
      </c>
      <c r="M95" s="8" t="s">
        <v>1736</v>
      </c>
      <c r="N95" s="8" t="s">
        <v>1734</v>
      </c>
      <c r="O95" s="8">
        <v>291.26400000000001</v>
      </c>
      <c r="P95" s="8" t="s">
        <v>48</v>
      </c>
      <c r="Q95" s="8" t="s">
        <v>498</v>
      </c>
      <c r="R95" s="8" t="s">
        <v>169</v>
      </c>
      <c r="S95" s="8">
        <v>14</v>
      </c>
      <c r="T95" s="8" t="s">
        <v>42</v>
      </c>
      <c r="U95" s="8" t="s">
        <v>37</v>
      </c>
      <c r="V95" s="8" t="s">
        <v>1706</v>
      </c>
      <c r="W95" s="8" t="s">
        <v>977</v>
      </c>
      <c r="X95" s="8"/>
      <c r="Y95" s="8">
        <v>280</v>
      </c>
      <c r="Z95" s="8" t="s">
        <v>497</v>
      </c>
      <c r="AA95" s="8" t="s">
        <v>39</v>
      </c>
      <c r="AB95" s="8">
        <v>31</v>
      </c>
      <c r="AC95" s="21" t="str">
        <f t="shared" si="22"/>
        <v>10/08/2020</v>
      </c>
      <c r="AD95" s="21" t="str">
        <f t="shared" si="23"/>
        <v>08/09/2020</v>
      </c>
      <c r="AE95" s="8"/>
      <c r="AF95" s="8"/>
      <c r="AG95" s="8"/>
    </row>
    <row r="96" spans="1:33" x14ac:dyDescent="0.2">
      <c r="A96" s="8">
        <v>2504</v>
      </c>
      <c r="B96" s="16">
        <v>44055</v>
      </c>
      <c r="C96" s="8">
        <v>30012815</v>
      </c>
      <c r="D96" s="8" t="s">
        <v>62</v>
      </c>
      <c r="E96" s="8" t="s">
        <v>248</v>
      </c>
      <c r="F96" s="8" t="s">
        <v>249</v>
      </c>
      <c r="G96" s="8">
        <v>15018195</v>
      </c>
      <c r="H96" s="8">
        <v>802094733</v>
      </c>
      <c r="I96" s="8" t="s">
        <v>77</v>
      </c>
      <c r="J96" s="8" t="s">
        <v>32</v>
      </c>
      <c r="K96" s="8" t="s">
        <v>136</v>
      </c>
      <c r="L96" s="8" t="s">
        <v>973</v>
      </c>
      <c r="M96" s="8" t="s">
        <v>1736</v>
      </c>
      <c r="N96" s="8" t="s">
        <v>1734</v>
      </c>
      <c r="O96" s="8">
        <v>311.78100000000001</v>
      </c>
      <c r="P96" s="8" t="s">
        <v>48</v>
      </c>
      <c r="Q96" s="8" t="s">
        <v>498</v>
      </c>
      <c r="R96" s="8" t="s">
        <v>250</v>
      </c>
      <c r="S96" s="8">
        <v>15</v>
      </c>
      <c r="T96" s="8" t="s">
        <v>42</v>
      </c>
      <c r="U96" s="8" t="s">
        <v>37</v>
      </c>
      <c r="V96" s="8" t="s">
        <v>1706</v>
      </c>
      <c r="W96" s="8" t="s">
        <v>980</v>
      </c>
      <c r="X96" s="8"/>
      <c r="Y96" s="8">
        <v>300</v>
      </c>
      <c r="Z96" s="8" t="s">
        <v>981</v>
      </c>
      <c r="AA96" s="8" t="s">
        <v>39</v>
      </c>
      <c r="AB96" s="8">
        <v>31</v>
      </c>
      <c r="AC96" s="21" t="str">
        <f t="shared" si="22"/>
        <v>10/08/2020</v>
      </c>
      <c r="AD96" s="21" t="str">
        <f t="shared" si="23"/>
        <v>08/09/2020</v>
      </c>
      <c r="AE96" s="8"/>
      <c r="AF96" s="8"/>
      <c r="AG96" s="8"/>
    </row>
    <row r="97" spans="1:33" x14ac:dyDescent="0.2">
      <c r="A97" s="8">
        <v>2501</v>
      </c>
      <c r="B97" s="16">
        <v>44053</v>
      </c>
      <c r="C97" s="8">
        <v>30012774</v>
      </c>
      <c r="D97" s="8" t="s">
        <v>62</v>
      </c>
      <c r="E97" s="8" t="s">
        <v>217</v>
      </c>
      <c r="F97" s="8" t="s">
        <v>218</v>
      </c>
      <c r="G97" s="8">
        <v>15018218</v>
      </c>
      <c r="H97" s="8">
        <v>802094835</v>
      </c>
      <c r="I97" s="8" t="s">
        <v>31</v>
      </c>
      <c r="J97" s="8" t="s">
        <v>32</v>
      </c>
      <c r="K97" s="8" t="s">
        <v>388</v>
      </c>
      <c r="L97" s="8" t="s">
        <v>831</v>
      </c>
      <c r="M97" s="8" t="s">
        <v>1722</v>
      </c>
      <c r="N97" s="8" t="s">
        <v>1741</v>
      </c>
      <c r="O97" s="8">
        <v>487.68</v>
      </c>
      <c r="P97" s="8" t="s">
        <v>33</v>
      </c>
      <c r="Q97" s="8" t="s">
        <v>206</v>
      </c>
      <c r="R97" s="8" t="s">
        <v>35</v>
      </c>
      <c r="S97" s="8">
        <v>20</v>
      </c>
      <c r="T97" s="8" t="s">
        <v>36</v>
      </c>
      <c r="U97" s="8" t="s">
        <v>290</v>
      </c>
      <c r="V97" s="8" t="s">
        <v>1699</v>
      </c>
      <c r="W97" s="8" t="s">
        <v>985</v>
      </c>
      <c r="X97" s="8"/>
      <c r="Y97" s="8">
        <v>480</v>
      </c>
      <c r="Z97" s="8"/>
      <c r="AA97" s="8" t="s">
        <v>39</v>
      </c>
      <c r="AB97" s="8">
        <v>31</v>
      </c>
      <c r="AC97" s="23" t="s">
        <v>1722</v>
      </c>
      <c r="AD97" s="23" t="s">
        <v>1741</v>
      </c>
      <c r="AE97" s="8">
        <v>0</v>
      </c>
      <c r="AF97" s="8">
        <v>0</v>
      </c>
      <c r="AG97" s="8"/>
    </row>
    <row r="98" spans="1:33" x14ac:dyDescent="0.2">
      <c r="A98" s="8">
        <v>2503</v>
      </c>
      <c r="B98" s="16">
        <v>44058</v>
      </c>
      <c r="C98" s="8">
        <v>30012755</v>
      </c>
      <c r="D98" s="8" t="s">
        <v>54</v>
      </c>
      <c r="E98" s="8" t="s">
        <v>237</v>
      </c>
      <c r="F98" s="8" t="s">
        <v>238</v>
      </c>
      <c r="G98" s="8">
        <v>15018171</v>
      </c>
      <c r="H98" s="8">
        <v>802094713</v>
      </c>
      <c r="I98" s="8" t="s">
        <v>239</v>
      </c>
      <c r="J98" s="8" t="s">
        <v>223</v>
      </c>
      <c r="K98" s="8" t="s">
        <v>488</v>
      </c>
      <c r="L98" s="8" t="s">
        <v>1037</v>
      </c>
      <c r="M98" s="8" t="s">
        <v>1704</v>
      </c>
      <c r="N98" s="8" t="s">
        <v>1747</v>
      </c>
      <c r="O98" s="8">
        <v>107.009</v>
      </c>
      <c r="P98" s="8" t="s">
        <v>224</v>
      </c>
      <c r="Q98" s="8" t="s">
        <v>153</v>
      </c>
      <c r="R98" s="8" t="s">
        <v>154</v>
      </c>
      <c r="S98" s="8">
        <v>4</v>
      </c>
      <c r="T98" s="8" t="s">
        <v>87</v>
      </c>
      <c r="U98" s="8" t="s">
        <v>37</v>
      </c>
      <c r="V98" s="8" t="s">
        <v>88</v>
      </c>
      <c r="W98" s="8" t="s">
        <v>1038</v>
      </c>
      <c r="X98" s="8"/>
      <c r="Y98" s="8">
        <v>104</v>
      </c>
      <c r="Z98" s="8"/>
      <c r="AA98" s="8" t="s">
        <v>39</v>
      </c>
      <c r="AB98" s="8">
        <v>31</v>
      </c>
      <c r="AC98" s="23" t="s">
        <v>1704</v>
      </c>
      <c r="AD98" s="23" t="s">
        <v>1747</v>
      </c>
      <c r="AE98" s="8">
        <v>0</v>
      </c>
      <c r="AF98" s="8">
        <v>0</v>
      </c>
      <c r="AG98" s="8"/>
    </row>
    <row r="99" spans="1:33" x14ac:dyDescent="0.2">
      <c r="A99" s="8">
        <v>2503</v>
      </c>
      <c r="B99" s="16">
        <v>44073</v>
      </c>
      <c r="C99" s="8">
        <v>30012755</v>
      </c>
      <c r="D99" s="8" t="s">
        <v>28</v>
      </c>
      <c r="E99" s="8" t="s">
        <v>110</v>
      </c>
      <c r="F99" s="8" t="s">
        <v>111</v>
      </c>
      <c r="G99" s="8">
        <v>15018246</v>
      </c>
      <c r="H99" s="8">
        <v>802094782</v>
      </c>
      <c r="I99" s="8" t="s">
        <v>31</v>
      </c>
      <c r="J99" s="8" t="s">
        <v>32</v>
      </c>
      <c r="K99" s="8" t="s">
        <v>488</v>
      </c>
      <c r="L99" s="8" t="s">
        <v>1037</v>
      </c>
      <c r="M99" s="8" t="s">
        <v>1704</v>
      </c>
      <c r="N99" s="8" t="s">
        <v>1748</v>
      </c>
      <c r="O99" s="8">
        <v>489.25</v>
      </c>
      <c r="P99" s="8" t="s">
        <v>224</v>
      </c>
      <c r="Q99" s="8" t="s">
        <v>206</v>
      </c>
      <c r="R99" s="8" t="s">
        <v>35</v>
      </c>
      <c r="S99" s="8">
        <v>25</v>
      </c>
      <c r="T99" s="8" t="s">
        <v>87</v>
      </c>
      <c r="U99" s="8" t="s">
        <v>290</v>
      </c>
      <c r="V99" s="8" t="s">
        <v>88</v>
      </c>
      <c r="W99" s="8" t="s">
        <v>1041</v>
      </c>
      <c r="X99" s="8"/>
      <c r="Y99" s="8">
        <v>475</v>
      </c>
      <c r="Z99" s="8" t="s">
        <v>946</v>
      </c>
      <c r="AA99" s="8" t="s">
        <v>39</v>
      </c>
      <c r="AB99" s="8">
        <v>31</v>
      </c>
      <c r="AC99" s="23" t="s">
        <v>1704</v>
      </c>
      <c r="AD99" s="23" t="s">
        <v>1748</v>
      </c>
      <c r="AE99" s="8">
        <v>0</v>
      </c>
      <c r="AF99" s="8">
        <v>0</v>
      </c>
      <c r="AG99" s="8"/>
    </row>
    <row r="100" spans="1:33" x14ac:dyDescent="0.2">
      <c r="A100" s="8">
        <v>2503</v>
      </c>
      <c r="B100" s="16">
        <v>44073</v>
      </c>
      <c r="C100" s="8">
        <v>30012755</v>
      </c>
      <c r="D100" s="8" t="s">
        <v>28</v>
      </c>
      <c r="E100" s="8" t="s">
        <v>110</v>
      </c>
      <c r="F100" s="8" t="s">
        <v>111</v>
      </c>
      <c r="G100" s="8">
        <v>15018247</v>
      </c>
      <c r="H100" s="8">
        <v>802094783</v>
      </c>
      <c r="I100" s="8" t="s">
        <v>31</v>
      </c>
      <c r="J100" s="8" t="s">
        <v>32</v>
      </c>
      <c r="K100" s="8" t="s">
        <v>488</v>
      </c>
      <c r="L100" s="8" t="s">
        <v>1037</v>
      </c>
      <c r="M100" s="8" t="s">
        <v>1704</v>
      </c>
      <c r="N100" s="8" t="s">
        <v>1748</v>
      </c>
      <c r="O100" s="8">
        <v>489.25</v>
      </c>
      <c r="P100" s="8" t="s">
        <v>224</v>
      </c>
      <c r="Q100" s="8" t="s">
        <v>206</v>
      </c>
      <c r="R100" s="8" t="s">
        <v>35</v>
      </c>
      <c r="S100" s="8">
        <v>25</v>
      </c>
      <c r="T100" s="8" t="s">
        <v>87</v>
      </c>
      <c r="U100" s="8" t="s">
        <v>290</v>
      </c>
      <c r="V100" s="8" t="s">
        <v>88</v>
      </c>
      <c r="W100" s="8" t="s">
        <v>1044</v>
      </c>
      <c r="X100" s="8"/>
      <c r="Y100" s="8">
        <v>475</v>
      </c>
      <c r="Z100" s="8" t="s">
        <v>946</v>
      </c>
      <c r="AA100" s="8" t="s">
        <v>39</v>
      </c>
      <c r="AB100" s="8">
        <v>31</v>
      </c>
      <c r="AC100" s="23" t="s">
        <v>1704</v>
      </c>
      <c r="AD100" s="23" t="s">
        <v>1748</v>
      </c>
      <c r="AE100" s="8">
        <v>0</v>
      </c>
      <c r="AF100" s="8">
        <v>0</v>
      </c>
      <c r="AG100" s="8"/>
    </row>
    <row r="101" spans="1:33" x14ac:dyDescent="0.2">
      <c r="A101" s="8">
        <v>2503</v>
      </c>
      <c r="B101" s="16">
        <v>44053</v>
      </c>
      <c r="C101" s="8">
        <v>30012755</v>
      </c>
      <c r="D101" s="8" t="s">
        <v>91</v>
      </c>
      <c r="E101" s="8" t="s">
        <v>242</v>
      </c>
      <c r="F101" s="8" t="s">
        <v>243</v>
      </c>
      <c r="G101" s="8">
        <v>15018500</v>
      </c>
      <c r="H101" s="8">
        <v>802095186</v>
      </c>
      <c r="I101" s="8" t="s">
        <v>535</v>
      </c>
      <c r="J101" s="8" t="s">
        <v>47</v>
      </c>
      <c r="K101" s="8" t="s">
        <v>488</v>
      </c>
      <c r="L101" s="8" t="s">
        <v>1037</v>
      </c>
      <c r="M101" s="8" t="s">
        <v>1704</v>
      </c>
      <c r="N101" s="8" t="s">
        <v>1747</v>
      </c>
      <c r="O101" s="8">
        <v>56</v>
      </c>
      <c r="P101" s="8" t="s">
        <v>224</v>
      </c>
      <c r="Q101" s="8" t="s">
        <v>100</v>
      </c>
      <c r="R101" s="8" t="s">
        <v>101</v>
      </c>
      <c r="S101" s="8">
        <v>3</v>
      </c>
      <c r="T101" s="8" t="s">
        <v>87</v>
      </c>
      <c r="U101" s="8" t="s">
        <v>290</v>
      </c>
      <c r="V101" s="8" t="s">
        <v>88</v>
      </c>
      <c r="W101" s="8" t="s">
        <v>1047</v>
      </c>
      <c r="X101" s="8"/>
      <c r="Y101" s="8"/>
      <c r="Z101" s="8"/>
      <c r="AA101" s="8" t="s">
        <v>39</v>
      </c>
      <c r="AB101" s="8">
        <v>31</v>
      </c>
      <c r="AC101" s="23" t="s">
        <v>1704</v>
      </c>
      <c r="AD101" s="23" t="s">
        <v>1747</v>
      </c>
      <c r="AE101" s="8">
        <v>0</v>
      </c>
      <c r="AF101" s="8">
        <v>0</v>
      </c>
      <c r="AG101" s="8"/>
    </row>
    <row r="102" spans="1:33" x14ac:dyDescent="0.2">
      <c r="A102" s="8">
        <v>2501</v>
      </c>
      <c r="B102" s="16">
        <v>44048</v>
      </c>
      <c r="C102" s="8">
        <v>30012762</v>
      </c>
      <c r="D102" s="8" t="s">
        <v>62</v>
      </c>
      <c r="E102" s="8" t="s">
        <v>324</v>
      </c>
      <c r="F102" s="8" t="s">
        <v>325</v>
      </c>
      <c r="G102" s="8">
        <v>15018211</v>
      </c>
      <c r="H102" s="8">
        <v>802094829</v>
      </c>
      <c r="I102" s="8" t="s">
        <v>112</v>
      </c>
      <c r="J102" s="8" t="s">
        <v>32</v>
      </c>
      <c r="K102" s="8" t="s">
        <v>1051</v>
      </c>
      <c r="L102" s="8" t="s">
        <v>113</v>
      </c>
      <c r="M102" s="8" t="s">
        <v>1704</v>
      </c>
      <c r="N102" s="8" t="s">
        <v>1729</v>
      </c>
      <c r="O102" s="8">
        <v>500</v>
      </c>
      <c r="P102" s="8" t="s">
        <v>114</v>
      </c>
      <c r="Q102" s="8" t="s">
        <v>115</v>
      </c>
      <c r="R102" s="8" t="s">
        <v>116</v>
      </c>
      <c r="S102" s="8">
        <v>0</v>
      </c>
      <c r="T102" s="8" t="s">
        <v>117</v>
      </c>
      <c r="U102" s="8" t="s">
        <v>290</v>
      </c>
      <c r="V102" s="8" t="s">
        <v>118</v>
      </c>
      <c r="W102" s="8"/>
      <c r="X102" s="8"/>
      <c r="Y102" s="8">
        <v>493</v>
      </c>
      <c r="Z102" s="8"/>
      <c r="AA102" s="8" t="s">
        <v>39</v>
      </c>
      <c r="AB102" s="8">
        <v>32</v>
      </c>
      <c r="AC102" s="23" t="str">
        <f t="shared" ref="AC102:AC115" si="24">M102</f>
        <v>12/08/2020</v>
      </c>
      <c r="AD102" s="23" t="str">
        <f t="shared" ref="AD102:AD115" si="25">N102</f>
        <v>04/09/2020</v>
      </c>
      <c r="AE102" s="8">
        <v>0</v>
      </c>
      <c r="AF102" s="8"/>
      <c r="AG102" s="8"/>
    </row>
    <row r="103" spans="1:33" x14ac:dyDescent="0.2">
      <c r="A103" s="8">
        <v>2501</v>
      </c>
      <c r="B103" s="16">
        <v>44048</v>
      </c>
      <c r="C103" s="8">
        <v>30012762</v>
      </c>
      <c r="D103" s="8" t="s">
        <v>62</v>
      </c>
      <c r="E103" s="8" t="s">
        <v>324</v>
      </c>
      <c r="F103" s="8" t="s">
        <v>325</v>
      </c>
      <c r="G103" s="8">
        <v>15018212</v>
      </c>
      <c r="H103" s="8">
        <v>802094830</v>
      </c>
      <c r="I103" s="8" t="s">
        <v>112</v>
      </c>
      <c r="J103" s="8" t="s">
        <v>32</v>
      </c>
      <c r="K103" s="8" t="s">
        <v>1051</v>
      </c>
      <c r="L103" s="8" t="s">
        <v>113</v>
      </c>
      <c r="M103" s="8" t="s">
        <v>1704</v>
      </c>
      <c r="N103" s="8" t="s">
        <v>1729</v>
      </c>
      <c r="O103" s="8">
        <v>500</v>
      </c>
      <c r="P103" s="8" t="s">
        <v>114</v>
      </c>
      <c r="Q103" s="8" t="s">
        <v>115</v>
      </c>
      <c r="R103" s="8" t="s">
        <v>116</v>
      </c>
      <c r="S103" s="8">
        <v>0</v>
      </c>
      <c r="T103" s="8" t="s">
        <v>117</v>
      </c>
      <c r="U103" s="8" t="s">
        <v>290</v>
      </c>
      <c r="V103" s="8" t="s">
        <v>118</v>
      </c>
      <c r="W103" s="8"/>
      <c r="X103" s="8"/>
      <c r="Y103" s="8">
        <v>493</v>
      </c>
      <c r="Z103" s="8"/>
      <c r="AA103" s="8" t="s">
        <v>39</v>
      </c>
      <c r="AB103" s="8">
        <v>32</v>
      </c>
      <c r="AC103" s="23" t="str">
        <f t="shared" si="24"/>
        <v>12/08/2020</v>
      </c>
      <c r="AD103" s="23" t="str">
        <f t="shared" si="25"/>
        <v>04/09/2020</v>
      </c>
      <c r="AE103" s="8">
        <v>0</v>
      </c>
      <c r="AF103" s="8"/>
      <c r="AG103" s="8"/>
    </row>
    <row r="104" spans="1:33" x14ac:dyDescent="0.2">
      <c r="A104" s="8">
        <v>2501</v>
      </c>
      <c r="B104" s="16">
        <v>44058</v>
      </c>
      <c r="C104" s="8">
        <v>30012762</v>
      </c>
      <c r="D104" s="8" t="s">
        <v>102</v>
      </c>
      <c r="E104" s="8" t="s">
        <v>662</v>
      </c>
      <c r="F104" s="8" t="s">
        <v>663</v>
      </c>
      <c r="G104" s="8">
        <v>15018258</v>
      </c>
      <c r="H104" s="8">
        <v>802094841</v>
      </c>
      <c r="I104" s="8" t="s">
        <v>112</v>
      </c>
      <c r="J104" s="8" t="s">
        <v>32</v>
      </c>
      <c r="K104" s="8" t="s">
        <v>1051</v>
      </c>
      <c r="L104" s="8" t="s">
        <v>113</v>
      </c>
      <c r="M104" s="8" t="s">
        <v>1704</v>
      </c>
      <c r="N104" s="8" t="s">
        <v>1749</v>
      </c>
      <c r="O104" s="8">
        <v>400</v>
      </c>
      <c r="P104" s="8" t="s">
        <v>114</v>
      </c>
      <c r="Q104" s="8" t="s">
        <v>131</v>
      </c>
      <c r="R104" s="8" t="s">
        <v>132</v>
      </c>
      <c r="S104" s="8">
        <v>0</v>
      </c>
      <c r="T104" s="8" t="s">
        <v>117</v>
      </c>
      <c r="U104" s="8" t="s">
        <v>290</v>
      </c>
      <c r="V104" s="8" t="s">
        <v>118</v>
      </c>
      <c r="W104" s="8"/>
      <c r="X104" s="8"/>
      <c r="Y104" s="8">
        <v>395</v>
      </c>
      <c r="Z104" s="8"/>
      <c r="AA104" s="8" t="s">
        <v>39</v>
      </c>
      <c r="AB104" s="8">
        <v>32</v>
      </c>
      <c r="AC104" s="23" t="str">
        <f t="shared" si="24"/>
        <v>12/08/2020</v>
      </c>
      <c r="AD104" s="23" t="str">
        <f t="shared" si="25"/>
        <v>15/09/2020</v>
      </c>
      <c r="AE104" s="8">
        <v>0</v>
      </c>
      <c r="AF104" s="8"/>
      <c r="AG104" s="8"/>
    </row>
    <row r="105" spans="1:33" x14ac:dyDescent="0.2">
      <c r="A105" s="8">
        <v>2501</v>
      </c>
      <c r="B105" s="16">
        <v>44058</v>
      </c>
      <c r="C105" s="8">
        <v>30012762</v>
      </c>
      <c r="D105" s="8" t="s">
        <v>102</v>
      </c>
      <c r="E105" s="8" t="s">
        <v>123</v>
      </c>
      <c r="F105" s="8" t="s">
        <v>124</v>
      </c>
      <c r="G105" s="8">
        <v>15018314</v>
      </c>
      <c r="H105" s="8">
        <v>802094874</v>
      </c>
      <c r="I105" s="8" t="s">
        <v>125</v>
      </c>
      <c r="J105" s="8" t="s">
        <v>58</v>
      </c>
      <c r="K105" s="8" t="s">
        <v>1051</v>
      </c>
      <c r="L105" s="8" t="s">
        <v>113</v>
      </c>
      <c r="M105" s="8" t="s">
        <v>1704</v>
      </c>
      <c r="N105" s="8" t="s">
        <v>1748</v>
      </c>
      <c r="O105" s="8">
        <v>45</v>
      </c>
      <c r="P105" s="8" t="s">
        <v>114</v>
      </c>
      <c r="Q105" s="8" t="s">
        <v>85</v>
      </c>
      <c r="R105" s="8" t="s">
        <v>86</v>
      </c>
      <c r="S105" s="8">
        <v>0</v>
      </c>
      <c r="T105" s="8" t="s">
        <v>117</v>
      </c>
      <c r="U105" s="8" t="s">
        <v>290</v>
      </c>
      <c r="V105" s="8" t="s">
        <v>118</v>
      </c>
      <c r="W105" s="8"/>
      <c r="X105" s="8"/>
      <c r="Y105" s="8">
        <v>22</v>
      </c>
      <c r="Z105" s="8"/>
      <c r="AA105" s="8" t="s">
        <v>39</v>
      </c>
      <c r="AB105" s="8">
        <v>32</v>
      </c>
      <c r="AC105" s="23" t="str">
        <f t="shared" si="24"/>
        <v>12/08/2020</v>
      </c>
      <c r="AD105" s="23" t="str">
        <f t="shared" si="25"/>
        <v>12/09/2020</v>
      </c>
      <c r="AE105" s="8">
        <v>0</v>
      </c>
      <c r="AF105" s="8"/>
      <c r="AG105" s="8"/>
    </row>
    <row r="106" spans="1:33" x14ac:dyDescent="0.2">
      <c r="A106" s="8">
        <v>2501</v>
      </c>
      <c r="B106" s="16">
        <v>44058</v>
      </c>
      <c r="C106" s="8">
        <v>30012762</v>
      </c>
      <c r="D106" s="8" t="s">
        <v>102</v>
      </c>
      <c r="E106" s="8" t="s">
        <v>123</v>
      </c>
      <c r="F106" s="8" t="s">
        <v>124</v>
      </c>
      <c r="G106" s="8">
        <v>15018315</v>
      </c>
      <c r="H106" s="8">
        <v>802094875</v>
      </c>
      <c r="I106" s="8" t="s">
        <v>126</v>
      </c>
      <c r="J106" s="8" t="s">
        <v>58</v>
      </c>
      <c r="K106" s="8" t="s">
        <v>1051</v>
      </c>
      <c r="L106" s="8" t="s">
        <v>113</v>
      </c>
      <c r="M106" s="8" t="s">
        <v>1704</v>
      </c>
      <c r="N106" s="8" t="s">
        <v>1748</v>
      </c>
      <c r="O106" s="8">
        <v>15</v>
      </c>
      <c r="P106" s="8" t="s">
        <v>114</v>
      </c>
      <c r="Q106" s="8" t="s">
        <v>85</v>
      </c>
      <c r="R106" s="8" t="s">
        <v>86</v>
      </c>
      <c r="S106" s="8">
        <v>0</v>
      </c>
      <c r="T106" s="8" t="s">
        <v>117</v>
      </c>
      <c r="U106" s="8" t="s">
        <v>290</v>
      </c>
      <c r="V106" s="8" t="s">
        <v>118</v>
      </c>
      <c r="W106" s="8"/>
      <c r="X106" s="8"/>
      <c r="Y106" s="8">
        <v>13</v>
      </c>
      <c r="Z106" s="8"/>
      <c r="AA106" s="8" t="s">
        <v>39</v>
      </c>
      <c r="AB106" s="8">
        <v>32</v>
      </c>
      <c r="AC106" s="23" t="str">
        <f t="shared" si="24"/>
        <v>12/08/2020</v>
      </c>
      <c r="AD106" s="23" t="str">
        <f t="shared" si="25"/>
        <v>12/09/2020</v>
      </c>
      <c r="AE106" s="8">
        <v>0</v>
      </c>
      <c r="AF106" s="8"/>
      <c r="AG106" s="8"/>
    </row>
    <row r="107" spans="1:33" x14ac:dyDescent="0.2">
      <c r="A107" s="8">
        <v>2501</v>
      </c>
      <c r="B107" s="16">
        <v>44058</v>
      </c>
      <c r="C107" s="8">
        <v>30012762</v>
      </c>
      <c r="D107" s="8" t="s">
        <v>102</v>
      </c>
      <c r="E107" s="8" t="s">
        <v>127</v>
      </c>
      <c r="F107" s="8" t="s">
        <v>124</v>
      </c>
      <c r="G107" s="8">
        <v>15018316</v>
      </c>
      <c r="H107" s="8">
        <v>802094876</v>
      </c>
      <c r="I107" s="8" t="s">
        <v>125</v>
      </c>
      <c r="J107" s="8" t="s">
        <v>58</v>
      </c>
      <c r="K107" s="8" t="s">
        <v>1051</v>
      </c>
      <c r="L107" s="8" t="s">
        <v>113</v>
      </c>
      <c r="M107" s="8" t="s">
        <v>1704</v>
      </c>
      <c r="N107" s="8" t="s">
        <v>1748</v>
      </c>
      <c r="O107" s="8">
        <v>60</v>
      </c>
      <c r="P107" s="8" t="s">
        <v>114</v>
      </c>
      <c r="Q107" s="8" t="s">
        <v>85</v>
      </c>
      <c r="R107" s="8" t="s">
        <v>86</v>
      </c>
      <c r="S107" s="8">
        <v>0</v>
      </c>
      <c r="T107" s="8" t="s">
        <v>117</v>
      </c>
      <c r="U107" s="8" t="s">
        <v>290</v>
      </c>
      <c r="V107" s="8" t="s">
        <v>118</v>
      </c>
      <c r="W107" s="8"/>
      <c r="X107" s="8"/>
      <c r="Y107" s="8">
        <v>29</v>
      </c>
      <c r="Z107" s="8"/>
      <c r="AA107" s="8" t="s">
        <v>39</v>
      </c>
      <c r="AB107" s="8">
        <v>32</v>
      </c>
      <c r="AC107" s="23" t="str">
        <f t="shared" si="24"/>
        <v>12/08/2020</v>
      </c>
      <c r="AD107" s="23" t="str">
        <f t="shared" si="25"/>
        <v>12/09/2020</v>
      </c>
      <c r="AE107" s="8">
        <v>0</v>
      </c>
      <c r="AF107" s="8"/>
      <c r="AG107" s="8"/>
    </row>
    <row r="108" spans="1:33" x14ac:dyDescent="0.2">
      <c r="A108" s="8">
        <v>2501</v>
      </c>
      <c r="B108" s="16">
        <v>44058</v>
      </c>
      <c r="C108" s="8">
        <v>30012762</v>
      </c>
      <c r="D108" s="8" t="s">
        <v>102</v>
      </c>
      <c r="E108" s="8" t="s">
        <v>128</v>
      </c>
      <c r="F108" s="8" t="s">
        <v>124</v>
      </c>
      <c r="G108" s="8">
        <v>15018317</v>
      </c>
      <c r="H108" s="8">
        <v>802094877</v>
      </c>
      <c r="I108" s="8" t="s">
        <v>125</v>
      </c>
      <c r="J108" s="8" t="s">
        <v>58</v>
      </c>
      <c r="K108" s="8" t="s">
        <v>1051</v>
      </c>
      <c r="L108" s="8" t="s">
        <v>113</v>
      </c>
      <c r="M108" s="8" t="s">
        <v>1704</v>
      </c>
      <c r="N108" s="8" t="s">
        <v>1748</v>
      </c>
      <c r="O108" s="8">
        <v>20</v>
      </c>
      <c r="P108" s="8" t="s">
        <v>114</v>
      </c>
      <c r="Q108" s="8" t="s">
        <v>85</v>
      </c>
      <c r="R108" s="8" t="s">
        <v>86</v>
      </c>
      <c r="S108" s="8">
        <v>0</v>
      </c>
      <c r="T108" s="8" t="s">
        <v>117</v>
      </c>
      <c r="U108" s="8" t="s">
        <v>290</v>
      </c>
      <c r="V108" s="8" t="s">
        <v>118</v>
      </c>
      <c r="W108" s="8"/>
      <c r="X108" s="8"/>
      <c r="Y108" s="8">
        <v>10</v>
      </c>
      <c r="Z108" s="8"/>
      <c r="AA108" s="8" t="s">
        <v>39</v>
      </c>
      <c r="AB108" s="8">
        <v>32</v>
      </c>
      <c r="AC108" s="23" t="str">
        <f t="shared" si="24"/>
        <v>12/08/2020</v>
      </c>
      <c r="AD108" s="23" t="str">
        <f t="shared" si="25"/>
        <v>12/09/2020</v>
      </c>
      <c r="AE108" s="8">
        <v>0</v>
      </c>
      <c r="AF108" s="8"/>
      <c r="AG108" s="8"/>
    </row>
    <row r="109" spans="1:33" x14ac:dyDescent="0.2">
      <c r="A109" s="8">
        <v>2501</v>
      </c>
      <c r="B109" s="16">
        <v>44058</v>
      </c>
      <c r="C109" s="8">
        <v>30012762</v>
      </c>
      <c r="D109" s="8" t="s">
        <v>102</v>
      </c>
      <c r="E109" s="8" t="s">
        <v>322</v>
      </c>
      <c r="F109" s="8" t="s">
        <v>331</v>
      </c>
      <c r="G109" s="8">
        <v>15018330</v>
      </c>
      <c r="H109" s="8">
        <v>802094895</v>
      </c>
      <c r="I109" s="8" t="s">
        <v>112</v>
      </c>
      <c r="J109" s="8" t="s">
        <v>32</v>
      </c>
      <c r="K109" s="8" t="s">
        <v>1051</v>
      </c>
      <c r="L109" s="8" t="s">
        <v>113</v>
      </c>
      <c r="M109" s="8" t="s">
        <v>1704</v>
      </c>
      <c r="N109" s="8" t="s">
        <v>1749</v>
      </c>
      <c r="O109" s="8">
        <v>50</v>
      </c>
      <c r="P109" s="8" t="s">
        <v>114</v>
      </c>
      <c r="Q109" s="8" t="s">
        <v>131</v>
      </c>
      <c r="R109" s="8" t="s">
        <v>132</v>
      </c>
      <c r="S109" s="8">
        <v>0</v>
      </c>
      <c r="T109" s="8" t="s">
        <v>117</v>
      </c>
      <c r="U109" s="8" t="s">
        <v>290</v>
      </c>
      <c r="V109" s="8" t="s">
        <v>118</v>
      </c>
      <c r="W109" s="8"/>
      <c r="X109" s="8"/>
      <c r="Y109" s="8">
        <v>50</v>
      </c>
      <c r="Z109" s="8"/>
      <c r="AA109" s="8" t="s">
        <v>39</v>
      </c>
      <c r="AB109" s="8">
        <v>32</v>
      </c>
      <c r="AC109" s="23" t="str">
        <f t="shared" si="24"/>
        <v>12/08/2020</v>
      </c>
      <c r="AD109" s="23" t="str">
        <f t="shared" si="25"/>
        <v>15/09/2020</v>
      </c>
      <c r="AE109" s="8">
        <v>0</v>
      </c>
      <c r="AF109" s="8"/>
      <c r="AG109" s="8"/>
    </row>
    <row r="110" spans="1:33" x14ac:dyDescent="0.2">
      <c r="A110" s="8">
        <v>2501</v>
      </c>
      <c r="B110" s="16">
        <v>44058</v>
      </c>
      <c r="C110" s="8">
        <v>30012762</v>
      </c>
      <c r="D110" s="8" t="s">
        <v>102</v>
      </c>
      <c r="E110" s="8" t="s">
        <v>322</v>
      </c>
      <c r="F110" s="8" t="s">
        <v>687</v>
      </c>
      <c r="G110" s="8">
        <v>15018332</v>
      </c>
      <c r="H110" s="8">
        <v>802094897</v>
      </c>
      <c r="I110" s="8" t="s">
        <v>112</v>
      </c>
      <c r="J110" s="8" t="s">
        <v>32</v>
      </c>
      <c r="K110" s="8" t="s">
        <v>1051</v>
      </c>
      <c r="L110" s="8" t="s">
        <v>113</v>
      </c>
      <c r="M110" s="8" t="s">
        <v>1704</v>
      </c>
      <c r="N110" s="8" t="s">
        <v>1749</v>
      </c>
      <c r="O110" s="8">
        <v>200</v>
      </c>
      <c r="P110" s="8" t="s">
        <v>114</v>
      </c>
      <c r="Q110" s="8" t="s">
        <v>131</v>
      </c>
      <c r="R110" s="8" t="s">
        <v>132</v>
      </c>
      <c r="S110" s="8">
        <v>0</v>
      </c>
      <c r="T110" s="8" t="s">
        <v>117</v>
      </c>
      <c r="U110" s="8" t="s">
        <v>290</v>
      </c>
      <c r="V110" s="8" t="s">
        <v>118</v>
      </c>
      <c r="W110" s="8"/>
      <c r="X110" s="8"/>
      <c r="Y110" s="8">
        <v>197</v>
      </c>
      <c r="Z110" s="8"/>
      <c r="AA110" s="8" t="s">
        <v>39</v>
      </c>
      <c r="AB110" s="8">
        <v>32</v>
      </c>
      <c r="AC110" s="23" t="str">
        <f t="shared" si="24"/>
        <v>12/08/2020</v>
      </c>
      <c r="AD110" s="23" t="str">
        <f t="shared" si="25"/>
        <v>15/09/2020</v>
      </c>
      <c r="AE110" s="8">
        <v>0</v>
      </c>
      <c r="AF110" s="8"/>
      <c r="AG110" s="8"/>
    </row>
    <row r="111" spans="1:33" x14ac:dyDescent="0.2">
      <c r="A111" s="8">
        <v>2501</v>
      </c>
      <c r="B111" s="16">
        <v>44073</v>
      </c>
      <c r="C111" s="8">
        <v>30012762</v>
      </c>
      <c r="D111" s="8" t="s">
        <v>28</v>
      </c>
      <c r="E111" s="8" t="s">
        <v>29</v>
      </c>
      <c r="F111" s="8" t="s">
        <v>41</v>
      </c>
      <c r="G111" s="8">
        <v>15018334</v>
      </c>
      <c r="H111" s="8">
        <v>802094899</v>
      </c>
      <c r="I111" s="8" t="s">
        <v>112</v>
      </c>
      <c r="J111" s="8" t="s">
        <v>32</v>
      </c>
      <c r="K111" s="8" t="s">
        <v>1051</v>
      </c>
      <c r="L111" s="8" t="s">
        <v>113</v>
      </c>
      <c r="M111" s="8" t="s">
        <v>1704</v>
      </c>
      <c r="N111" s="8" t="s">
        <v>1729</v>
      </c>
      <c r="O111" s="8">
        <v>500</v>
      </c>
      <c r="P111" s="8" t="s">
        <v>114</v>
      </c>
      <c r="Q111" s="8" t="s">
        <v>115</v>
      </c>
      <c r="R111" s="8" t="s">
        <v>116</v>
      </c>
      <c r="S111" s="8">
        <v>0</v>
      </c>
      <c r="T111" s="8" t="s">
        <v>117</v>
      </c>
      <c r="U111" s="8" t="s">
        <v>290</v>
      </c>
      <c r="V111" s="8" t="s">
        <v>118</v>
      </c>
      <c r="W111" s="8"/>
      <c r="X111" s="8"/>
      <c r="Y111" s="8">
        <v>493</v>
      </c>
      <c r="Z111" s="8"/>
      <c r="AA111" s="8" t="s">
        <v>39</v>
      </c>
      <c r="AB111" s="8">
        <v>32</v>
      </c>
      <c r="AC111" s="23" t="str">
        <f t="shared" si="24"/>
        <v>12/08/2020</v>
      </c>
      <c r="AD111" s="23" t="str">
        <f t="shared" si="25"/>
        <v>04/09/2020</v>
      </c>
      <c r="AE111" s="8">
        <v>0</v>
      </c>
      <c r="AF111" s="8"/>
      <c r="AG111" s="8"/>
    </row>
    <row r="112" spans="1:33" x14ac:dyDescent="0.2">
      <c r="A112" s="8">
        <v>2501</v>
      </c>
      <c r="B112" s="16">
        <v>44073</v>
      </c>
      <c r="C112" s="8">
        <v>30012762</v>
      </c>
      <c r="D112" s="8" t="s">
        <v>28</v>
      </c>
      <c r="E112" s="8" t="s">
        <v>29</v>
      </c>
      <c r="F112" s="8" t="s">
        <v>41</v>
      </c>
      <c r="G112" s="8">
        <v>15018335</v>
      </c>
      <c r="H112" s="8">
        <v>802094900</v>
      </c>
      <c r="I112" s="8" t="s">
        <v>112</v>
      </c>
      <c r="J112" s="8" t="s">
        <v>32</v>
      </c>
      <c r="K112" s="8" t="s">
        <v>1051</v>
      </c>
      <c r="L112" s="8" t="s">
        <v>113</v>
      </c>
      <c r="M112" s="8" t="s">
        <v>1704</v>
      </c>
      <c r="N112" s="8" t="s">
        <v>1729</v>
      </c>
      <c r="O112" s="8">
        <v>500</v>
      </c>
      <c r="P112" s="8" t="s">
        <v>114</v>
      </c>
      <c r="Q112" s="8" t="s">
        <v>115</v>
      </c>
      <c r="R112" s="8" t="s">
        <v>116</v>
      </c>
      <c r="S112" s="8">
        <v>0</v>
      </c>
      <c r="T112" s="8" t="s">
        <v>117</v>
      </c>
      <c r="U112" s="8" t="s">
        <v>290</v>
      </c>
      <c r="V112" s="8" t="s">
        <v>118</v>
      </c>
      <c r="W112" s="8"/>
      <c r="X112" s="8"/>
      <c r="Y112" s="8">
        <v>493</v>
      </c>
      <c r="Z112" s="8"/>
      <c r="AA112" s="8" t="s">
        <v>39</v>
      </c>
      <c r="AB112" s="8">
        <v>32</v>
      </c>
      <c r="AC112" s="23" t="str">
        <f t="shared" si="24"/>
        <v>12/08/2020</v>
      </c>
      <c r="AD112" s="23" t="str">
        <f t="shared" si="25"/>
        <v>04/09/2020</v>
      </c>
      <c r="AE112" s="8">
        <v>0</v>
      </c>
      <c r="AF112" s="8"/>
      <c r="AG112" s="8"/>
    </row>
    <row r="113" spans="1:33" x14ac:dyDescent="0.2">
      <c r="A113" s="8">
        <v>2501</v>
      </c>
      <c r="B113" s="16">
        <v>44048</v>
      </c>
      <c r="C113" s="8">
        <v>30012762</v>
      </c>
      <c r="D113" s="8" t="s">
        <v>62</v>
      </c>
      <c r="E113" s="8" t="s">
        <v>119</v>
      </c>
      <c r="F113" s="8" t="s">
        <v>120</v>
      </c>
      <c r="G113" s="8">
        <v>15018370</v>
      </c>
      <c r="H113" s="8">
        <v>802095013</v>
      </c>
      <c r="I113" s="8" t="s">
        <v>121</v>
      </c>
      <c r="J113" s="8" t="s">
        <v>58</v>
      </c>
      <c r="K113" s="8" t="s">
        <v>1051</v>
      </c>
      <c r="L113" s="8" t="s">
        <v>113</v>
      </c>
      <c r="M113" s="8" t="s">
        <v>1704</v>
      </c>
      <c r="N113" s="8" t="s">
        <v>1729</v>
      </c>
      <c r="O113" s="8">
        <v>200</v>
      </c>
      <c r="P113" s="8" t="s">
        <v>114</v>
      </c>
      <c r="Q113" s="8" t="s">
        <v>115</v>
      </c>
      <c r="R113" s="8" t="s">
        <v>122</v>
      </c>
      <c r="S113" s="8">
        <v>0</v>
      </c>
      <c r="T113" s="8" t="s">
        <v>117</v>
      </c>
      <c r="U113" s="8" t="s">
        <v>290</v>
      </c>
      <c r="V113" s="8" t="s">
        <v>118</v>
      </c>
      <c r="W113" s="8"/>
      <c r="X113" s="8"/>
      <c r="Y113" s="8">
        <v>84</v>
      </c>
      <c r="Z113" s="8"/>
      <c r="AA113" s="8" t="s">
        <v>39</v>
      </c>
      <c r="AB113" s="8">
        <v>32</v>
      </c>
      <c r="AC113" s="23" t="str">
        <f t="shared" si="24"/>
        <v>12/08/2020</v>
      </c>
      <c r="AD113" s="23" t="str">
        <f t="shared" si="25"/>
        <v>04/09/2020</v>
      </c>
      <c r="AE113" s="8">
        <v>0</v>
      </c>
      <c r="AF113" s="8"/>
      <c r="AG113" s="8"/>
    </row>
    <row r="114" spans="1:33" x14ac:dyDescent="0.2">
      <c r="A114" s="8">
        <v>2501</v>
      </c>
      <c r="B114" s="16">
        <v>44073</v>
      </c>
      <c r="C114" s="8">
        <v>30012762</v>
      </c>
      <c r="D114" s="8" t="s">
        <v>28</v>
      </c>
      <c r="E114" s="8" t="s">
        <v>129</v>
      </c>
      <c r="F114" s="8" t="s">
        <v>346</v>
      </c>
      <c r="G114" s="8">
        <v>15018406</v>
      </c>
      <c r="H114" s="8">
        <v>802095023</v>
      </c>
      <c r="I114" s="8" t="s">
        <v>112</v>
      </c>
      <c r="J114" s="8" t="s">
        <v>32</v>
      </c>
      <c r="K114" s="8" t="s">
        <v>1051</v>
      </c>
      <c r="L114" s="8" t="s">
        <v>113</v>
      </c>
      <c r="M114" s="8" t="s">
        <v>1704</v>
      </c>
      <c r="N114" s="8" t="s">
        <v>1748</v>
      </c>
      <c r="O114" s="8">
        <v>500</v>
      </c>
      <c r="P114" s="8" t="s">
        <v>114</v>
      </c>
      <c r="Q114" s="8" t="s">
        <v>85</v>
      </c>
      <c r="R114" s="8" t="s">
        <v>86</v>
      </c>
      <c r="S114" s="8">
        <v>0</v>
      </c>
      <c r="T114" s="8" t="s">
        <v>117</v>
      </c>
      <c r="U114" s="8" t="s">
        <v>290</v>
      </c>
      <c r="V114" s="8" t="s">
        <v>118</v>
      </c>
      <c r="W114" s="8"/>
      <c r="X114" s="8"/>
      <c r="Y114" s="8">
        <v>493</v>
      </c>
      <c r="Z114" s="8"/>
      <c r="AA114" s="8" t="s">
        <v>39</v>
      </c>
      <c r="AB114" s="8">
        <v>32</v>
      </c>
      <c r="AC114" s="23" t="str">
        <f t="shared" si="24"/>
        <v>12/08/2020</v>
      </c>
      <c r="AD114" s="23" t="str">
        <f t="shared" si="25"/>
        <v>12/09/2020</v>
      </c>
      <c r="AE114" s="8">
        <v>0</v>
      </c>
      <c r="AF114" s="8"/>
      <c r="AG114" s="8"/>
    </row>
    <row r="115" spans="1:33" x14ac:dyDescent="0.2">
      <c r="A115" s="8">
        <v>2501</v>
      </c>
      <c r="B115" s="16">
        <v>44073</v>
      </c>
      <c r="C115" s="8">
        <v>30012762</v>
      </c>
      <c r="D115" s="8" t="s">
        <v>28</v>
      </c>
      <c r="E115" s="8" t="s">
        <v>129</v>
      </c>
      <c r="F115" s="8" t="s">
        <v>130</v>
      </c>
      <c r="G115" s="8">
        <v>15018422</v>
      </c>
      <c r="H115" s="8">
        <v>802095059</v>
      </c>
      <c r="I115" s="8" t="s">
        <v>112</v>
      </c>
      <c r="J115" s="8" t="s">
        <v>32</v>
      </c>
      <c r="K115" s="8" t="s">
        <v>1051</v>
      </c>
      <c r="L115" s="8" t="s">
        <v>113</v>
      </c>
      <c r="M115" s="8" t="s">
        <v>1704</v>
      </c>
      <c r="N115" s="8" t="s">
        <v>1749</v>
      </c>
      <c r="O115" s="8">
        <v>500</v>
      </c>
      <c r="P115" s="8" t="s">
        <v>114</v>
      </c>
      <c r="Q115" s="8" t="s">
        <v>131</v>
      </c>
      <c r="R115" s="8" t="s">
        <v>132</v>
      </c>
      <c r="S115" s="8">
        <v>0</v>
      </c>
      <c r="T115" s="8" t="s">
        <v>117</v>
      </c>
      <c r="U115" s="8" t="s">
        <v>290</v>
      </c>
      <c r="V115" s="8" t="s">
        <v>118</v>
      </c>
      <c r="W115" s="8"/>
      <c r="X115" s="8"/>
      <c r="Y115" s="8">
        <v>493</v>
      </c>
      <c r="Z115" s="8"/>
      <c r="AA115" s="8" t="s">
        <v>39</v>
      </c>
      <c r="AB115" s="8">
        <v>32</v>
      </c>
      <c r="AC115" s="23" t="str">
        <f t="shared" si="24"/>
        <v>12/08/2020</v>
      </c>
      <c r="AD115" s="23" t="str">
        <f t="shared" si="25"/>
        <v>15/09/2020</v>
      </c>
      <c r="AE115" s="8">
        <v>0</v>
      </c>
      <c r="AF115" s="8"/>
      <c r="AG115" s="8"/>
    </row>
    <row r="116" spans="1:33" x14ac:dyDescent="0.2">
      <c r="A116" s="8">
        <v>2502</v>
      </c>
      <c r="B116" s="16">
        <v>44068</v>
      </c>
      <c r="C116" s="8">
        <v>30012800</v>
      </c>
      <c r="D116" s="8" t="s">
        <v>28</v>
      </c>
      <c r="E116" s="8" t="s">
        <v>80</v>
      </c>
      <c r="F116" s="8" t="s">
        <v>81</v>
      </c>
      <c r="G116" s="8">
        <v>15018327</v>
      </c>
      <c r="H116" s="8">
        <v>802094892</v>
      </c>
      <c r="I116" s="8" t="s">
        <v>82</v>
      </c>
      <c r="J116" s="8" t="s">
        <v>83</v>
      </c>
      <c r="K116" s="8" t="s">
        <v>920</v>
      </c>
      <c r="L116" s="8" t="s">
        <v>831</v>
      </c>
      <c r="M116" s="8" t="s">
        <v>1698</v>
      </c>
      <c r="N116" s="8" t="s">
        <v>1734</v>
      </c>
      <c r="O116" s="8">
        <v>343.10300000000001</v>
      </c>
      <c r="P116" s="8" t="s">
        <v>492</v>
      </c>
      <c r="Q116" s="8" t="s">
        <v>85</v>
      </c>
      <c r="R116" s="8" t="s">
        <v>86</v>
      </c>
      <c r="S116" s="8">
        <v>14</v>
      </c>
      <c r="T116" s="8" t="s">
        <v>87</v>
      </c>
      <c r="U116" s="8" t="s">
        <v>37</v>
      </c>
      <c r="V116" s="8" t="s">
        <v>493</v>
      </c>
      <c r="W116" s="8" t="s">
        <v>925</v>
      </c>
      <c r="X116" s="8"/>
      <c r="Y116" s="8">
        <v>616</v>
      </c>
      <c r="Z116" s="8"/>
      <c r="AA116" s="8" t="s">
        <v>39</v>
      </c>
      <c r="AB116" s="8">
        <v>31</v>
      </c>
      <c r="AC116" s="23">
        <v>44060</v>
      </c>
      <c r="AD116" s="23" t="str">
        <f>N116</f>
        <v>08/09/2020</v>
      </c>
      <c r="AE116" s="8">
        <v>0</v>
      </c>
      <c r="AF116" s="8">
        <v>0</v>
      </c>
      <c r="AG116" s="8"/>
    </row>
    <row r="117" spans="1:33" x14ac:dyDescent="0.2">
      <c r="A117" s="8">
        <v>2502</v>
      </c>
      <c r="B117" s="16">
        <v>44053</v>
      </c>
      <c r="C117" s="8">
        <v>30012800</v>
      </c>
      <c r="D117" s="8" t="s">
        <v>102</v>
      </c>
      <c r="E117" s="8" t="s">
        <v>191</v>
      </c>
      <c r="F117" s="8" t="s">
        <v>192</v>
      </c>
      <c r="G117" s="8">
        <v>15018355</v>
      </c>
      <c r="H117" s="8">
        <v>802094915</v>
      </c>
      <c r="I117" s="8" t="s">
        <v>193</v>
      </c>
      <c r="J117" s="8" t="s">
        <v>83</v>
      </c>
      <c r="K117" s="8" t="s">
        <v>920</v>
      </c>
      <c r="L117" s="8" t="s">
        <v>831</v>
      </c>
      <c r="M117" s="8" t="s">
        <v>1698</v>
      </c>
      <c r="N117" s="8" t="s">
        <v>1734</v>
      </c>
      <c r="O117" s="8">
        <v>99.534000000000006</v>
      </c>
      <c r="P117" s="8" t="s">
        <v>492</v>
      </c>
      <c r="Q117" s="8" t="s">
        <v>85</v>
      </c>
      <c r="R117" s="8" t="s">
        <v>194</v>
      </c>
      <c r="S117" s="8">
        <v>4</v>
      </c>
      <c r="T117" s="8" t="s">
        <v>87</v>
      </c>
      <c r="U117" s="8" t="s">
        <v>37</v>
      </c>
      <c r="V117" s="8" t="s">
        <v>493</v>
      </c>
      <c r="W117" s="8" t="s">
        <v>929</v>
      </c>
      <c r="X117" s="8"/>
      <c r="Y117" s="8">
        <v>179</v>
      </c>
      <c r="Z117" s="8"/>
      <c r="AA117" s="8" t="s">
        <v>39</v>
      </c>
      <c r="AB117" s="8">
        <v>31</v>
      </c>
      <c r="AC117" s="23">
        <v>44060</v>
      </c>
      <c r="AD117" s="23" t="str">
        <f t="shared" ref="AD117" si="26">N117</f>
        <v>08/09/2020</v>
      </c>
      <c r="AE117" s="8">
        <v>0</v>
      </c>
      <c r="AF117" s="8">
        <v>0</v>
      </c>
      <c r="AG117" s="8"/>
    </row>
    <row r="118" spans="1:33" x14ac:dyDescent="0.2">
      <c r="A118" s="8">
        <v>2504</v>
      </c>
      <c r="B118" s="16">
        <v>44048</v>
      </c>
      <c r="C118" s="8">
        <v>30012815</v>
      </c>
      <c r="D118" s="8" t="s">
        <v>28</v>
      </c>
      <c r="E118" s="8" t="s">
        <v>110</v>
      </c>
      <c r="F118" s="8" t="s">
        <v>111</v>
      </c>
      <c r="G118" s="8">
        <v>15018207</v>
      </c>
      <c r="H118" s="8">
        <v>802094741</v>
      </c>
      <c r="I118" s="8" t="s">
        <v>77</v>
      </c>
      <c r="J118" s="8" t="s">
        <v>32</v>
      </c>
      <c r="K118" s="8" t="s">
        <v>136</v>
      </c>
      <c r="L118" s="8" t="s">
        <v>973</v>
      </c>
      <c r="M118" s="8" t="s">
        <v>1736</v>
      </c>
      <c r="N118" s="8" t="s">
        <v>1746</v>
      </c>
      <c r="O118" s="8">
        <v>494.31299999999999</v>
      </c>
      <c r="P118" s="8" t="s">
        <v>48</v>
      </c>
      <c r="Q118" s="8" t="s">
        <v>206</v>
      </c>
      <c r="R118" s="8" t="s">
        <v>35</v>
      </c>
      <c r="S118" s="8">
        <v>25</v>
      </c>
      <c r="T118" s="8" t="s">
        <v>140</v>
      </c>
      <c r="U118" s="8" t="s">
        <v>37</v>
      </c>
      <c r="V118" s="8" t="s">
        <v>1706</v>
      </c>
      <c r="W118" s="8" t="s">
        <v>945</v>
      </c>
      <c r="X118" s="8"/>
      <c r="Y118" s="8">
        <v>475</v>
      </c>
      <c r="Z118" s="8" t="s">
        <v>946</v>
      </c>
      <c r="AA118" s="8" t="s">
        <v>39</v>
      </c>
      <c r="AB118" s="8">
        <v>31</v>
      </c>
      <c r="AC118" s="21" t="str">
        <f t="shared" ref="AC118:AC119" si="27">M118</f>
        <v>10/08/2020</v>
      </c>
      <c r="AD118" s="21" t="str">
        <f t="shared" ref="AD118:AD119" si="28">N118</f>
        <v>10/09/2020</v>
      </c>
      <c r="AE118" s="8"/>
      <c r="AF118" s="8"/>
      <c r="AG118" s="8"/>
    </row>
    <row r="119" spans="1:33" x14ac:dyDescent="0.2">
      <c r="A119" s="8">
        <v>2504</v>
      </c>
      <c r="B119" s="16">
        <v>44053</v>
      </c>
      <c r="C119" s="8">
        <v>30012807</v>
      </c>
      <c r="D119" s="8" t="s">
        <v>62</v>
      </c>
      <c r="E119" s="8" t="s">
        <v>217</v>
      </c>
      <c r="F119" s="8" t="s">
        <v>218</v>
      </c>
      <c r="G119" s="8">
        <v>15018222</v>
      </c>
      <c r="H119" s="8">
        <v>802094743</v>
      </c>
      <c r="I119" s="8" t="s">
        <v>77</v>
      </c>
      <c r="J119" s="8" t="s">
        <v>32</v>
      </c>
      <c r="K119" s="8" t="s">
        <v>390</v>
      </c>
      <c r="L119" s="8" t="s">
        <v>954</v>
      </c>
      <c r="M119" s="8" t="s">
        <v>1704</v>
      </c>
      <c r="N119" s="8" t="s">
        <v>1734</v>
      </c>
      <c r="O119" s="8">
        <v>499.27699999999999</v>
      </c>
      <c r="P119" s="8" t="s">
        <v>48</v>
      </c>
      <c r="Q119" s="8" t="s">
        <v>206</v>
      </c>
      <c r="R119" s="8" t="s">
        <v>35</v>
      </c>
      <c r="S119" s="8">
        <v>20</v>
      </c>
      <c r="T119" s="8" t="s">
        <v>36</v>
      </c>
      <c r="U119" s="8" t="s">
        <v>37</v>
      </c>
      <c r="V119" s="8" t="s">
        <v>65</v>
      </c>
      <c r="W119" s="8" t="s">
        <v>955</v>
      </c>
      <c r="X119" s="8"/>
      <c r="Y119" s="8">
        <v>480</v>
      </c>
      <c r="Z119" s="8"/>
      <c r="AA119" s="8" t="s">
        <v>39</v>
      </c>
      <c r="AB119" s="8">
        <v>31</v>
      </c>
      <c r="AC119" s="21" t="str">
        <f t="shared" si="27"/>
        <v>12/08/2020</v>
      </c>
      <c r="AD119" s="21" t="str">
        <f t="shared" si="28"/>
        <v>08/09/2020</v>
      </c>
      <c r="AE119" s="8"/>
      <c r="AF119" s="8"/>
      <c r="AG119" s="8"/>
    </row>
    <row r="120" spans="1:33" x14ac:dyDescent="0.2">
      <c r="A120" s="8">
        <v>2502</v>
      </c>
      <c r="B120" s="16">
        <v>44073</v>
      </c>
      <c r="C120" s="8">
        <v>30012840</v>
      </c>
      <c r="D120" s="8" t="s">
        <v>102</v>
      </c>
      <c r="E120" s="8" t="s">
        <v>195</v>
      </c>
      <c r="F120" s="8" t="s">
        <v>196</v>
      </c>
      <c r="G120" s="8">
        <v>15018365</v>
      </c>
      <c r="H120" s="8">
        <v>802094925</v>
      </c>
      <c r="I120" s="8" t="s">
        <v>94</v>
      </c>
      <c r="J120" s="8" t="s">
        <v>95</v>
      </c>
      <c r="K120" s="8" t="s">
        <v>1087</v>
      </c>
      <c r="L120" s="8" t="s">
        <v>760</v>
      </c>
      <c r="M120" s="8" t="s">
        <v>1698</v>
      </c>
      <c r="N120" s="8" t="s">
        <v>1751</v>
      </c>
      <c r="O120" s="8">
        <v>95.608000000000004</v>
      </c>
      <c r="P120" s="8" t="s">
        <v>492</v>
      </c>
      <c r="Q120" s="8" t="s">
        <v>166</v>
      </c>
      <c r="R120" s="8" t="s">
        <v>1088</v>
      </c>
      <c r="S120" s="8">
        <v>4</v>
      </c>
      <c r="T120" s="8" t="s">
        <v>87</v>
      </c>
      <c r="U120" s="8" t="s">
        <v>290</v>
      </c>
      <c r="V120" s="8" t="s">
        <v>493</v>
      </c>
      <c r="W120" s="8" t="s">
        <v>1089</v>
      </c>
      <c r="X120" s="8"/>
      <c r="Y120" s="8">
        <v>68</v>
      </c>
      <c r="Z120" s="8" t="s">
        <v>1090</v>
      </c>
      <c r="AA120" s="8" t="s">
        <v>39</v>
      </c>
      <c r="AB120" s="8">
        <v>31</v>
      </c>
      <c r="AC120" s="23">
        <v>44060</v>
      </c>
      <c r="AD120" s="23" t="str">
        <f>N120</f>
        <v>07/09/2020</v>
      </c>
      <c r="AE120" s="8">
        <v>0</v>
      </c>
      <c r="AF120" s="8">
        <v>0</v>
      </c>
      <c r="AG120" s="8"/>
    </row>
    <row r="121" spans="1:33" x14ac:dyDescent="0.2">
      <c r="A121" s="8">
        <v>2502</v>
      </c>
      <c r="B121" s="16">
        <v>44073</v>
      </c>
      <c r="C121" s="8">
        <v>30012796</v>
      </c>
      <c r="D121" s="8" t="s">
        <v>54</v>
      </c>
      <c r="E121" s="8" t="s">
        <v>879</v>
      </c>
      <c r="F121" s="8" t="s">
        <v>880</v>
      </c>
      <c r="G121" s="8">
        <v>15018293</v>
      </c>
      <c r="H121" s="8">
        <v>802094854</v>
      </c>
      <c r="I121" s="8" t="s">
        <v>883</v>
      </c>
      <c r="J121" s="8" t="s">
        <v>83</v>
      </c>
      <c r="K121" s="8" t="s">
        <v>144</v>
      </c>
      <c r="L121" s="8" t="s">
        <v>1094</v>
      </c>
      <c r="M121" s="8" t="s">
        <v>1740</v>
      </c>
      <c r="N121" s="8" t="s">
        <v>1715</v>
      </c>
      <c r="O121" s="8">
        <v>184.32</v>
      </c>
      <c r="P121" s="8" t="s">
        <v>492</v>
      </c>
      <c r="Q121" s="8" t="s">
        <v>105</v>
      </c>
      <c r="R121" s="8" t="s">
        <v>106</v>
      </c>
      <c r="S121" s="8">
        <v>8</v>
      </c>
      <c r="T121" s="8" t="s">
        <v>87</v>
      </c>
      <c r="U121" s="8" t="s">
        <v>290</v>
      </c>
      <c r="V121" s="8" t="s">
        <v>1699</v>
      </c>
      <c r="W121" s="8" t="s">
        <v>1095</v>
      </c>
      <c r="X121" s="8"/>
      <c r="Y121" s="8">
        <v>192</v>
      </c>
      <c r="Z121" s="8" t="s">
        <v>1096</v>
      </c>
      <c r="AA121" s="8" t="s">
        <v>39</v>
      </c>
      <c r="AB121" s="8">
        <v>31</v>
      </c>
      <c r="AC121" s="23" t="s">
        <v>1740</v>
      </c>
      <c r="AD121" s="23" t="str">
        <f>N121</f>
        <v>28/08/2020</v>
      </c>
      <c r="AE121" s="8">
        <v>0</v>
      </c>
      <c r="AF121" s="8">
        <v>0</v>
      </c>
      <c r="AG121" s="8"/>
    </row>
    <row r="122" spans="1:33" x14ac:dyDescent="0.2">
      <c r="A122" s="8">
        <v>2502</v>
      </c>
      <c r="B122" s="16">
        <v>44073</v>
      </c>
      <c r="C122" s="8">
        <v>30012796</v>
      </c>
      <c r="D122" s="8" t="s">
        <v>91</v>
      </c>
      <c r="E122" s="8" t="s">
        <v>107</v>
      </c>
      <c r="F122" s="8" t="s">
        <v>537</v>
      </c>
      <c r="G122" s="8">
        <v>15018298</v>
      </c>
      <c r="H122" s="8">
        <v>802094859</v>
      </c>
      <c r="I122" s="8" t="s">
        <v>31</v>
      </c>
      <c r="J122" s="8" t="s">
        <v>32</v>
      </c>
      <c r="K122" s="8" t="s">
        <v>144</v>
      </c>
      <c r="L122" s="8" t="s">
        <v>1094</v>
      </c>
      <c r="M122" s="8" t="s">
        <v>1740</v>
      </c>
      <c r="N122" s="8" t="s">
        <v>1715</v>
      </c>
      <c r="O122" s="8">
        <v>247.94</v>
      </c>
      <c r="P122" s="8" t="s">
        <v>492</v>
      </c>
      <c r="Q122" s="8" t="s">
        <v>105</v>
      </c>
      <c r="R122" s="8" t="s">
        <v>106</v>
      </c>
      <c r="S122" s="8">
        <v>11</v>
      </c>
      <c r="T122" s="8" t="s">
        <v>87</v>
      </c>
      <c r="U122" s="8" t="s">
        <v>290</v>
      </c>
      <c r="V122" s="8" t="s">
        <v>1699</v>
      </c>
      <c r="W122" s="8" t="s">
        <v>1099</v>
      </c>
      <c r="X122" s="8"/>
      <c r="Y122" s="8">
        <v>253</v>
      </c>
      <c r="Z122" s="8" t="s">
        <v>713</v>
      </c>
      <c r="AA122" s="8" t="s">
        <v>109</v>
      </c>
      <c r="AB122" s="8">
        <v>31</v>
      </c>
      <c r="AC122" s="23" t="s">
        <v>1740</v>
      </c>
      <c r="AD122" s="23" t="str">
        <f>N122</f>
        <v>28/08/2020</v>
      </c>
      <c r="AE122" s="8">
        <v>0</v>
      </c>
      <c r="AF122" s="8">
        <v>0</v>
      </c>
      <c r="AG122" s="8"/>
    </row>
    <row r="123" spans="1:33" x14ac:dyDescent="0.2">
      <c r="A123" s="8">
        <v>2501</v>
      </c>
      <c r="B123" s="16">
        <v>44073</v>
      </c>
      <c r="C123" s="8">
        <v>30012764</v>
      </c>
      <c r="D123" s="8" t="s">
        <v>74</v>
      </c>
      <c r="E123" s="8" t="s">
        <v>75</v>
      </c>
      <c r="F123" s="8" t="s">
        <v>147</v>
      </c>
      <c r="G123" s="8">
        <v>15018250</v>
      </c>
      <c r="H123" s="8">
        <v>802094839</v>
      </c>
      <c r="I123" s="8" t="s">
        <v>148</v>
      </c>
      <c r="J123" s="8" t="s">
        <v>58</v>
      </c>
      <c r="K123" s="8" t="s">
        <v>1103</v>
      </c>
      <c r="L123" s="8" t="s">
        <v>1104</v>
      </c>
      <c r="M123" s="8" t="s">
        <v>1719</v>
      </c>
      <c r="N123" s="8" t="s">
        <v>1752</v>
      </c>
      <c r="O123" s="8">
        <v>69.093000000000004</v>
      </c>
      <c r="P123" s="8" t="s">
        <v>33</v>
      </c>
      <c r="Q123" s="8" t="s">
        <v>149</v>
      </c>
      <c r="R123" s="8" t="s">
        <v>150</v>
      </c>
      <c r="S123" s="8">
        <v>3</v>
      </c>
      <c r="T123" s="8" t="s">
        <v>61</v>
      </c>
      <c r="U123" s="8" t="s">
        <v>290</v>
      </c>
      <c r="V123" s="8" t="s">
        <v>1718</v>
      </c>
      <c r="W123" s="8" t="s">
        <v>1105</v>
      </c>
      <c r="X123" s="8"/>
      <c r="Y123" s="8">
        <v>27</v>
      </c>
      <c r="Z123" s="8"/>
      <c r="AA123" s="8" t="s">
        <v>39</v>
      </c>
      <c r="AB123" s="8">
        <v>31</v>
      </c>
      <c r="AC123" s="23" t="s">
        <v>1719</v>
      </c>
      <c r="AD123" s="23" t="s">
        <v>1752</v>
      </c>
      <c r="AE123" s="8">
        <v>0</v>
      </c>
      <c r="AF123" s="8">
        <v>0</v>
      </c>
      <c r="AG123" s="8"/>
    </row>
    <row r="124" spans="1:33" x14ac:dyDescent="0.2">
      <c r="A124" s="8">
        <v>2501</v>
      </c>
      <c r="B124" s="16">
        <v>44073</v>
      </c>
      <c r="C124" s="8">
        <v>30012764</v>
      </c>
      <c r="D124" s="8" t="s">
        <v>74</v>
      </c>
      <c r="E124" s="8" t="s">
        <v>75</v>
      </c>
      <c r="F124" s="8" t="s">
        <v>147</v>
      </c>
      <c r="G124" s="8">
        <v>15018251</v>
      </c>
      <c r="H124" s="8">
        <v>802094840</v>
      </c>
      <c r="I124" s="8" t="s">
        <v>151</v>
      </c>
      <c r="J124" s="8" t="s">
        <v>58</v>
      </c>
      <c r="K124" s="8" t="s">
        <v>1103</v>
      </c>
      <c r="L124" s="8" t="s">
        <v>1104</v>
      </c>
      <c r="M124" s="8" t="s">
        <v>1719</v>
      </c>
      <c r="N124" s="8" t="s">
        <v>1752</v>
      </c>
      <c r="O124" s="8">
        <v>69.066000000000003</v>
      </c>
      <c r="P124" s="8" t="s">
        <v>33</v>
      </c>
      <c r="Q124" s="8" t="s">
        <v>149</v>
      </c>
      <c r="R124" s="8" t="s">
        <v>150</v>
      </c>
      <c r="S124" s="8">
        <v>3</v>
      </c>
      <c r="T124" s="8" t="s">
        <v>61</v>
      </c>
      <c r="U124" s="8" t="s">
        <v>290</v>
      </c>
      <c r="V124" s="8" t="s">
        <v>1718</v>
      </c>
      <c r="W124" s="8" t="s">
        <v>1108</v>
      </c>
      <c r="X124" s="8"/>
      <c r="Y124" s="8">
        <v>27</v>
      </c>
      <c r="Z124" s="8"/>
      <c r="AA124" s="8" t="s">
        <v>39</v>
      </c>
      <c r="AB124" s="8">
        <v>31</v>
      </c>
      <c r="AC124" s="23" t="s">
        <v>1719</v>
      </c>
      <c r="AD124" s="23" t="s">
        <v>1752</v>
      </c>
      <c r="AE124" s="8">
        <v>0</v>
      </c>
      <c r="AF124" s="8">
        <v>0</v>
      </c>
      <c r="AG124" s="8"/>
    </row>
    <row r="125" spans="1:33" x14ac:dyDescent="0.2">
      <c r="A125" s="8">
        <v>2501</v>
      </c>
      <c r="B125" s="16">
        <v>44073</v>
      </c>
      <c r="C125" s="8">
        <v>30012779</v>
      </c>
      <c r="D125" s="8" t="s">
        <v>28</v>
      </c>
      <c r="E125" s="8" t="s">
        <v>29</v>
      </c>
      <c r="F125" s="8" t="s">
        <v>397</v>
      </c>
      <c r="G125" s="8">
        <v>15018345</v>
      </c>
      <c r="H125" s="8">
        <v>802094908</v>
      </c>
      <c r="I125" s="8" t="s">
        <v>31</v>
      </c>
      <c r="J125" s="8" t="s">
        <v>32</v>
      </c>
      <c r="K125" s="8" t="s">
        <v>404</v>
      </c>
      <c r="L125" s="8" t="s">
        <v>622</v>
      </c>
      <c r="M125" s="8" t="s">
        <v>1740</v>
      </c>
      <c r="N125" s="8" t="s">
        <v>1711</v>
      </c>
      <c r="O125" s="8">
        <v>501.904</v>
      </c>
      <c r="P125" s="8" t="s">
        <v>33</v>
      </c>
      <c r="Q125" s="8" t="s">
        <v>153</v>
      </c>
      <c r="R125" s="8" t="s">
        <v>154</v>
      </c>
      <c r="S125" s="8">
        <v>19</v>
      </c>
      <c r="T125" s="8" t="s">
        <v>362</v>
      </c>
      <c r="U125" s="8" t="s">
        <v>290</v>
      </c>
      <c r="V125" s="8" t="s">
        <v>155</v>
      </c>
      <c r="W125" s="8" t="s">
        <v>1112</v>
      </c>
      <c r="X125" s="8"/>
      <c r="Y125" s="8">
        <v>494</v>
      </c>
      <c r="Z125" s="8"/>
      <c r="AA125" s="8" t="s">
        <v>39</v>
      </c>
      <c r="AB125" s="8">
        <v>31</v>
      </c>
      <c r="AC125" s="23" t="s">
        <v>1740</v>
      </c>
      <c r="AD125" s="23" t="s">
        <v>1731</v>
      </c>
      <c r="AE125" s="8">
        <v>0</v>
      </c>
      <c r="AF125" s="8">
        <v>2</v>
      </c>
      <c r="AG125" s="8"/>
    </row>
    <row r="126" spans="1:33" x14ac:dyDescent="0.2">
      <c r="A126" s="8">
        <v>2502</v>
      </c>
      <c r="B126" s="16">
        <v>44048</v>
      </c>
      <c r="C126" s="8">
        <v>30012785</v>
      </c>
      <c r="D126" s="8" t="s">
        <v>44</v>
      </c>
      <c r="E126" s="8" t="s">
        <v>269</v>
      </c>
      <c r="F126" s="8" t="s">
        <v>270</v>
      </c>
      <c r="G126" s="8">
        <v>15018115</v>
      </c>
      <c r="H126" s="8">
        <v>802094754</v>
      </c>
      <c r="I126" s="8" t="s">
        <v>94</v>
      </c>
      <c r="J126" s="8" t="s">
        <v>95</v>
      </c>
      <c r="K126" s="8" t="s">
        <v>177</v>
      </c>
      <c r="L126" s="8" t="s">
        <v>989</v>
      </c>
      <c r="M126" s="8" t="s">
        <v>1714</v>
      </c>
      <c r="N126" s="8" t="s">
        <v>1709</v>
      </c>
      <c r="O126" s="8">
        <v>167.31399999999999</v>
      </c>
      <c r="P126" s="8" t="s">
        <v>84</v>
      </c>
      <c r="Q126" s="8" t="s">
        <v>271</v>
      </c>
      <c r="R126" s="8" t="s">
        <v>272</v>
      </c>
      <c r="S126" s="8">
        <v>7</v>
      </c>
      <c r="T126" s="8" t="s">
        <v>87</v>
      </c>
      <c r="U126" s="8" t="s">
        <v>290</v>
      </c>
      <c r="V126" s="8" t="s">
        <v>88</v>
      </c>
      <c r="W126" s="8" t="s">
        <v>990</v>
      </c>
      <c r="X126" s="8"/>
      <c r="Y126" s="8">
        <v>119</v>
      </c>
      <c r="Z126" s="8" t="s">
        <v>992</v>
      </c>
      <c r="AA126" s="8" t="s">
        <v>39</v>
      </c>
      <c r="AB126" s="8">
        <v>31</v>
      </c>
      <c r="AC126" s="23" t="s">
        <v>1714</v>
      </c>
      <c r="AD126" s="23" t="s">
        <v>1709</v>
      </c>
      <c r="AE126" s="8">
        <v>0</v>
      </c>
      <c r="AF126" s="8">
        <v>0</v>
      </c>
      <c r="AG126" s="8"/>
    </row>
    <row r="127" spans="1:33" x14ac:dyDescent="0.2">
      <c r="A127" s="8">
        <v>2502</v>
      </c>
      <c r="B127" s="16">
        <v>44073</v>
      </c>
      <c r="C127" s="8">
        <v>30012785</v>
      </c>
      <c r="D127" s="8" t="s">
        <v>91</v>
      </c>
      <c r="E127" s="8" t="s">
        <v>107</v>
      </c>
      <c r="F127" s="8" t="s">
        <v>537</v>
      </c>
      <c r="G127" s="8">
        <v>15018299</v>
      </c>
      <c r="H127" s="8">
        <v>802094860</v>
      </c>
      <c r="I127" s="8" t="s">
        <v>31</v>
      </c>
      <c r="J127" s="8" t="s">
        <v>32</v>
      </c>
      <c r="K127" s="8" t="s">
        <v>177</v>
      </c>
      <c r="L127" s="8" t="s">
        <v>989</v>
      </c>
      <c r="M127" s="8" t="s">
        <v>1714</v>
      </c>
      <c r="N127" s="8" t="s">
        <v>1717</v>
      </c>
      <c r="O127" s="8">
        <v>247.96199999999999</v>
      </c>
      <c r="P127" s="8" t="s">
        <v>84</v>
      </c>
      <c r="Q127" s="8" t="s">
        <v>105</v>
      </c>
      <c r="R127" s="8" t="s">
        <v>106</v>
      </c>
      <c r="S127" s="8">
        <v>11</v>
      </c>
      <c r="T127" s="8" t="s">
        <v>87</v>
      </c>
      <c r="U127" s="8" t="s">
        <v>37</v>
      </c>
      <c r="V127" s="8" t="s">
        <v>88</v>
      </c>
      <c r="W127" s="8" t="s">
        <v>995</v>
      </c>
      <c r="X127" s="8"/>
      <c r="Y127" s="8">
        <v>253</v>
      </c>
      <c r="Z127" s="8" t="s">
        <v>996</v>
      </c>
      <c r="AA127" s="8" t="s">
        <v>109</v>
      </c>
      <c r="AB127" s="8">
        <v>31</v>
      </c>
      <c r="AC127" s="23" t="s">
        <v>1714</v>
      </c>
      <c r="AD127" s="23" t="s">
        <v>1734</v>
      </c>
      <c r="AE127" s="8">
        <v>0</v>
      </c>
      <c r="AF127" s="8">
        <v>0</v>
      </c>
      <c r="AG127" s="8"/>
    </row>
    <row r="128" spans="1:33" x14ac:dyDescent="0.2">
      <c r="A128" s="8">
        <v>2502</v>
      </c>
      <c r="B128" s="16">
        <v>44073</v>
      </c>
      <c r="C128" s="8">
        <v>30012785</v>
      </c>
      <c r="D128" s="8" t="s">
        <v>28</v>
      </c>
      <c r="E128" s="8" t="s">
        <v>98</v>
      </c>
      <c r="F128" s="8" t="s">
        <v>205</v>
      </c>
      <c r="G128" s="8">
        <v>15018321</v>
      </c>
      <c r="H128" s="8">
        <v>802094879</v>
      </c>
      <c r="I128" s="8" t="s">
        <v>99</v>
      </c>
      <c r="J128" s="8" t="s">
        <v>32</v>
      </c>
      <c r="K128" s="8" t="s">
        <v>177</v>
      </c>
      <c r="L128" s="8" t="s">
        <v>989</v>
      </c>
      <c r="M128" s="8" t="s">
        <v>1714</v>
      </c>
      <c r="N128" s="8" t="s">
        <v>1753</v>
      </c>
      <c r="O128" s="8">
        <v>502.12799999999999</v>
      </c>
      <c r="P128" s="8" t="s">
        <v>84</v>
      </c>
      <c r="Q128" s="8" t="s">
        <v>206</v>
      </c>
      <c r="R128" s="8" t="s">
        <v>35</v>
      </c>
      <c r="S128" s="8">
        <v>22</v>
      </c>
      <c r="T128" s="8" t="s">
        <v>87</v>
      </c>
      <c r="U128" s="8" t="s">
        <v>290</v>
      </c>
      <c r="V128" s="8" t="s">
        <v>88</v>
      </c>
      <c r="W128" s="8" t="s">
        <v>999</v>
      </c>
      <c r="X128" s="8"/>
      <c r="Y128" s="8">
        <v>528</v>
      </c>
      <c r="Z128" s="8"/>
      <c r="AA128" s="8" t="s">
        <v>39</v>
      </c>
      <c r="AB128" s="8">
        <v>31</v>
      </c>
      <c r="AC128" s="23" t="s">
        <v>1714</v>
      </c>
      <c r="AD128" s="23" t="s">
        <v>1753</v>
      </c>
      <c r="AE128" s="8">
        <v>0</v>
      </c>
      <c r="AF128" s="8">
        <v>0</v>
      </c>
      <c r="AG128" s="8"/>
    </row>
    <row r="129" spans="1:33" x14ac:dyDescent="0.2">
      <c r="A129" s="8">
        <v>2502</v>
      </c>
      <c r="B129" s="16">
        <v>44073</v>
      </c>
      <c r="C129" s="8">
        <v>30012785</v>
      </c>
      <c r="D129" s="8" t="s">
        <v>54</v>
      </c>
      <c r="E129" s="8" t="s">
        <v>103</v>
      </c>
      <c r="F129" s="8" t="s">
        <v>104</v>
      </c>
      <c r="G129" s="8">
        <v>15018350</v>
      </c>
      <c r="H129" s="8">
        <v>802094911</v>
      </c>
      <c r="I129" s="8" t="s">
        <v>31</v>
      </c>
      <c r="J129" s="8" t="s">
        <v>32</v>
      </c>
      <c r="K129" s="8" t="s">
        <v>177</v>
      </c>
      <c r="L129" s="8" t="s">
        <v>989</v>
      </c>
      <c r="M129" s="8" t="s">
        <v>1714</v>
      </c>
      <c r="N129" s="8" t="s">
        <v>1717</v>
      </c>
      <c r="O129" s="8">
        <v>188.16</v>
      </c>
      <c r="P129" s="8" t="s">
        <v>84</v>
      </c>
      <c r="Q129" s="8" t="s">
        <v>105</v>
      </c>
      <c r="R129" s="8" t="s">
        <v>106</v>
      </c>
      <c r="S129" s="8">
        <v>8</v>
      </c>
      <c r="T129" s="8" t="s">
        <v>87</v>
      </c>
      <c r="U129" s="8" t="s">
        <v>290</v>
      </c>
      <c r="V129" s="8" t="s">
        <v>88</v>
      </c>
      <c r="W129" s="8" t="s">
        <v>1002</v>
      </c>
      <c r="X129" s="8"/>
      <c r="Y129" s="8">
        <v>192</v>
      </c>
      <c r="Z129" s="8" t="s">
        <v>996</v>
      </c>
      <c r="AA129" s="8" t="s">
        <v>39</v>
      </c>
      <c r="AB129" s="8">
        <v>31</v>
      </c>
      <c r="AC129" s="23" t="s">
        <v>1714</v>
      </c>
      <c r="AD129" s="23" t="s">
        <v>1734</v>
      </c>
      <c r="AE129" s="8">
        <v>0</v>
      </c>
      <c r="AF129" s="8">
        <v>0</v>
      </c>
      <c r="AG129" s="8"/>
    </row>
    <row r="130" spans="1:33" x14ac:dyDescent="0.2">
      <c r="A130" s="8">
        <v>2502</v>
      </c>
      <c r="B130" s="16">
        <v>44073</v>
      </c>
      <c r="C130" s="8">
        <v>30012785</v>
      </c>
      <c r="D130" s="8" t="s">
        <v>54</v>
      </c>
      <c r="E130" s="8" t="s">
        <v>103</v>
      </c>
      <c r="F130" s="8" t="s">
        <v>104</v>
      </c>
      <c r="G130" s="8">
        <v>15018351</v>
      </c>
      <c r="H130" s="8">
        <v>802094912</v>
      </c>
      <c r="I130" s="8" t="s">
        <v>31</v>
      </c>
      <c r="J130" s="8" t="s">
        <v>32</v>
      </c>
      <c r="K130" s="8" t="s">
        <v>177</v>
      </c>
      <c r="L130" s="8" t="s">
        <v>989</v>
      </c>
      <c r="M130" s="8" t="s">
        <v>1714</v>
      </c>
      <c r="N130" s="8" t="s">
        <v>1717</v>
      </c>
      <c r="O130" s="8">
        <v>211.245</v>
      </c>
      <c r="P130" s="8" t="s">
        <v>84</v>
      </c>
      <c r="Q130" s="8" t="s">
        <v>105</v>
      </c>
      <c r="R130" s="8" t="s">
        <v>106</v>
      </c>
      <c r="S130" s="8">
        <v>9</v>
      </c>
      <c r="T130" s="8" t="s">
        <v>87</v>
      </c>
      <c r="U130" s="8" t="s">
        <v>37</v>
      </c>
      <c r="V130" s="8" t="s">
        <v>88</v>
      </c>
      <c r="W130" s="8" t="s">
        <v>1005</v>
      </c>
      <c r="X130" s="8"/>
      <c r="Y130" s="8">
        <v>216</v>
      </c>
      <c r="Z130" s="8" t="s">
        <v>996</v>
      </c>
      <c r="AA130" s="8" t="s">
        <v>39</v>
      </c>
      <c r="AB130" s="8">
        <v>31</v>
      </c>
      <c r="AC130" s="23" t="s">
        <v>1714</v>
      </c>
      <c r="AD130" s="23" t="s">
        <v>1734</v>
      </c>
      <c r="AE130" s="8">
        <v>0</v>
      </c>
      <c r="AF130" s="8">
        <v>0</v>
      </c>
      <c r="AG130" s="8"/>
    </row>
    <row r="131" spans="1:33" x14ac:dyDescent="0.2">
      <c r="A131" s="8">
        <v>2502</v>
      </c>
      <c r="B131" s="16">
        <v>44048</v>
      </c>
      <c r="C131" s="8">
        <v>30012785</v>
      </c>
      <c r="D131" s="8" t="s">
        <v>152</v>
      </c>
      <c r="E131" s="8" t="s">
        <v>138</v>
      </c>
      <c r="F131" s="8" t="s">
        <v>265</v>
      </c>
      <c r="G131" s="8">
        <v>15018373</v>
      </c>
      <c r="H131" s="8">
        <v>802094999</v>
      </c>
      <c r="I131" s="8" t="s">
        <v>377</v>
      </c>
      <c r="J131" s="8" t="s">
        <v>47</v>
      </c>
      <c r="K131" s="8" t="s">
        <v>177</v>
      </c>
      <c r="L131" s="8" t="s">
        <v>989</v>
      </c>
      <c r="M131" s="8" t="s">
        <v>1714</v>
      </c>
      <c r="N131" s="8" t="s">
        <v>1753</v>
      </c>
      <c r="O131" s="8">
        <v>153</v>
      </c>
      <c r="P131" s="8" t="s">
        <v>84</v>
      </c>
      <c r="Q131" s="8" t="s">
        <v>206</v>
      </c>
      <c r="R131" s="8" t="s">
        <v>266</v>
      </c>
      <c r="S131" s="8">
        <v>8</v>
      </c>
      <c r="T131" s="8" t="s">
        <v>87</v>
      </c>
      <c r="U131" s="8" t="s">
        <v>290</v>
      </c>
      <c r="V131" s="8" t="s">
        <v>88</v>
      </c>
      <c r="W131" s="8" t="s">
        <v>1008</v>
      </c>
      <c r="X131" s="8"/>
      <c r="Y131" s="8">
        <v>16</v>
      </c>
      <c r="Z131" s="8" t="s">
        <v>856</v>
      </c>
      <c r="AA131" s="8" t="s">
        <v>39</v>
      </c>
      <c r="AB131" s="8">
        <v>31</v>
      </c>
      <c r="AC131" s="23" t="s">
        <v>1714</v>
      </c>
      <c r="AD131" s="23" t="s">
        <v>1753</v>
      </c>
      <c r="AE131" s="8">
        <v>0</v>
      </c>
      <c r="AF131" s="8">
        <v>0</v>
      </c>
      <c r="AG131" s="8"/>
    </row>
    <row r="132" spans="1:33" x14ac:dyDescent="0.2">
      <c r="A132" s="8">
        <v>2502</v>
      </c>
      <c r="B132" s="16">
        <v>44048</v>
      </c>
      <c r="C132" s="8">
        <v>30012785</v>
      </c>
      <c r="D132" s="8" t="s">
        <v>152</v>
      </c>
      <c r="E132" s="8" t="s">
        <v>138</v>
      </c>
      <c r="F132" s="8" t="s">
        <v>265</v>
      </c>
      <c r="G132" s="8">
        <v>15018380</v>
      </c>
      <c r="H132" s="8">
        <v>802095001</v>
      </c>
      <c r="I132" s="8" t="s">
        <v>1011</v>
      </c>
      <c r="J132" s="8" t="s">
        <v>47</v>
      </c>
      <c r="K132" s="8" t="s">
        <v>177</v>
      </c>
      <c r="L132" s="8" t="s">
        <v>989</v>
      </c>
      <c r="M132" s="8" t="s">
        <v>1714</v>
      </c>
      <c r="N132" s="8" t="s">
        <v>1753</v>
      </c>
      <c r="O132" s="8">
        <v>221.31200000000001</v>
      </c>
      <c r="P132" s="8" t="s">
        <v>84</v>
      </c>
      <c r="Q132" s="8" t="s">
        <v>206</v>
      </c>
      <c r="R132" s="8" t="s">
        <v>266</v>
      </c>
      <c r="S132" s="8">
        <v>8</v>
      </c>
      <c r="T132" s="8" t="s">
        <v>87</v>
      </c>
      <c r="U132" s="8" t="s">
        <v>290</v>
      </c>
      <c r="V132" s="8" t="s">
        <v>88</v>
      </c>
      <c r="W132" s="8" t="s">
        <v>1012</v>
      </c>
      <c r="X132" s="8"/>
      <c r="Y132" s="8">
        <v>16</v>
      </c>
      <c r="Z132" s="8" t="s">
        <v>856</v>
      </c>
      <c r="AA132" s="8" t="s">
        <v>39</v>
      </c>
      <c r="AB132" s="8">
        <v>31</v>
      </c>
      <c r="AC132" s="23" t="s">
        <v>1714</v>
      </c>
      <c r="AD132" s="23" t="s">
        <v>1753</v>
      </c>
      <c r="AE132" s="8">
        <v>0</v>
      </c>
      <c r="AF132" s="8">
        <v>0</v>
      </c>
      <c r="AG132" s="8"/>
    </row>
    <row r="133" spans="1:33" x14ac:dyDescent="0.2">
      <c r="A133" s="8">
        <v>2502</v>
      </c>
      <c r="B133" s="16">
        <v>44048</v>
      </c>
      <c r="C133" s="8">
        <v>30012785</v>
      </c>
      <c r="D133" s="8" t="s">
        <v>152</v>
      </c>
      <c r="E133" s="8" t="s">
        <v>138</v>
      </c>
      <c r="F133" s="8" t="s">
        <v>265</v>
      </c>
      <c r="G133" s="8">
        <v>15018386</v>
      </c>
      <c r="H133" s="8">
        <v>802095002</v>
      </c>
      <c r="I133" s="8" t="s">
        <v>407</v>
      </c>
      <c r="J133" s="8" t="s">
        <v>47</v>
      </c>
      <c r="K133" s="8" t="s">
        <v>177</v>
      </c>
      <c r="L133" s="8" t="s">
        <v>989</v>
      </c>
      <c r="M133" s="8" t="s">
        <v>1714</v>
      </c>
      <c r="N133" s="8" t="s">
        <v>1753</v>
      </c>
      <c r="O133" s="8">
        <v>260</v>
      </c>
      <c r="P133" s="8" t="s">
        <v>84</v>
      </c>
      <c r="Q133" s="8" t="s">
        <v>206</v>
      </c>
      <c r="R133" s="8" t="s">
        <v>266</v>
      </c>
      <c r="S133" s="8">
        <v>13</v>
      </c>
      <c r="T133" s="8" t="s">
        <v>87</v>
      </c>
      <c r="U133" s="8" t="s">
        <v>290</v>
      </c>
      <c r="V133" s="8" t="s">
        <v>88</v>
      </c>
      <c r="W133" s="8" t="s">
        <v>1015</v>
      </c>
      <c r="X133" s="8"/>
      <c r="Y133" s="8">
        <v>25</v>
      </c>
      <c r="Z133" s="8" t="s">
        <v>856</v>
      </c>
      <c r="AA133" s="8" t="s">
        <v>39</v>
      </c>
      <c r="AB133" s="8">
        <v>31</v>
      </c>
      <c r="AC133" s="23" t="s">
        <v>1714</v>
      </c>
      <c r="AD133" s="23" t="s">
        <v>1753</v>
      </c>
      <c r="AE133" s="8">
        <v>0</v>
      </c>
      <c r="AF133" s="8">
        <v>0</v>
      </c>
      <c r="AG133" s="8"/>
    </row>
    <row r="134" spans="1:33" x14ac:dyDescent="0.2">
      <c r="A134" s="8">
        <v>2502</v>
      </c>
      <c r="B134" s="16">
        <v>44048</v>
      </c>
      <c r="C134" s="8">
        <v>30012785</v>
      </c>
      <c r="D134" s="8" t="s">
        <v>152</v>
      </c>
      <c r="E134" s="8" t="s">
        <v>138</v>
      </c>
      <c r="F134" s="8" t="s">
        <v>265</v>
      </c>
      <c r="G134" s="8">
        <v>15018387</v>
      </c>
      <c r="H134" s="8">
        <v>802095003</v>
      </c>
      <c r="I134" s="8" t="s">
        <v>408</v>
      </c>
      <c r="J134" s="8" t="s">
        <v>47</v>
      </c>
      <c r="K134" s="8" t="s">
        <v>177</v>
      </c>
      <c r="L134" s="8" t="s">
        <v>989</v>
      </c>
      <c r="M134" s="8" t="s">
        <v>1714</v>
      </c>
      <c r="N134" s="8" t="s">
        <v>1753</v>
      </c>
      <c r="O134" s="8">
        <v>111.73</v>
      </c>
      <c r="P134" s="8" t="s">
        <v>84</v>
      </c>
      <c r="Q134" s="8" t="s">
        <v>206</v>
      </c>
      <c r="R134" s="8" t="s">
        <v>266</v>
      </c>
      <c r="S134" s="8">
        <v>5</v>
      </c>
      <c r="T134" s="8" t="s">
        <v>87</v>
      </c>
      <c r="U134" s="8" t="s">
        <v>290</v>
      </c>
      <c r="V134" s="8" t="s">
        <v>88</v>
      </c>
      <c r="W134" s="8" t="s">
        <v>1018</v>
      </c>
      <c r="X134" s="8"/>
      <c r="Y134" s="8">
        <v>10</v>
      </c>
      <c r="Z134" s="8" t="s">
        <v>856</v>
      </c>
      <c r="AA134" s="8" t="s">
        <v>39</v>
      </c>
      <c r="AB134" s="8">
        <v>31</v>
      </c>
      <c r="AC134" s="23" t="s">
        <v>1714</v>
      </c>
      <c r="AD134" s="23" t="s">
        <v>1753</v>
      </c>
      <c r="AE134" s="8">
        <v>0</v>
      </c>
      <c r="AF134" s="8">
        <v>0</v>
      </c>
      <c r="AG134" s="8"/>
    </row>
    <row r="135" spans="1:33" x14ac:dyDescent="0.2">
      <c r="A135" s="8">
        <v>2502</v>
      </c>
      <c r="B135" s="16">
        <v>44048</v>
      </c>
      <c r="C135" s="8">
        <v>30012785</v>
      </c>
      <c r="D135" s="8" t="s">
        <v>152</v>
      </c>
      <c r="E135" s="8" t="s">
        <v>138</v>
      </c>
      <c r="F135" s="8" t="s">
        <v>265</v>
      </c>
      <c r="G135" s="8">
        <v>15018388</v>
      </c>
      <c r="H135" s="8">
        <v>802095004</v>
      </c>
      <c r="I135" s="8" t="s">
        <v>385</v>
      </c>
      <c r="J135" s="8" t="s">
        <v>47</v>
      </c>
      <c r="K135" s="8" t="s">
        <v>177</v>
      </c>
      <c r="L135" s="8" t="s">
        <v>989</v>
      </c>
      <c r="M135" s="8" t="s">
        <v>1714</v>
      </c>
      <c r="N135" s="8" t="s">
        <v>1753</v>
      </c>
      <c r="O135" s="8">
        <v>208.54</v>
      </c>
      <c r="P135" s="8" t="s">
        <v>84</v>
      </c>
      <c r="Q135" s="8" t="s">
        <v>206</v>
      </c>
      <c r="R135" s="8" t="s">
        <v>266</v>
      </c>
      <c r="S135" s="8">
        <v>10</v>
      </c>
      <c r="T135" s="8" t="s">
        <v>87</v>
      </c>
      <c r="U135" s="8" t="s">
        <v>290</v>
      </c>
      <c r="V135" s="8" t="s">
        <v>88</v>
      </c>
      <c r="W135" s="8" t="s">
        <v>1021</v>
      </c>
      <c r="X135" s="8"/>
      <c r="Y135" s="8">
        <v>20</v>
      </c>
      <c r="Z135" s="8" t="s">
        <v>856</v>
      </c>
      <c r="AA135" s="8" t="s">
        <v>39</v>
      </c>
      <c r="AB135" s="8">
        <v>31</v>
      </c>
      <c r="AC135" s="23" t="s">
        <v>1714</v>
      </c>
      <c r="AD135" s="23" t="s">
        <v>1753</v>
      </c>
      <c r="AE135" s="8">
        <v>0</v>
      </c>
      <c r="AF135" s="8">
        <v>0</v>
      </c>
      <c r="AG135" s="8"/>
    </row>
    <row r="136" spans="1:33" x14ac:dyDescent="0.2">
      <c r="A136" s="8">
        <v>2502</v>
      </c>
      <c r="B136" s="16">
        <v>44048</v>
      </c>
      <c r="C136" s="8">
        <v>30012785</v>
      </c>
      <c r="D136" s="8" t="s">
        <v>152</v>
      </c>
      <c r="E136" s="8" t="s">
        <v>138</v>
      </c>
      <c r="F136" s="8" t="s">
        <v>265</v>
      </c>
      <c r="G136" s="8">
        <v>15018389</v>
      </c>
      <c r="H136" s="8">
        <v>802095005</v>
      </c>
      <c r="I136" s="8" t="s">
        <v>386</v>
      </c>
      <c r="J136" s="8" t="s">
        <v>47</v>
      </c>
      <c r="K136" s="8" t="s">
        <v>177</v>
      </c>
      <c r="L136" s="8" t="s">
        <v>989</v>
      </c>
      <c r="M136" s="8" t="s">
        <v>1714</v>
      </c>
      <c r="N136" s="8" t="s">
        <v>1753</v>
      </c>
      <c r="O136" s="8">
        <v>225.4</v>
      </c>
      <c r="P136" s="8" t="s">
        <v>84</v>
      </c>
      <c r="Q136" s="8" t="s">
        <v>206</v>
      </c>
      <c r="R136" s="8" t="s">
        <v>266</v>
      </c>
      <c r="S136" s="8">
        <v>10</v>
      </c>
      <c r="T136" s="8" t="s">
        <v>87</v>
      </c>
      <c r="U136" s="8" t="s">
        <v>290</v>
      </c>
      <c r="V136" s="8" t="s">
        <v>88</v>
      </c>
      <c r="W136" s="8" t="s">
        <v>1024</v>
      </c>
      <c r="X136" s="8"/>
      <c r="Y136" s="8">
        <v>20</v>
      </c>
      <c r="Z136" s="8" t="s">
        <v>856</v>
      </c>
      <c r="AA136" s="8" t="s">
        <v>39</v>
      </c>
      <c r="AB136" s="8">
        <v>31</v>
      </c>
      <c r="AC136" s="23" t="s">
        <v>1714</v>
      </c>
      <c r="AD136" s="23" t="s">
        <v>1753</v>
      </c>
      <c r="AE136" s="8">
        <v>0</v>
      </c>
      <c r="AF136" s="8">
        <v>0</v>
      </c>
      <c r="AG136" s="8"/>
    </row>
    <row r="137" spans="1:33" x14ac:dyDescent="0.2">
      <c r="A137" s="8">
        <v>2504</v>
      </c>
      <c r="B137" s="16">
        <v>44053</v>
      </c>
      <c r="C137" s="8">
        <v>30012810</v>
      </c>
      <c r="D137" s="8" t="s">
        <v>62</v>
      </c>
      <c r="E137" s="8" t="s">
        <v>212</v>
      </c>
      <c r="F137" s="8" t="s">
        <v>213</v>
      </c>
      <c r="G137" s="8">
        <v>15018205</v>
      </c>
      <c r="H137" s="8">
        <v>802094740</v>
      </c>
      <c r="I137" s="8" t="s">
        <v>77</v>
      </c>
      <c r="J137" s="8" t="s">
        <v>32</v>
      </c>
      <c r="K137" s="8" t="s">
        <v>500</v>
      </c>
      <c r="L137" s="8" t="s">
        <v>1081</v>
      </c>
      <c r="M137" s="8" t="s">
        <v>1704</v>
      </c>
      <c r="N137" s="8" t="s">
        <v>1750</v>
      </c>
      <c r="O137" s="8">
        <v>512.86800000000005</v>
      </c>
      <c r="P137" s="8" t="s">
        <v>48</v>
      </c>
      <c r="Q137" s="8" t="s">
        <v>115</v>
      </c>
      <c r="R137" s="8" t="s">
        <v>116</v>
      </c>
      <c r="S137" s="8">
        <v>26</v>
      </c>
      <c r="T137" s="8" t="s">
        <v>140</v>
      </c>
      <c r="U137" s="8" t="s">
        <v>37</v>
      </c>
      <c r="V137" s="8" t="s">
        <v>1699</v>
      </c>
      <c r="W137" s="8" t="s">
        <v>1082</v>
      </c>
      <c r="X137" s="8"/>
      <c r="Y137" s="8">
        <v>494</v>
      </c>
      <c r="Z137" s="8" t="s">
        <v>1083</v>
      </c>
      <c r="AA137" s="8" t="s">
        <v>39</v>
      </c>
      <c r="AB137" s="8">
        <v>31</v>
      </c>
      <c r="AC137" s="21" t="str">
        <f t="shared" ref="AC137:AC144" si="29">M137</f>
        <v>12/08/2020</v>
      </c>
      <c r="AD137" s="21" t="str">
        <f t="shared" ref="AD137:AD144" si="30">N137</f>
        <v>06/09/2020</v>
      </c>
      <c r="AE137" s="8"/>
      <c r="AF137" s="8"/>
      <c r="AG137" s="8"/>
    </row>
    <row r="138" spans="1:33" x14ac:dyDescent="0.2">
      <c r="A138" s="8">
        <v>2504</v>
      </c>
      <c r="B138" s="16">
        <v>44055</v>
      </c>
      <c r="C138" s="8">
        <v>30012788</v>
      </c>
      <c r="D138" s="8" t="s">
        <v>54</v>
      </c>
      <c r="E138" s="8" t="s">
        <v>541</v>
      </c>
      <c r="F138" s="8" t="s">
        <v>542</v>
      </c>
      <c r="G138" s="8">
        <v>15018089</v>
      </c>
      <c r="H138" s="8">
        <v>802094725</v>
      </c>
      <c r="I138" s="8" t="s">
        <v>77</v>
      </c>
      <c r="J138" s="8" t="s">
        <v>32</v>
      </c>
      <c r="K138" s="8" t="s">
        <v>404</v>
      </c>
      <c r="L138" s="8" t="s">
        <v>622</v>
      </c>
      <c r="M138" s="8" t="s">
        <v>1714</v>
      </c>
      <c r="N138" s="8" t="s">
        <v>1751</v>
      </c>
      <c r="O138" s="8">
        <v>499.13400000000001</v>
      </c>
      <c r="P138" s="8" t="s">
        <v>48</v>
      </c>
      <c r="Q138" s="8" t="s">
        <v>498</v>
      </c>
      <c r="R138" s="8" t="s">
        <v>499</v>
      </c>
      <c r="S138" s="8">
        <v>20</v>
      </c>
      <c r="T138" s="8" t="s">
        <v>36</v>
      </c>
      <c r="U138" s="8" t="s">
        <v>37</v>
      </c>
      <c r="V138" s="8" t="s">
        <v>155</v>
      </c>
      <c r="W138" s="8" t="s">
        <v>1029</v>
      </c>
      <c r="X138" s="8"/>
      <c r="Y138" s="8">
        <v>480</v>
      </c>
      <c r="Z138" s="8" t="s">
        <v>611</v>
      </c>
      <c r="AA138" s="8" t="s">
        <v>39</v>
      </c>
      <c r="AB138" s="8">
        <v>31</v>
      </c>
      <c r="AC138" s="21" t="str">
        <f t="shared" si="29"/>
        <v>15/08/2020</v>
      </c>
      <c r="AD138" s="21" t="str">
        <f t="shared" si="30"/>
        <v>07/09/2020</v>
      </c>
      <c r="AE138" s="8"/>
      <c r="AF138" s="8"/>
      <c r="AG138" s="8"/>
    </row>
    <row r="139" spans="1:33" x14ac:dyDescent="0.2">
      <c r="A139" s="8">
        <v>2504</v>
      </c>
      <c r="B139" s="16">
        <v>44048</v>
      </c>
      <c r="C139" s="8">
        <v>30012788</v>
      </c>
      <c r="D139" s="8" t="s">
        <v>28</v>
      </c>
      <c r="E139" s="8" t="s">
        <v>110</v>
      </c>
      <c r="F139" s="8" t="s">
        <v>1030</v>
      </c>
      <c r="G139" s="8">
        <v>15018210</v>
      </c>
      <c r="H139" s="8">
        <v>802094742</v>
      </c>
      <c r="I139" s="8" t="s">
        <v>77</v>
      </c>
      <c r="J139" s="8" t="s">
        <v>32</v>
      </c>
      <c r="K139" s="8" t="s">
        <v>404</v>
      </c>
      <c r="L139" s="8" t="s">
        <v>622</v>
      </c>
      <c r="M139" s="8" t="s">
        <v>1714</v>
      </c>
      <c r="N139" s="8" t="s">
        <v>1734</v>
      </c>
      <c r="O139" s="8">
        <v>499.9</v>
      </c>
      <c r="P139" s="8" t="s">
        <v>48</v>
      </c>
      <c r="Q139" s="8" t="s">
        <v>134</v>
      </c>
      <c r="R139" s="8" t="s">
        <v>135</v>
      </c>
      <c r="S139" s="8">
        <v>20</v>
      </c>
      <c r="T139" s="8" t="s">
        <v>72</v>
      </c>
      <c r="U139" s="8" t="s">
        <v>37</v>
      </c>
      <c r="V139" s="8" t="s">
        <v>155</v>
      </c>
      <c r="W139" s="8" t="s">
        <v>1033</v>
      </c>
      <c r="X139" s="8"/>
      <c r="Y139" s="8">
        <v>480</v>
      </c>
      <c r="Z139" s="8" t="s">
        <v>946</v>
      </c>
      <c r="AA139" s="8" t="s">
        <v>39</v>
      </c>
      <c r="AB139" s="8">
        <v>31</v>
      </c>
      <c r="AC139" s="21" t="str">
        <f t="shared" si="29"/>
        <v>15/08/2020</v>
      </c>
      <c r="AD139" s="21" t="str">
        <f t="shared" si="30"/>
        <v>08/09/2020</v>
      </c>
      <c r="AE139" s="8"/>
      <c r="AF139" s="8"/>
      <c r="AG139" s="8"/>
    </row>
    <row r="140" spans="1:33" x14ac:dyDescent="0.2">
      <c r="A140" s="8">
        <v>2504</v>
      </c>
      <c r="B140" s="16">
        <v>44048</v>
      </c>
      <c r="C140" s="8">
        <v>30012804</v>
      </c>
      <c r="D140" s="8" t="s">
        <v>91</v>
      </c>
      <c r="E140" s="8" t="s">
        <v>242</v>
      </c>
      <c r="F140" s="8" t="s">
        <v>243</v>
      </c>
      <c r="G140" s="8">
        <v>15017476</v>
      </c>
      <c r="H140" s="8">
        <v>802094721</v>
      </c>
      <c r="I140" s="8" t="s">
        <v>244</v>
      </c>
      <c r="J140" s="8" t="s">
        <v>47</v>
      </c>
      <c r="K140" s="8" t="s">
        <v>503</v>
      </c>
      <c r="L140" s="8" t="s">
        <v>1116</v>
      </c>
      <c r="M140" s="8" t="s">
        <v>1714</v>
      </c>
      <c r="N140" s="8" t="s">
        <v>1729</v>
      </c>
      <c r="O140" s="8">
        <v>94.7</v>
      </c>
      <c r="P140" s="8" t="s">
        <v>48</v>
      </c>
      <c r="Q140" s="8" t="s">
        <v>100</v>
      </c>
      <c r="R140" s="8" t="s">
        <v>101</v>
      </c>
      <c r="S140" s="8">
        <v>5</v>
      </c>
      <c r="T140" s="8" t="s">
        <v>140</v>
      </c>
      <c r="U140" s="8" t="s">
        <v>758</v>
      </c>
      <c r="V140" s="8" t="s">
        <v>155</v>
      </c>
      <c r="W140" s="8" t="s">
        <v>1122</v>
      </c>
      <c r="X140" s="8"/>
      <c r="Y140" s="8">
        <v>10</v>
      </c>
      <c r="Z140" s="8" t="s">
        <v>53</v>
      </c>
      <c r="AA140" s="8" t="s">
        <v>39</v>
      </c>
      <c r="AB140" s="8">
        <v>31</v>
      </c>
      <c r="AC140" s="21" t="str">
        <f t="shared" si="29"/>
        <v>15/08/2020</v>
      </c>
      <c r="AD140" s="21" t="str">
        <f t="shared" si="30"/>
        <v>04/09/2020</v>
      </c>
      <c r="AE140" s="8"/>
      <c r="AF140" s="8"/>
      <c r="AG140" s="8"/>
    </row>
    <row r="141" spans="1:33" x14ac:dyDescent="0.2">
      <c r="A141" s="8">
        <v>2504</v>
      </c>
      <c r="B141" s="16">
        <v>44048</v>
      </c>
      <c r="C141" s="8">
        <v>30012804</v>
      </c>
      <c r="D141" s="8" t="s">
        <v>91</v>
      </c>
      <c r="E141" s="8" t="s">
        <v>242</v>
      </c>
      <c r="F141" s="8" t="s">
        <v>243</v>
      </c>
      <c r="G141" s="8">
        <v>15017477</v>
      </c>
      <c r="H141" s="8">
        <v>802094722</v>
      </c>
      <c r="I141" s="8" t="s">
        <v>246</v>
      </c>
      <c r="J141" s="8" t="s">
        <v>47</v>
      </c>
      <c r="K141" s="8" t="s">
        <v>503</v>
      </c>
      <c r="L141" s="8" t="s">
        <v>1116</v>
      </c>
      <c r="M141" s="8" t="s">
        <v>1714</v>
      </c>
      <c r="N141" s="8" t="s">
        <v>1729</v>
      </c>
      <c r="O141" s="8">
        <v>151.61600000000001</v>
      </c>
      <c r="P141" s="8" t="s">
        <v>48</v>
      </c>
      <c r="Q141" s="8" t="s">
        <v>100</v>
      </c>
      <c r="R141" s="8" t="s">
        <v>101</v>
      </c>
      <c r="S141" s="8">
        <v>8</v>
      </c>
      <c r="T141" s="8" t="s">
        <v>140</v>
      </c>
      <c r="U141" s="8" t="s">
        <v>758</v>
      </c>
      <c r="V141" s="8" t="s">
        <v>155</v>
      </c>
      <c r="W141" s="8" t="s">
        <v>1125</v>
      </c>
      <c r="X141" s="8"/>
      <c r="Y141" s="8">
        <v>16</v>
      </c>
      <c r="Z141" s="8" t="s">
        <v>53</v>
      </c>
      <c r="AA141" s="8" t="s">
        <v>39</v>
      </c>
      <c r="AB141" s="8">
        <v>31</v>
      </c>
      <c r="AC141" s="21" t="str">
        <f t="shared" si="29"/>
        <v>15/08/2020</v>
      </c>
      <c r="AD141" s="21" t="str">
        <f t="shared" si="30"/>
        <v>04/09/2020</v>
      </c>
      <c r="AE141" s="8"/>
      <c r="AF141" s="8"/>
      <c r="AG141" s="8"/>
    </row>
    <row r="142" spans="1:33" x14ac:dyDescent="0.2">
      <c r="A142" s="8">
        <v>2504</v>
      </c>
      <c r="B142" s="16">
        <v>44063</v>
      </c>
      <c r="C142" s="8">
        <v>30012804</v>
      </c>
      <c r="D142" s="8" t="s">
        <v>91</v>
      </c>
      <c r="E142" s="8" t="s">
        <v>553</v>
      </c>
      <c r="F142" s="8" t="s">
        <v>554</v>
      </c>
      <c r="G142" s="8">
        <v>15017812</v>
      </c>
      <c r="H142" s="8">
        <v>802094724</v>
      </c>
      <c r="I142" s="8" t="s">
        <v>77</v>
      </c>
      <c r="J142" s="8" t="s">
        <v>32</v>
      </c>
      <c r="K142" s="8" t="s">
        <v>503</v>
      </c>
      <c r="L142" s="8" t="s">
        <v>1116</v>
      </c>
      <c r="M142" s="8" t="s">
        <v>1714</v>
      </c>
      <c r="N142" s="8" t="s">
        <v>1729</v>
      </c>
      <c r="O142" s="8">
        <v>298.08</v>
      </c>
      <c r="P142" s="8" t="s">
        <v>48</v>
      </c>
      <c r="Q142" s="8" t="s">
        <v>100</v>
      </c>
      <c r="R142" s="8" t="s">
        <v>101</v>
      </c>
      <c r="S142" s="8">
        <v>12</v>
      </c>
      <c r="T142" s="8" t="s">
        <v>36</v>
      </c>
      <c r="U142" s="8" t="s">
        <v>1028</v>
      </c>
      <c r="V142" s="8" t="s">
        <v>155</v>
      </c>
      <c r="W142" s="8" t="s">
        <v>1128</v>
      </c>
      <c r="X142" s="8"/>
      <c r="Y142" s="8">
        <v>288</v>
      </c>
      <c r="Z142" s="8"/>
      <c r="AA142" s="8" t="s">
        <v>39</v>
      </c>
      <c r="AB142" s="8">
        <v>31</v>
      </c>
      <c r="AC142" s="21" t="str">
        <f t="shared" si="29"/>
        <v>15/08/2020</v>
      </c>
      <c r="AD142" s="21" t="str">
        <f t="shared" si="30"/>
        <v>04/09/2020</v>
      </c>
      <c r="AE142" s="8"/>
      <c r="AF142" s="8"/>
      <c r="AG142" s="8"/>
    </row>
    <row r="143" spans="1:33" x14ac:dyDescent="0.2">
      <c r="A143" s="8">
        <v>2504</v>
      </c>
      <c r="B143" s="16">
        <v>44058</v>
      </c>
      <c r="C143" s="8">
        <v>30012817</v>
      </c>
      <c r="D143" s="8" t="s">
        <v>62</v>
      </c>
      <c r="E143" s="8" t="s">
        <v>217</v>
      </c>
      <c r="F143" s="8" t="s">
        <v>218</v>
      </c>
      <c r="G143" s="8">
        <v>15018224</v>
      </c>
      <c r="H143" s="8">
        <v>802094745</v>
      </c>
      <c r="I143" s="8" t="s">
        <v>77</v>
      </c>
      <c r="J143" s="8" t="s">
        <v>32</v>
      </c>
      <c r="K143" s="8" t="s">
        <v>503</v>
      </c>
      <c r="L143" s="8" t="s">
        <v>1116</v>
      </c>
      <c r="M143" s="8" t="s">
        <v>1714</v>
      </c>
      <c r="N143" s="8" t="s">
        <v>1754</v>
      </c>
      <c r="O143" s="8">
        <v>496.8</v>
      </c>
      <c r="P143" s="8" t="s">
        <v>48</v>
      </c>
      <c r="Q143" s="8" t="s">
        <v>206</v>
      </c>
      <c r="R143" s="8" t="s">
        <v>35</v>
      </c>
      <c r="S143" s="8">
        <v>20</v>
      </c>
      <c r="T143" s="8" t="s">
        <v>36</v>
      </c>
      <c r="U143" s="8" t="s">
        <v>1028</v>
      </c>
      <c r="V143" s="8" t="s">
        <v>1706</v>
      </c>
      <c r="W143" s="8" t="s">
        <v>1132</v>
      </c>
      <c r="X143" s="8"/>
      <c r="Y143" s="8">
        <v>480</v>
      </c>
      <c r="Z143" s="8"/>
      <c r="AA143" s="8" t="s">
        <v>39</v>
      </c>
      <c r="AB143" s="8">
        <v>31</v>
      </c>
      <c r="AC143" s="21" t="str">
        <f t="shared" si="29"/>
        <v>15/08/2020</v>
      </c>
      <c r="AD143" s="21" t="str">
        <f t="shared" si="30"/>
        <v>16/09/2020</v>
      </c>
      <c r="AE143" s="8"/>
      <c r="AF143" s="8"/>
      <c r="AG143" s="8"/>
    </row>
    <row r="144" spans="1:33" x14ac:dyDescent="0.2">
      <c r="A144" s="8">
        <v>2504</v>
      </c>
      <c r="B144" s="16">
        <v>44073</v>
      </c>
      <c r="C144" s="8">
        <v>30012817</v>
      </c>
      <c r="D144" s="8" t="s">
        <v>28</v>
      </c>
      <c r="E144" s="8" t="s">
        <v>98</v>
      </c>
      <c r="F144" s="8" t="s">
        <v>205</v>
      </c>
      <c r="G144" s="8">
        <v>15018319</v>
      </c>
      <c r="H144" s="8">
        <v>802095064</v>
      </c>
      <c r="I144" s="8" t="s">
        <v>77</v>
      </c>
      <c r="J144" s="8" t="s">
        <v>32</v>
      </c>
      <c r="K144" s="8" t="s">
        <v>503</v>
      </c>
      <c r="L144" s="8" t="s">
        <v>1116</v>
      </c>
      <c r="M144" s="8" t="s">
        <v>1714</v>
      </c>
      <c r="N144" s="8" t="s">
        <v>1754</v>
      </c>
      <c r="O144" s="8">
        <v>496.8</v>
      </c>
      <c r="P144" s="8" t="s">
        <v>48</v>
      </c>
      <c r="Q144" s="8" t="s">
        <v>206</v>
      </c>
      <c r="R144" s="8" t="s">
        <v>35</v>
      </c>
      <c r="S144" s="8">
        <v>20</v>
      </c>
      <c r="T144" s="8" t="s">
        <v>36</v>
      </c>
      <c r="U144" s="8" t="s">
        <v>1028</v>
      </c>
      <c r="V144" s="8" t="s">
        <v>1706</v>
      </c>
      <c r="W144" s="8" t="s">
        <v>1135</v>
      </c>
      <c r="X144" s="8"/>
      <c r="Y144" s="8">
        <v>480</v>
      </c>
      <c r="Z144" s="8"/>
      <c r="AA144" s="8" t="s">
        <v>39</v>
      </c>
      <c r="AB144" s="8">
        <v>31</v>
      </c>
      <c r="AC144" s="21" t="str">
        <f t="shared" si="29"/>
        <v>15/08/2020</v>
      </c>
      <c r="AD144" s="21" t="str">
        <f t="shared" si="30"/>
        <v>16/09/2020</v>
      </c>
      <c r="AE144" s="8"/>
      <c r="AF144" s="8"/>
      <c r="AG144" s="8"/>
    </row>
    <row r="145" spans="1:33" x14ac:dyDescent="0.2">
      <c r="A145" s="8">
        <v>2501</v>
      </c>
      <c r="B145" s="16">
        <v>44073</v>
      </c>
      <c r="C145" s="8">
        <v>30012856</v>
      </c>
      <c r="D145" s="8" t="s">
        <v>74</v>
      </c>
      <c r="E145" s="8" t="s">
        <v>75</v>
      </c>
      <c r="F145" s="8" t="s">
        <v>1142</v>
      </c>
      <c r="G145" s="8">
        <v>15018462</v>
      </c>
      <c r="H145" s="8">
        <v>802095155</v>
      </c>
      <c r="I145" s="8" t="s">
        <v>1145</v>
      </c>
      <c r="J145" s="8" t="s">
        <v>58</v>
      </c>
      <c r="K145" s="8" t="s">
        <v>578</v>
      </c>
      <c r="L145" s="8" t="s">
        <v>1146</v>
      </c>
      <c r="M145" s="8" t="s">
        <v>1714</v>
      </c>
      <c r="N145" s="8" t="s">
        <v>1755</v>
      </c>
      <c r="O145" s="8">
        <v>71.61</v>
      </c>
      <c r="P145" s="8" t="s">
        <v>33</v>
      </c>
      <c r="Q145" s="8" t="s">
        <v>353</v>
      </c>
      <c r="R145" s="8" t="s">
        <v>1147</v>
      </c>
      <c r="S145" s="8">
        <v>3</v>
      </c>
      <c r="T145" s="8" t="s">
        <v>61</v>
      </c>
      <c r="U145" s="8" t="s">
        <v>290</v>
      </c>
      <c r="V145" s="8" t="s">
        <v>65</v>
      </c>
      <c r="W145" s="8" t="s">
        <v>1148</v>
      </c>
      <c r="X145" s="8"/>
      <c r="Y145" s="8">
        <v>21</v>
      </c>
      <c r="Z145" s="8" t="s">
        <v>962</v>
      </c>
      <c r="AA145" s="8" t="s">
        <v>39</v>
      </c>
      <c r="AB145" s="8">
        <v>31</v>
      </c>
      <c r="AC145" s="23" t="s">
        <v>1714</v>
      </c>
      <c r="AD145" s="23" t="s">
        <v>1756</v>
      </c>
      <c r="AE145" s="8">
        <v>0</v>
      </c>
      <c r="AF145" s="8">
        <v>-6</v>
      </c>
      <c r="AG145" s="8"/>
    </row>
    <row r="146" spans="1:33" x14ac:dyDescent="0.2">
      <c r="A146" s="8">
        <v>2501</v>
      </c>
      <c r="B146" s="16">
        <v>44073</v>
      </c>
      <c r="C146" s="8">
        <v>30012765</v>
      </c>
      <c r="D146" s="8" t="s">
        <v>74</v>
      </c>
      <c r="E146" s="8" t="s">
        <v>207</v>
      </c>
      <c r="F146" s="8" t="s">
        <v>208</v>
      </c>
      <c r="G146" s="8">
        <v>15018184</v>
      </c>
      <c r="H146" s="8">
        <v>802094825</v>
      </c>
      <c r="I146" s="8" t="s">
        <v>357</v>
      </c>
      <c r="J146" s="8" t="s">
        <v>58</v>
      </c>
      <c r="K146" s="8" t="s">
        <v>496</v>
      </c>
      <c r="L146" s="8" t="s">
        <v>1152</v>
      </c>
      <c r="M146" s="8" t="s">
        <v>1707</v>
      </c>
      <c r="N146" s="8" t="s">
        <v>1757</v>
      </c>
      <c r="O146" s="8">
        <v>51.304000000000002</v>
      </c>
      <c r="P146" s="8" t="s">
        <v>33</v>
      </c>
      <c r="Q146" s="8" t="s">
        <v>210</v>
      </c>
      <c r="R146" s="8" t="s">
        <v>364</v>
      </c>
      <c r="S146" s="8">
        <v>2</v>
      </c>
      <c r="T146" s="8" t="s">
        <v>72</v>
      </c>
      <c r="U146" s="8" t="s">
        <v>290</v>
      </c>
      <c r="V146" s="8" t="s">
        <v>65</v>
      </c>
      <c r="W146" s="8" t="s">
        <v>1153</v>
      </c>
      <c r="X146" s="8"/>
      <c r="Y146" s="8">
        <v>22</v>
      </c>
      <c r="Z146" s="8" t="s">
        <v>1154</v>
      </c>
      <c r="AA146" s="8" t="s">
        <v>39</v>
      </c>
      <c r="AB146" s="8">
        <v>31</v>
      </c>
      <c r="AC146" s="23" t="s">
        <v>1707</v>
      </c>
      <c r="AD146" s="23" t="s">
        <v>1757</v>
      </c>
      <c r="AE146" s="8">
        <v>0</v>
      </c>
      <c r="AF146" s="8">
        <v>0</v>
      </c>
      <c r="AG146" s="8"/>
    </row>
    <row r="147" spans="1:33" x14ac:dyDescent="0.2">
      <c r="A147" s="8">
        <v>2501</v>
      </c>
      <c r="B147" s="16">
        <v>44058</v>
      </c>
      <c r="C147" s="8">
        <v>30012771</v>
      </c>
      <c r="D147" s="8" t="s">
        <v>74</v>
      </c>
      <c r="E147" s="8" t="s">
        <v>141</v>
      </c>
      <c r="F147" s="8" t="s">
        <v>142</v>
      </c>
      <c r="G147" s="8">
        <v>15018291</v>
      </c>
      <c r="H147" s="8">
        <v>802094852</v>
      </c>
      <c r="I147" s="8" t="s">
        <v>143</v>
      </c>
      <c r="J147" s="8" t="s">
        <v>58</v>
      </c>
      <c r="K147" s="8" t="s">
        <v>496</v>
      </c>
      <c r="L147" s="8" t="s">
        <v>1158</v>
      </c>
      <c r="M147" s="8" t="s">
        <v>1707</v>
      </c>
      <c r="N147" s="8" t="s">
        <v>1758</v>
      </c>
      <c r="O147" s="8">
        <v>111.33499999999999</v>
      </c>
      <c r="P147" s="8" t="s">
        <v>33</v>
      </c>
      <c r="Q147" s="8" t="s">
        <v>145</v>
      </c>
      <c r="R147" s="8" t="s">
        <v>146</v>
      </c>
      <c r="S147" s="8">
        <v>5</v>
      </c>
      <c r="T147" s="8" t="s">
        <v>61</v>
      </c>
      <c r="U147" s="8" t="s">
        <v>290</v>
      </c>
      <c r="V147" s="8" t="s">
        <v>1699</v>
      </c>
      <c r="W147" s="8" t="s">
        <v>1159</v>
      </c>
      <c r="X147" s="8"/>
      <c r="Y147" s="8">
        <v>35</v>
      </c>
      <c r="Z147" s="8"/>
      <c r="AA147" s="8" t="s">
        <v>39</v>
      </c>
      <c r="AB147" s="8">
        <v>31</v>
      </c>
      <c r="AC147" s="23">
        <v>44059</v>
      </c>
      <c r="AD147" s="23" t="str">
        <f>N147</f>
        <v>04/10/2020</v>
      </c>
      <c r="AE147" s="17">
        <v>0</v>
      </c>
      <c r="AF147" s="8"/>
      <c r="AG147" s="8"/>
    </row>
    <row r="148" spans="1:33" x14ac:dyDescent="0.2">
      <c r="A148" s="8">
        <v>2502</v>
      </c>
      <c r="B148" s="16">
        <v>44073</v>
      </c>
      <c r="C148" s="8">
        <v>30012792</v>
      </c>
      <c r="D148" s="8" t="s">
        <v>152</v>
      </c>
      <c r="E148" s="8" t="s">
        <v>276</v>
      </c>
      <c r="F148" s="8" t="s">
        <v>277</v>
      </c>
      <c r="G148" s="8">
        <v>15018288</v>
      </c>
      <c r="H148" s="8">
        <v>802094849</v>
      </c>
      <c r="I148" s="8" t="s">
        <v>202</v>
      </c>
      <c r="J148" s="8" t="s">
        <v>95</v>
      </c>
      <c r="K148" s="8" t="s">
        <v>503</v>
      </c>
      <c r="L148" s="8" t="s">
        <v>1116</v>
      </c>
      <c r="M148" s="8" t="s">
        <v>1709</v>
      </c>
      <c r="N148" s="8" t="s">
        <v>1746</v>
      </c>
      <c r="O148" s="8">
        <v>406.62299999999999</v>
      </c>
      <c r="P148" s="8" t="s">
        <v>492</v>
      </c>
      <c r="Q148" s="8" t="s">
        <v>278</v>
      </c>
      <c r="R148" s="8" t="s">
        <v>279</v>
      </c>
      <c r="S148" s="8">
        <v>17</v>
      </c>
      <c r="T148" s="8" t="s">
        <v>87</v>
      </c>
      <c r="U148" s="8" t="s">
        <v>290</v>
      </c>
      <c r="V148" s="8" t="s">
        <v>155</v>
      </c>
      <c r="W148" s="8" t="s">
        <v>1117</v>
      </c>
      <c r="X148" s="8"/>
      <c r="Y148" s="8">
        <v>289</v>
      </c>
      <c r="Z148" s="8" t="s">
        <v>962</v>
      </c>
      <c r="AA148" s="8" t="s">
        <v>39</v>
      </c>
      <c r="AB148" s="8">
        <v>31</v>
      </c>
      <c r="AC148" s="23" t="s">
        <v>1709</v>
      </c>
      <c r="AD148" s="23" t="s">
        <v>1746</v>
      </c>
      <c r="AE148" s="8">
        <v>0</v>
      </c>
      <c r="AF148" s="8">
        <v>0</v>
      </c>
      <c r="AG148" s="8"/>
    </row>
    <row r="149" spans="1:33" x14ac:dyDescent="0.2">
      <c r="A149" s="8">
        <v>2502</v>
      </c>
      <c r="B149" s="16">
        <v>44048</v>
      </c>
      <c r="C149" s="8">
        <v>30012793</v>
      </c>
      <c r="D149" s="8" t="s">
        <v>152</v>
      </c>
      <c r="E149" s="8" t="s">
        <v>200</v>
      </c>
      <c r="F149" s="8" t="s">
        <v>201</v>
      </c>
      <c r="G149" s="8">
        <v>15018289</v>
      </c>
      <c r="H149" s="8">
        <v>802094850</v>
      </c>
      <c r="I149" s="8" t="s">
        <v>202</v>
      </c>
      <c r="J149" s="8" t="s">
        <v>95</v>
      </c>
      <c r="K149" s="8" t="s">
        <v>133</v>
      </c>
      <c r="L149" s="8" t="s">
        <v>954</v>
      </c>
      <c r="M149" s="8" t="s">
        <v>1709</v>
      </c>
      <c r="N149" s="8" t="s">
        <v>1753</v>
      </c>
      <c r="O149" s="8">
        <v>263.10899999999998</v>
      </c>
      <c r="P149" s="8" t="s">
        <v>492</v>
      </c>
      <c r="Q149" s="8" t="s">
        <v>203</v>
      </c>
      <c r="R149" s="8" t="s">
        <v>204</v>
      </c>
      <c r="S149" s="8">
        <v>11</v>
      </c>
      <c r="T149" s="8" t="s">
        <v>87</v>
      </c>
      <c r="U149" s="8" t="s">
        <v>290</v>
      </c>
      <c r="V149" s="8" t="s">
        <v>155</v>
      </c>
      <c r="W149" s="8" t="s">
        <v>1163</v>
      </c>
      <c r="X149" s="8"/>
      <c r="Y149" s="8">
        <v>187</v>
      </c>
      <c r="Z149" s="8"/>
      <c r="AA149" s="8" t="s">
        <v>39</v>
      </c>
      <c r="AB149" s="8">
        <v>31</v>
      </c>
      <c r="AC149" s="23" t="s">
        <v>1709</v>
      </c>
      <c r="AD149" s="23" t="s">
        <v>1753</v>
      </c>
      <c r="AE149" s="8">
        <v>0</v>
      </c>
      <c r="AF149" s="8">
        <v>0</v>
      </c>
      <c r="AG149" s="8"/>
    </row>
    <row r="150" spans="1:33" x14ac:dyDescent="0.2">
      <c r="A150" s="8">
        <v>2504</v>
      </c>
      <c r="B150" s="16">
        <v>44058</v>
      </c>
      <c r="C150" s="8">
        <v>30012853</v>
      </c>
      <c r="D150" s="8" t="s">
        <v>91</v>
      </c>
      <c r="E150" s="8" t="s">
        <v>258</v>
      </c>
      <c r="F150" s="8" t="s">
        <v>259</v>
      </c>
      <c r="G150" s="8">
        <v>15018485</v>
      </c>
      <c r="H150" s="8">
        <v>802095175</v>
      </c>
      <c r="I150" s="8" t="s">
        <v>77</v>
      </c>
      <c r="J150" s="8" t="s">
        <v>32</v>
      </c>
      <c r="K150" s="8" t="s">
        <v>144</v>
      </c>
      <c r="L150" s="8" t="s">
        <v>1094</v>
      </c>
      <c r="M150" s="8" t="s">
        <v>1714</v>
      </c>
      <c r="N150" s="8" t="s">
        <v>1750</v>
      </c>
      <c r="O150" s="8">
        <v>198.72</v>
      </c>
      <c r="P150" s="8" t="s">
        <v>48</v>
      </c>
      <c r="Q150" s="8" t="s">
        <v>134</v>
      </c>
      <c r="R150" s="8" t="s">
        <v>135</v>
      </c>
      <c r="S150" s="8">
        <v>8</v>
      </c>
      <c r="T150" s="8" t="s">
        <v>36</v>
      </c>
      <c r="U150" s="8" t="s">
        <v>1139</v>
      </c>
      <c r="V150" s="8" t="s">
        <v>1706</v>
      </c>
      <c r="W150" s="8" t="s">
        <v>1140</v>
      </c>
      <c r="X150" s="8"/>
      <c r="Y150" s="8">
        <v>192</v>
      </c>
      <c r="Z150" s="8"/>
      <c r="AA150" s="8" t="s">
        <v>39</v>
      </c>
      <c r="AB150" s="8">
        <v>31</v>
      </c>
      <c r="AC150" s="21" t="str">
        <f t="shared" ref="AC150:AC151" si="31">M150</f>
        <v>15/08/2020</v>
      </c>
      <c r="AD150" s="21" t="str">
        <f t="shared" ref="AD150:AD151" si="32">N150</f>
        <v>06/09/2020</v>
      </c>
      <c r="AE150" s="8"/>
      <c r="AF150" s="8"/>
      <c r="AG150" s="8"/>
    </row>
    <row r="151" spans="1:33" x14ac:dyDescent="0.2">
      <c r="A151" s="8">
        <v>2504</v>
      </c>
      <c r="B151" s="16">
        <v>44058</v>
      </c>
      <c r="C151" s="8">
        <v>30012808</v>
      </c>
      <c r="D151" s="8" t="s">
        <v>62</v>
      </c>
      <c r="E151" s="8" t="s">
        <v>217</v>
      </c>
      <c r="F151" s="8" t="s">
        <v>218</v>
      </c>
      <c r="G151" s="8">
        <v>15018223</v>
      </c>
      <c r="H151" s="8">
        <v>802094744</v>
      </c>
      <c r="I151" s="8" t="s">
        <v>77</v>
      </c>
      <c r="J151" s="8" t="s">
        <v>32</v>
      </c>
      <c r="K151" s="8" t="s">
        <v>494</v>
      </c>
      <c r="L151" s="8" t="s">
        <v>1152</v>
      </c>
      <c r="M151" s="8" t="s">
        <v>1707</v>
      </c>
      <c r="N151" s="8" t="s">
        <v>1717</v>
      </c>
      <c r="O151" s="8">
        <v>496.8</v>
      </c>
      <c r="P151" s="8" t="s">
        <v>48</v>
      </c>
      <c r="Q151" s="8" t="s">
        <v>206</v>
      </c>
      <c r="R151" s="8" t="s">
        <v>35</v>
      </c>
      <c r="S151" s="8">
        <v>20</v>
      </c>
      <c r="T151" s="8" t="s">
        <v>36</v>
      </c>
      <c r="U151" s="8" t="s">
        <v>763</v>
      </c>
      <c r="V151" s="8" t="s">
        <v>65</v>
      </c>
      <c r="W151" s="8" t="s">
        <v>1167</v>
      </c>
      <c r="X151" s="8"/>
      <c r="Y151" s="8">
        <v>480</v>
      </c>
      <c r="Z151" s="8"/>
      <c r="AA151" s="8" t="s">
        <v>39</v>
      </c>
      <c r="AB151" s="8">
        <v>31</v>
      </c>
      <c r="AC151" s="21" t="str">
        <f t="shared" si="31"/>
        <v>16/08/2020</v>
      </c>
      <c r="AD151" s="21" t="str">
        <f t="shared" si="32"/>
        <v>11/09/2020</v>
      </c>
      <c r="AE151" s="8"/>
      <c r="AF151" s="8"/>
      <c r="AG151" s="8"/>
    </row>
    <row r="152" spans="1:33" x14ac:dyDescent="0.2">
      <c r="A152" s="8">
        <v>2502</v>
      </c>
      <c r="B152" s="16">
        <v>44073</v>
      </c>
      <c r="C152" s="8">
        <v>30012831</v>
      </c>
      <c r="D152" s="8" t="s">
        <v>28</v>
      </c>
      <c r="E152" s="8" t="s">
        <v>98</v>
      </c>
      <c r="F152" s="8" t="s">
        <v>205</v>
      </c>
      <c r="G152" s="8">
        <v>15018324</v>
      </c>
      <c r="H152" s="8">
        <v>802094882</v>
      </c>
      <c r="I152" s="8" t="s">
        <v>99</v>
      </c>
      <c r="J152" s="8" t="s">
        <v>32</v>
      </c>
      <c r="K152" s="8" t="s">
        <v>503</v>
      </c>
      <c r="L152" s="8" t="s">
        <v>1116</v>
      </c>
      <c r="M152" s="8" t="s">
        <v>1709</v>
      </c>
      <c r="N152" s="8" t="s">
        <v>1717</v>
      </c>
      <c r="O152" s="8">
        <v>296.71199999999999</v>
      </c>
      <c r="P152" s="8" t="s">
        <v>492</v>
      </c>
      <c r="Q152" s="8" t="s">
        <v>34</v>
      </c>
      <c r="R152" s="8" t="s">
        <v>35</v>
      </c>
      <c r="S152" s="8">
        <v>13</v>
      </c>
      <c r="T152" s="8" t="s">
        <v>87</v>
      </c>
      <c r="U152" s="8" t="s">
        <v>290</v>
      </c>
      <c r="V152" s="8" t="s">
        <v>493</v>
      </c>
      <c r="W152" s="8" t="s">
        <v>1174</v>
      </c>
      <c r="X152" s="8"/>
      <c r="Y152" s="8">
        <v>312</v>
      </c>
      <c r="Z152" s="8"/>
      <c r="AA152" s="8" t="s">
        <v>39</v>
      </c>
      <c r="AB152" s="8">
        <v>31</v>
      </c>
      <c r="AC152" s="23" t="str">
        <f>M152</f>
        <v>21/08/2020</v>
      </c>
      <c r="AD152" s="23" t="str">
        <f>N152</f>
        <v>11/09/2020</v>
      </c>
      <c r="AE152" s="8">
        <v>0</v>
      </c>
      <c r="AF152" s="8">
        <v>0</v>
      </c>
      <c r="AG152" s="8"/>
    </row>
    <row r="153" spans="1:33" x14ac:dyDescent="0.2">
      <c r="A153" s="8">
        <v>2504</v>
      </c>
      <c r="B153" s="16">
        <v>44073</v>
      </c>
      <c r="C153" s="8">
        <v>30012808</v>
      </c>
      <c r="D153" s="8" t="s">
        <v>28</v>
      </c>
      <c r="E153" s="8" t="s">
        <v>98</v>
      </c>
      <c r="F153" s="8" t="s">
        <v>205</v>
      </c>
      <c r="G153" s="8">
        <v>15018320</v>
      </c>
      <c r="H153" s="8">
        <v>802095106</v>
      </c>
      <c r="I153" s="8" t="s">
        <v>77</v>
      </c>
      <c r="J153" s="8" t="s">
        <v>32</v>
      </c>
      <c r="K153" s="8" t="s">
        <v>494</v>
      </c>
      <c r="L153" s="8" t="s">
        <v>1152</v>
      </c>
      <c r="M153" s="8" t="s">
        <v>1707</v>
      </c>
      <c r="N153" s="8" t="s">
        <v>1717</v>
      </c>
      <c r="O153" s="8">
        <v>198.72</v>
      </c>
      <c r="P153" s="8" t="s">
        <v>48</v>
      </c>
      <c r="Q153" s="8" t="s">
        <v>206</v>
      </c>
      <c r="R153" s="8" t="s">
        <v>35</v>
      </c>
      <c r="S153" s="8">
        <v>8</v>
      </c>
      <c r="T153" s="8" t="s">
        <v>36</v>
      </c>
      <c r="U153" s="8" t="s">
        <v>763</v>
      </c>
      <c r="V153" s="8" t="s">
        <v>65</v>
      </c>
      <c r="W153" s="8" t="s">
        <v>1170</v>
      </c>
      <c r="X153" s="8"/>
      <c r="Y153" s="8">
        <v>192</v>
      </c>
      <c r="Z153" s="8"/>
      <c r="AA153" s="8" t="s">
        <v>39</v>
      </c>
      <c r="AB153" s="8">
        <v>31</v>
      </c>
      <c r="AC153" s="21" t="str">
        <f t="shared" ref="AC153:AC154" si="33">M153</f>
        <v>16/08/2020</v>
      </c>
      <c r="AD153" s="21" t="str">
        <f t="shared" ref="AD153:AD154" si="34">N153</f>
        <v>11/09/2020</v>
      </c>
      <c r="AE153" s="8"/>
      <c r="AF153" s="8"/>
      <c r="AG153" s="8"/>
    </row>
    <row r="154" spans="1:33" x14ac:dyDescent="0.2">
      <c r="A154" s="8">
        <v>2504</v>
      </c>
      <c r="B154" s="16">
        <v>44063</v>
      </c>
      <c r="C154" s="8">
        <v>30012818</v>
      </c>
      <c r="D154" s="8" t="s">
        <v>62</v>
      </c>
      <c r="E154" s="8" t="s">
        <v>217</v>
      </c>
      <c r="F154" s="8" t="s">
        <v>218</v>
      </c>
      <c r="G154" s="8">
        <v>15018227</v>
      </c>
      <c r="H154" s="8">
        <v>802094748</v>
      </c>
      <c r="I154" s="8" t="s">
        <v>77</v>
      </c>
      <c r="J154" s="8" t="s">
        <v>32</v>
      </c>
      <c r="K154" s="8" t="s">
        <v>522</v>
      </c>
      <c r="L154" s="8" t="s">
        <v>1182</v>
      </c>
      <c r="M154" s="8" t="s">
        <v>1698</v>
      </c>
      <c r="N154" s="8" t="s">
        <v>1749</v>
      </c>
      <c r="O154" s="8">
        <v>496.8</v>
      </c>
      <c r="P154" s="8" t="s">
        <v>48</v>
      </c>
      <c r="Q154" s="8" t="s">
        <v>206</v>
      </c>
      <c r="R154" s="8" t="s">
        <v>35</v>
      </c>
      <c r="S154" s="8">
        <v>20</v>
      </c>
      <c r="T154" s="8" t="s">
        <v>36</v>
      </c>
      <c r="U154" s="8" t="s">
        <v>1139</v>
      </c>
      <c r="V154" s="8" t="s">
        <v>1706</v>
      </c>
      <c r="W154" s="8" t="s">
        <v>1183</v>
      </c>
      <c r="X154" s="8"/>
      <c r="Y154" s="8">
        <v>480</v>
      </c>
      <c r="Z154" s="8"/>
      <c r="AA154" s="8" t="s">
        <v>39</v>
      </c>
      <c r="AB154" s="8">
        <v>31</v>
      </c>
      <c r="AC154" s="21" t="str">
        <f t="shared" si="33"/>
        <v>17/08/2020</v>
      </c>
      <c r="AD154" s="21" t="str">
        <f t="shared" si="34"/>
        <v>15/09/2020</v>
      </c>
      <c r="AE154" s="8"/>
      <c r="AF154" s="8"/>
      <c r="AG154" s="8"/>
    </row>
    <row r="155" spans="1:33" x14ac:dyDescent="0.2">
      <c r="A155" s="8">
        <v>2503</v>
      </c>
      <c r="B155" s="16">
        <v>44073</v>
      </c>
      <c r="C155" s="8">
        <v>30012821</v>
      </c>
      <c r="D155" s="8" t="s">
        <v>28</v>
      </c>
      <c r="E155" s="8" t="s">
        <v>129</v>
      </c>
      <c r="F155" s="8" t="s">
        <v>371</v>
      </c>
      <c r="G155" s="8">
        <v>15018328</v>
      </c>
      <c r="H155" s="8">
        <v>802094893</v>
      </c>
      <c r="I155" s="8" t="s">
        <v>372</v>
      </c>
      <c r="J155" s="8" t="s">
        <v>223</v>
      </c>
      <c r="K155" s="8" t="s">
        <v>1190</v>
      </c>
      <c r="L155" s="8" t="s">
        <v>622</v>
      </c>
      <c r="M155" s="8" t="s">
        <v>1698</v>
      </c>
      <c r="N155" s="8" t="s">
        <v>1759</v>
      </c>
      <c r="O155" s="8">
        <v>412</v>
      </c>
      <c r="P155" s="8" t="s">
        <v>287</v>
      </c>
      <c r="Q155" s="8" t="s">
        <v>373</v>
      </c>
      <c r="R155" s="8" t="s">
        <v>374</v>
      </c>
      <c r="S155" s="8">
        <v>20</v>
      </c>
      <c r="T155" s="8" t="s">
        <v>87</v>
      </c>
      <c r="U155" s="8" t="s">
        <v>290</v>
      </c>
      <c r="V155" s="8" t="s">
        <v>65</v>
      </c>
      <c r="W155" s="8" t="s">
        <v>1191</v>
      </c>
      <c r="X155" s="8"/>
      <c r="Y155" s="8">
        <v>400</v>
      </c>
      <c r="Z155" s="8"/>
      <c r="AA155" s="8" t="s">
        <v>39</v>
      </c>
      <c r="AB155" s="8">
        <v>31</v>
      </c>
      <c r="AC155" s="23" t="str">
        <f>M155</f>
        <v>17/08/2020</v>
      </c>
      <c r="AD155" s="23" t="str">
        <f>N155</f>
        <v>09/10/2020</v>
      </c>
      <c r="AE155" s="8">
        <v>0</v>
      </c>
      <c r="AF155" s="8">
        <v>0</v>
      </c>
      <c r="AG155" s="8"/>
    </row>
    <row r="156" spans="1:33" x14ac:dyDescent="0.2">
      <c r="A156" s="8">
        <v>2501</v>
      </c>
      <c r="B156" s="16">
        <v>44058</v>
      </c>
      <c r="C156" s="8">
        <v>30012775</v>
      </c>
      <c r="D156" s="8" t="s">
        <v>62</v>
      </c>
      <c r="E156" s="8" t="s">
        <v>217</v>
      </c>
      <c r="F156" s="8" t="s">
        <v>218</v>
      </c>
      <c r="G156" s="8">
        <v>15018219</v>
      </c>
      <c r="H156" s="8">
        <v>802094836</v>
      </c>
      <c r="I156" s="8" t="s">
        <v>31</v>
      </c>
      <c r="J156" s="8" t="s">
        <v>32</v>
      </c>
      <c r="K156" s="8" t="s">
        <v>500</v>
      </c>
      <c r="L156" s="8" t="s">
        <v>1081</v>
      </c>
      <c r="M156" s="8" t="s">
        <v>1720</v>
      </c>
      <c r="N156" s="8" t="s">
        <v>1732</v>
      </c>
      <c r="O156" s="8">
        <v>512.06399999999996</v>
      </c>
      <c r="P156" s="8" t="s">
        <v>33</v>
      </c>
      <c r="Q156" s="8" t="s">
        <v>206</v>
      </c>
      <c r="R156" s="8" t="s">
        <v>35</v>
      </c>
      <c r="S156" s="8">
        <v>21</v>
      </c>
      <c r="T156" s="8" t="s">
        <v>36</v>
      </c>
      <c r="U156" s="8" t="s">
        <v>290</v>
      </c>
      <c r="V156" s="8" t="s">
        <v>1699</v>
      </c>
      <c r="W156" s="8" t="s">
        <v>1195</v>
      </c>
      <c r="X156" s="8"/>
      <c r="Y156" s="8">
        <v>504</v>
      </c>
      <c r="Z156" s="8"/>
      <c r="AA156" s="8" t="s">
        <v>39</v>
      </c>
      <c r="AB156" s="8">
        <v>31</v>
      </c>
      <c r="AC156" s="23">
        <v>44065</v>
      </c>
      <c r="AD156" s="23" t="s">
        <v>1711</v>
      </c>
      <c r="AE156" s="8">
        <v>0</v>
      </c>
      <c r="AF156" s="8">
        <v>-1</v>
      </c>
      <c r="AG156" s="8"/>
    </row>
    <row r="157" spans="1:33" x14ac:dyDescent="0.2">
      <c r="A157" s="8">
        <v>2504</v>
      </c>
      <c r="B157" s="16">
        <v>44058</v>
      </c>
      <c r="C157" s="8">
        <v>30012818</v>
      </c>
      <c r="D157" s="8" t="s">
        <v>62</v>
      </c>
      <c r="E157" s="8" t="s">
        <v>217</v>
      </c>
      <c r="F157" s="8" t="s">
        <v>218</v>
      </c>
      <c r="G157" s="8">
        <v>15018228</v>
      </c>
      <c r="H157" s="8">
        <v>802094749</v>
      </c>
      <c r="I157" s="8" t="s">
        <v>77</v>
      </c>
      <c r="J157" s="8" t="s">
        <v>32</v>
      </c>
      <c r="K157" s="8" t="s">
        <v>522</v>
      </c>
      <c r="L157" s="8" t="s">
        <v>1182</v>
      </c>
      <c r="M157" s="8" t="s">
        <v>1698</v>
      </c>
      <c r="N157" s="8" t="s">
        <v>1749</v>
      </c>
      <c r="O157" s="8">
        <v>496.8</v>
      </c>
      <c r="P157" s="8" t="s">
        <v>48</v>
      </c>
      <c r="Q157" s="8" t="s">
        <v>206</v>
      </c>
      <c r="R157" s="8" t="s">
        <v>35</v>
      </c>
      <c r="S157" s="8">
        <v>20</v>
      </c>
      <c r="T157" s="8" t="s">
        <v>36</v>
      </c>
      <c r="U157" s="8" t="s">
        <v>1139</v>
      </c>
      <c r="V157" s="8" t="s">
        <v>1706</v>
      </c>
      <c r="W157" s="8" t="s">
        <v>1186</v>
      </c>
      <c r="X157" s="8"/>
      <c r="Y157" s="8">
        <v>480</v>
      </c>
      <c r="Z157" s="8"/>
      <c r="AA157" s="8" t="s">
        <v>39</v>
      </c>
      <c r="AB157" s="8">
        <v>31</v>
      </c>
      <c r="AC157" s="21" t="str">
        <f t="shared" ref="AC157:AC160" si="35">M157</f>
        <v>17/08/2020</v>
      </c>
      <c r="AD157" s="21" t="str">
        <f t="shared" ref="AD157:AD160" si="36">N157</f>
        <v>15/09/2020</v>
      </c>
      <c r="AE157" s="8"/>
      <c r="AF157" s="8"/>
      <c r="AG157" s="8"/>
    </row>
    <row r="158" spans="1:33" x14ac:dyDescent="0.2">
      <c r="A158" s="8">
        <v>2504</v>
      </c>
      <c r="B158" s="16">
        <v>44068</v>
      </c>
      <c r="C158" s="8">
        <v>30012805</v>
      </c>
      <c r="D158" s="8" t="s">
        <v>91</v>
      </c>
      <c r="E158" s="8" t="s">
        <v>258</v>
      </c>
      <c r="F158" s="8" t="s">
        <v>259</v>
      </c>
      <c r="G158" s="8">
        <v>15018203</v>
      </c>
      <c r="H158" s="8">
        <v>802094738</v>
      </c>
      <c r="I158" s="8" t="s">
        <v>77</v>
      </c>
      <c r="J158" s="8" t="s">
        <v>32</v>
      </c>
      <c r="K158" s="8" t="s">
        <v>1199</v>
      </c>
      <c r="L158" s="8" t="s">
        <v>740</v>
      </c>
      <c r="M158" s="8" t="s">
        <v>1740</v>
      </c>
      <c r="N158" s="8" t="s">
        <v>1717</v>
      </c>
      <c r="O158" s="8">
        <v>298.08</v>
      </c>
      <c r="P158" s="8" t="s">
        <v>48</v>
      </c>
      <c r="Q158" s="8" t="s">
        <v>134</v>
      </c>
      <c r="R158" s="8" t="s">
        <v>135</v>
      </c>
      <c r="S158" s="8">
        <v>12</v>
      </c>
      <c r="T158" s="8" t="s">
        <v>36</v>
      </c>
      <c r="U158" s="8" t="s">
        <v>1139</v>
      </c>
      <c r="V158" s="8" t="s">
        <v>155</v>
      </c>
      <c r="W158" s="8" t="s">
        <v>1200</v>
      </c>
      <c r="X158" s="8"/>
      <c r="Y158" s="8">
        <v>288</v>
      </c>
      <c r="Z158" s="8"/>
      <c r="AA158" s="8" t="s">
        <v>39</v>
      </c>
      <c r="AB158" s="8">
        <v>31</v>
      </c>
      <c r="AC158" s="21" t="str">
        <f t="shared" si="35"/>
        <v>18/08/2020</v>
      </c>
      <c r="AD158" s="21" t="str">
        <f t="shared" si="36"/>
        <v>11/09/2020</v>
      </c>
      <c r="AE158" s="8"/>
      <c r="AF158" s="8"/>
      <c r="AG158" s="8"/>
    </row>
    <row r="159" spans="1:33" x14ac:dyDescent="0.2">
      <c r="A159" s="8">
        <v>2504</v>
      </c>
      <c r="B159" s="16">
        <v>44055</v>
      </c>
      <c r="C159" s="8">
        <v>30012816</v>
      </c>
      <c r="D159" s="8" t="s">
        <v>62</v>
      </c>
      <c r="E159" s="8" t="s">
        <v>167</v>
      </c>
      <c r="F159" s="8" t="s">
        <v>168</v>
      </c>
      <c r="G159" s="8">
        <v>15018192</v>
      </c>
      <c r="H159" s="8">
        <v>802094730</v>
      </c>
      <c r="I159" s="8" t="s">
        <v>77</v>
      </c>
      <c r="J159" s="8" t="s">
        <v>32</v>
      </c>
      <c r="K159" s="8" t="s">
        <v>1087</v>
      </c>
      <c r="L159" s="8" t="s">
        <v>760</v>
      </c>
      <c r="M159" s="8" t="s">
        <v>1740</v>
      </c>
      <c r="N159" s="8" t="s">
        <v>1751</v>
      </c>
      <c r="O159" s="8">
        <v>198.72</v>
      </c>
      <c r="P159" s="8" t="s">
        <v>48</v>
      </c>
      <c r="Q159" s="8" t="s">
        <v>498</v>
      </c>
      <c r="R159" s="8" t="s">
        <v>169</v>
      </c>
      <c r="S159" s="8">
        <v>8</v>
      </c>
      <c r="T159" s="8" t="s">
        <v>36</v>
      </c>
      <c r="U159" s="8" t="s">
        <v>1139</v>
      </c>
      <c r="V159" s="8" t="s">
        <v>1706</v>
      </c>
      <c r="W159" s="8" t="s">
        <v>1204</v>
      </c>
      <c r="X159" s="8"/>
      <c r="Y159" s="8">
        <v>192</v>
      </c>
      <c r="Z159" s="8" t="s">
        <v>1205</v>
      </c>
      <c r="AA159" s="8" t="s">
        <v>39</v>
      </c>
      <c r="AB159" s="8">
        <v>31</v>
      </c>
      <c r="AC159" s="21" t="str">
        <f t="shared" si="35"/>
        <v>18/08/2020</v>
      </c>
      <c r="AD159" s="21" t="str">
        <f t="shared" si="36"/>
        <v>07/09/2020</v>
      </c>
      <c r="AE159" s="8"/>
      <c r="AF159" s="8"/>
      <c r="AG159" s="8"/>
    </row>
    <row r="160" spans="1:33" x14ac:dyDescent="0.2">
      <c r="A160" s="8">
        <v>2504</v>
      </c>
      <c r="B160" s="16">
        <v>44055</v>
      </c>
      <c r="C160" s="8">
        <v>30012816</v>
      </c>
      <c r="D160" s="8" t="s">
        <v>62</v>
      </c>
      <c r="E160" s="8" t="s">
        <v>251</v>
      </c>
      <c r="F160" s="8" t="s">
        <v>252</v>
      </c>
      <c r="G160" s="8">
        <v>15018196</v>
      </c>
      <c r="H160" s="8">
        <v>802094734</v>
      </c>
      <c r="I160" s="8" t="s">
        <v>77</v>
      </c>
      <c r="J160" s="8" t="s">
        <v>32</v>
      </c>
      <c r="K160" s="8" t="s">
        <v>1087</v>
      </c>
      <c r="L160" s="8" t="s">
        <v>760</v>
      </c>
      <c r="M160" s="8" t="s">
        <v>1740</v>
      </c>
      <c r="N160" s="8" t="s">
        <v>1751</v>
      </c>
      <c r="O160" s="8">
        <v>414</v>
      </c>
      <c r="P160" s="8" t="s">
        <v>48</v>
      </c>
      <c r="Q160" s="8" t="s">
        <v>498</v>
      </c>
      <c r="R160" s="8" t="s">
        <v>250</v>
      </c>
      <c r="S160" s="8">
        <v>20</v>
      </c>
      <c r="T160" s="8" t="s">
        <v>42</v>
      </c>
      <c r="U160" s="8" t="s">
        <v>1139</v>
      </c>
      <c r="V160" s="8" t="s">
        <v>1706</v>
      </c>
      <c r="W160" s="8" t="s">
        <v>1208</v>
      </c>
      <c r="X160" s="8"/>
      <c r="Y160" s="8">
        <v>400</v>
      </c>
      <c r="Z160" s="8" t="s">
        <v>981</v>
      </c>
      <c r="AA160" s="8" t="s">
        <v>39</v>
      </c>
      <c r="AB160" s="8">
        <v>31</v>
      </c>
      <c r="AC160" s="21" t="str">
        <f t="shared" si="35"/>
        <v>18/08/2020</v>
      </c>
      <c r="AD160" s="21" t="str">
        <f t="shared" si="36"/>
        <v>07/09/2020</v>
      </c>
      <c r="AE160" s="8"/>
      <c r="AF160" s="8"/>
      <c r="AG160" s="8"/>
    </row>
    <row r="161" spans="1:33" x14ac:dyDescent="0.2">
      <c r="A161" s="8">
        <v>2502</v>
      </c>
      <c r="B161" s="16">
        <v>44058</v>
      </c>
      <c r="C161" s="8">
        <v>30012758</v>
      </c>
      <c r="D161" s="8" t="s">
        <v>91</v>
      </c>
      <c r="E161" s="8" t="s">
        <v>217</v>
      </c>
      <c r="F161" s="8" t="s">
        <v>218</v>
      </c>
      <c r="G161" s="8">
        <v>15018176</v>
      </c>
      <c r="H161" s="8">
        <v>802094755</v>
      </c>
      <c r="I161" s="8" t="s">
        <v>267</v>
      </c>
      <c r="J161" s="8" t="s">
        <v>47</v>
      </c>
      <c r="K161" s="8" t="s">
        <v>487</v>
      </c>
      <c r="L161" s="8" t="s">
        <v>764</v>
      </c>
      <c r="M161" s="8" t="s">
        <v>1742</v>
      </c>
      <c r="N161" s="8" t="s">
        <v>1761</v>
      </c>
      <c r="O161" s="8">
        <v>293.76</v>
      </c>
      <c r="P161" s="8" t="s">
        <v>84</v>
      </c>
      <c r="Q161" s="8" t="s">
        <v>206</v>
      </c>
      <c r="R161" s="8" t="s">
        <v>268</v>
      </c>
      <c r="S161" s="8">
        <v>15</v>
      </c>
      <c r="T161" s="8" t="s">
        <v>87</v>
      </c>
      <c r="U161" s="8" t="s">
        <v>290</v>
      </c>
      <c r="V161" s="8" t="s">
        <v>88</v>
      </c>
      <c r="W161" s="8" t="s">
        <v>1221</v>
      </c>
      <c r="X161" s="8"/>
      <c r="Y161" s="8">
        <v>30</v>
      </c>
      <c r="Z161" s="8"/>
      <c r="AA161" s="8" t="s">
        <v>39</v>
      </c>
      <c r="AB161" s="8">
        <v>31</v>
      </c>
      <c r="AC161" s="23" t="str">
        <f>M161</f>
        <v>19/08/2020</v>
      </c>
      <c r="AD161" s="23" t="str">
        <f>N161</f>
        <v>18/09/2020</v>
      </c>
      <c r="AE161" s="8">
        <v>0</v>
      </c>
      <c r="AF161" s="8">
        <v>0</v>
      </c>
      <c r="AG161" s="8"/>
    </row>
    <row r="162" spans="1:33" x14ac:dyDescent="0.2">
      <c r="A162" s="8">
        <v>2502</v>
      </c>
      <c r="B162" s="16">
        <v>44055</v>
      </c>
      <c r="C162" s="8">
        <v>30012758</v>
      </c>
      <c r="D162" s="8" t="s">
        <v>62</v>
      </c>
      <c r="E162" s="8" t="s">
        <v>375</v>
      </c>
      <c r="F162" s="8" t="s">
        <v>376</v>
      </c>
      <c r="G162" s="8">
        <v>15018189</v>
      </c>
      <c r="H162" s="8">
        <v>802094757</v>
      </c>
      <c r="I162" s="8" t="s">
        <v>94</v>
      </c>
      <c r="J162" s="8" t="s">
        <v>95</v>
      </c>
      <c r="K162" s="8" t="s">
        <v>487</v>
      </c>
      <c r="L162" s="8" t="s">
        <v>764</v>
      </c>
      <c r="M162" s="8" t="s">
        <v>1742</v>
      </c>
      <c r="N162" s="8" t="s">
        <v>1754</v>
      </c>
      <c r="O162" s="8">
        <v>168.72</v>
      </c>
      <c r="P162" s="8" t="s">
        <v>84</v>
      </c>
      <c r="Q162" s="8" t="s">
        <v>100</v>
      </c>
      <c r="R162" s="8" t="s">
        <v>101</v>
      </c>
      <c r="S162" s="8">
        <v>8</v>
      </c>
      <c r="T162" s="8" t="s">
        <v>87</v>
      </c>
      <c r="U162" s="8" t="s">
        <v>290</v>
      </c>
      <c r="V162" s="8" t="s">
        <v>88</v>
      </c>
      <c r="W162" s="8" t="s">
        <v>1224</v>
      </c>
      <c r="X162" s="8"/>
      <c r="Y162" s="8">
        <v>120</v>
      </c>
      <c r="Z162" s="8" t="s">
        <v>1225</v>
      </c>
      <c r="AA162" s="8" t="s">
        <v>39</v>
      </c>
      <c r="AB162" s="8">
        <v>31</v>
      </c>
      <c r="AC162" s="23" t="str">
        <f t="shared" ref="AC162:AC173" si="37">M162</f>
        <v>19/08/2020</v>
      </c>
      <c r="AD162" s="23" t="str">
        <f t="shared" ref="AD162:AD173" si="38">N162</f>
        <v>16/09/2020</v>
      </c>
      <c r="AE162" s="8">
        <v>0</v>
      </c>
      <c r="AF162" s="8">
        <v>0</v>
      </c>
      <c r="AG162" s="8"/>
    </row>
    <row r="163" spans="1:33" x14ac:dyDescent="0.2">
      <c r="A163" s="8">
        <v>2502</v>
      </c>
      <c r="B163" s="16">
        <v>44058</v>
      </c>
      <c r="C163" s="8">
        <v>30012758</v>
      </c>
      <c r="D163" s="8" t="s">
        <v>28</v>
      </c>
      <c r="E163" s="8" t="s">
        <v>80</v>
      </c>
      <c r="F163" s="8" t="s">
        <v>81</v>
      </c>
      <c r="G163" s="8">
        <v>15018326</v>
      </c>
      <c r="H163" s="8">
        <v>802094891</v>
      </c>
      <c r="I163" s="8" t="s">
        <v>82</v>
      </c>
      <c r="J163" s="8" t="s">
        <v>83</v>
      </c>
      <c r="K163" s="8" t="s">
        <v>487</v>
      </c>
      <c r="L163" s="8" t="s">
        <v>764</v>
      </c>
      <c r="M163" s="8" t="s">
        <v>1742</v>
      </c>
      <c r="N163" s="8" t="s">
        <v>1762</v>
      </c>
      <c r="O163" s="8">
        <v>293.56799999999998</v>
      </c>
      <c r="P163" s="8" t="s">
        <v>84</v>
      </c>
      <c r="Q163" s="8" t="s">
        <v>85</v>
      </c>
      <c r="R163" s="8" t="s">
        <v>86</v>
      </c>
      <c r="S163" s="8">
        <v>12</v>
      </c>
      <c r="T163" s="8" t="s">
        <v>87</v>
      </c>
      <c r="U163" s="8" t="s">
        <v>290</v>
      </c>
      <c r="V163" s="8" t="s">
        <v>88</v>
      </c>
      <c r="W163" s="8" t="s">
        <v>1228</v>
      </c>
      <c r="X163" s="8"/>
      <c r="Y163" s="8">
        <v>528</v>
      </c>
      <c r="Z163" s="8"/>
      <c r="AA163" s="8" t="s">
        <v>39</v>
      </c>
      <c r="AB163" s="8">
        <v>31</v>
      </c>
      <c r="AC163" s="23" t="str">
        <f t="shared" si="37"/>
        <v>19/08/2020</v>
      </c>
      <c r="AD163" s="23" t="str">
        <f t="shared" si="38"/>
        <v>01/10/2020</v>
      </c>
      <c r="AE163" s="8">
        <v>0</v>
      </c>
      <c r="AF163" s="8">
        <v>0</v>
      </c>
      <c r="AG163" s="8"/>
    </row>
    <row r="164" spans="1:33" x14ac:dyDescent="0.2">
      <c r="A164" s="8">
        <v>2502</v>
      </c>
      <c r="B164" s="16">
        <v>44073</v>
      </c>
      <c r="C164" s="8">
        <v>30012758</v>
      </c>
      <c r="D164" s="8" t="s">
        <v>28</v>
      </c>
      <c r="E164" s="8" t="s">
        <v>98</v>
      </c>
      <c r="F164" s="8" t="s">
        <v>205</v>
      </c>
      <c r="G164" s="8">
        <v>15018337</v>
      </c>
      <c r="H164" s="8">
        <v>802094902</v>
      </c>
      <c r="I164" s="8" t="s">
        <v>89</v>
      </c>
      <c r="J164" s="8" t="s">
        <v>90</v>
      </c>
      <c r="K164" s="8" t="s">
        <v>487</v>
      </c>
      <c r="L164" s="8" t="s">
        <v>764</v>
      </c>
      <c r="M164" s="8" t="s">
        <v>1742</v>
      </c>
      <c r="N164" s="8" t="s">
        <v>1743</v>
      </c>
      <c r="O164" s="8">
        <v>498.4</v>
      </c>
      <c r="P164" s="8" t="s">
        <v>84</v>
      </c>
      <c r="Q164" s="8" t="s">
        <v>1231</v>
      </c>
      <c r="R164" s="8" t="s">
        <v>1232</v>
      </c>
      <c r="S164" s="8">
        <v>20</v>
      </c>
      <c r="T164" s="8" t="s">
        <v>87</v>
      </c>
      <c r="U164" s="8" t="s">
        <v>290</v>
      </c>
      <c r="V164" s="8" t="s">
        <v>88</v>
      </c>
      <c r="W164" s="8" t="s">
        <v>1233</v>
      </c>
      <c r="X164" s="8"/>
      <c r="Y164" s="8">
        <v>700</v>
      </c>
      <c r="Z164" s="8"/>
      <c r="AA164" s="8" t="s">
        <v>39</v>
      </c>
      <c r="AB164" s="8">
        <v>31</v>
      </c>
      <c r="AC164" s="23" t="str">
        <f t="shared" si="37"/>
        <v>19/08/2020</v>
      </c>
      <c r="AD164" s="23" t="str">
        <f t="shared" si="38"/>
        <v>25/09/2020</v>
      </c>
      <c r="AE164" s="8">
        <v>0</v>
      </c>
      <c r="AF164" s="8">
        <v>0</v>
      </c>
      <c r="AG164" s="8"/>
    </row>
    <row r="165" spans="1:33" x14ac:dyDescent="0.2">
      <c r="A165" s="8">
        <v>2502</v>
      </c>
      <c r="B165" s="16">
        <v>44073</v>
      </c>
      <c r="C165" s="8">
        <v>30012758</v>
      </c>
      <c r="D165" s="8" t="s">
        <v>91</v>
      </c>
      <c r="E165" s="8" t="s">
        <v>107</v>
      </c>
      <c r="F165" s="8" t="s">
        <v>505</v>
      </c>
      <c r="G165" s="8">
        <v>15018349</v>
      </c>
      <c r="H165" s="8">
        <v>802094910</v>
      </c>
      <c r="I165" s="8" t="s">
        <v>31</v>
      </c>
      <c r="J165" s="8" t="s">
        <v>32</v>
      </c>
      <c r="K165" s="8" t="s">
        <v>487</v>
      </c>
      <c r="L165" s="8" t="s">
        <v>764</v>
      </c>
      <c r="M165" s="8" t="s">
        <v>1742</v>
      </c>
      <c r="N165" s="8" t="s">
        <v>1751</v>
      </c>
      <c r="O165" s="8">
        <v>90.16</v>
      </c>
      <c r="P165" s="8" t="s">
        <v>84</v>
      </c>
      <c r="Q165" s="8" t="s">
        <v>105</v>
      </c>
      <c r="R165" s="8" t="s">
        <v>106</v>
      </c>
      <c r="S165" s="8">
        <v>4</v>
      </c>
      <c r="T165" s="8" t="s">
        <v>87</v>
      </c>
      <c r="U165" s="8" t="s">
        <v>290</v>
      </c>
      <c r="V165" s="8" t="s">
        <v>88</v>
      </c>
      <c r="W165" s="8" t="s">
        <v>1236</v>
      </c>
      <c r="X165" s="8"/>
      <c r="Y165" s="8">
        <v>92</v>
      </c>
      <c r="Z165" s="8"/>
      <c r="AA165" s="8" t="s">
        <v>109</v>
      </c>
      <c r="AB165" s="8">
        <v>31</v>
      </c>
      <c r="AC165" s="23" t="str">
        <f t="shared" si="37"/>
        <v>19/08/2020</v>
      </c>
      <c r="AD165" s="23" t="str">
        <f t="shared" si="38"/>
        <v>07/09/2020</v>
      </c>
      <c r="AE165" s="8">
        <v>0</v>
      </c>
      <c r="AF165" s="8">
        <v>0</v>
      </c>
      <c r="AG165" s="8"/>
    </row>
    <row r="166" spans="1:33" x14ac:dyDescent="0.2">
      <c r="A166" s="8">
        <v>2502</v>
      </c>
      <c r="B166" s="16">
        <v>44053</v>
      </c>
      <c r="C166" s="8">
        <v>30012758</v>
      </c>
      <c r="D166" s="8" t="s">
        <v>44</v>
      </c>
      <c r="E166" s="8" t="s">
        <v>273</v>
      </c>
      <c r="F166" s="8" t="s">
        <v>274</v>
      </c>
      <c r="G166" s="8">
        <v>15018357</v>
      </c>
      <c r="H166" s="8">
        <v>802094917</v>
      </c>
      <c r="I166" s="8" t="s">
        <v>275</v>
      </c>
      <c r="J166" s="8" t="s">
        <v>95</v>
      </c>
      <c r="K166" s="8" t="s">
        <v>487</v>
      </c>
      <c r="L166" s="8" t="s">
        <v>764</v>
      </c>
      <c r="M166" s="8" t="s">
        <v>1742</v>
      </c>
      <c r="N166" s="8" t="s">
        <v>1753</v>
      </c>
      <c r="O166" s="8">
        <v>182.11199999999999</v>
      </c>
      <c r="P166" s="8" t="s">
        <v>84</v>
      </c>
      <c r="Q166" s="8" t="s">
        <v>131</v>
      </c>
      <c r="R166" s="8" t="s">
        <v>185</v>
      </c>
      <c r="S166" s="8">
        <v>8</v>
      </c>
      <c r="T166" s="8" t="s">
        <v>87</v>
      </c>
      <c r="U166" s="8" t="s">
        <v>290</v>
      </c>
      <c r="V166" s="8" t="s">
        <v>88</v>
      </c>
      <c r="W166" s="8" t="s">
        <v>1239</v>
      </c>
      <c r="X166" s="8"/>
      <c r="Y166" s="8">
        <v>168</v>
      </c>
      <c r="Z166" s="8"/>
      <c r="AA166" s="8" t="s">
        <v>39</v>
      </c>
      <c r="AB166" s="8">
        <v>31</v>
      </c>
      <c r="AC166" s="23" t="str">
        <f t="shared" si="37"/>
        <v>19/08/2020</v>
      </c>
      <c r="AD166" s="23" t="str">
        <f t="shared" si="38"/>
        <v>14/09/2020</v>
      </c>
      <c r="AE166" s="8">
        <v>0</v>
      </c>
      <c r="AF166" s="8">
        <v>0</v>
      </c>
      <c r="AG166" s="8"/>
    </row>
    <row r="167" spans="1:33" x14ac:dyDescent="0.2">
      <c r="A167" s="8">
        <v>2502</v>
      </c>
      <c r="B167" s="16">
        <v>44053</v>
      </c>
      <c r="C167" s="8">
        <v>30012758</v>
      </c>
      <c r="D167" s="8" t="s">
        <v>44</v>
      </c>
      <c r="E167" s="8" t="s">
        <v>273</v>
      </c>
      <c r="F167" s="8" t="s">
        <v>274</v>
      </c>
      <c r="G167" s="8">
        <v>15018358</v>
      </c>
      <c r="H167" s="8">
        <v>802094918</v>
      </c>
      <c r="I167" s="8" t="s">
        <v>275</v>
      </c>
      <c r="J167" s="8" t="s">
        <v>95</v>
      </c>
      <c r="K167" s="8" t="s">
        <v>487</v>
      </c>
      <c r="L167" s="8" t="s">
        <v>764</v>
      </c>
      <c r="M167" s="8" t="s">
        <v>1742</v>
      </c>
      <c r="N167" s="8" t="s">
        <v>1754</v>
      </c>
      <c r="O167" s="8">
        <v>68.292000000000002</v>
      </c>
      <c r="P167" s="8" t="s">
        <v>84</v>
      </c>
      <c r="Q167" s="8" t="s">
        <v>182</v>
      </c>
      <c r="R167" s="8" t="s">
        <v>183</v>
      </c>
      <c r="S167" s="8">
        <v>3</v>
      </c>
      <c r="T167" s="8" t="s">
        <v>87</v>
      </c>
      <c r="U167" s="8" t="s">
        <v>290</v>
      </c>
      <c r="V167" s="8" t="s">
        <v>88</v>
      </c>
      <c r="W167" s="8" t="s">
        <v>1243</v>
      </c>
      <c r="X167" s="8"/>
      <c r="Y167" s="8">
        <v>63</v>
      </c>
      <c r="Z167" s="8"/>
      <c r="AA167" s="8" t="s">
        <v>39</v>
      </c>
      <c r="AB167" s="8">
        <v>31</v>
      </c>
      <c r="AC167" s="23" t="str">
        <f t="shared" si="37"/>
        <v>19/08/2020</v>
      </c>
      <c r="AD167" s="23" t="str">
        <f t="shared" si="38"/>
        <v>16/09/2020</v>
      </c>
      <c r="AE167" s="8">
        <v>0</v>
      </c>
      <c r="AF167" s="8">
        <v>0</v>
      </c>
      <c r="AG167" s="8"/>
    </row>
    <row r="168" spans="1:33" x14ac:dyDescent="0.2">
      <c r="A168" s="8">
        <v>2502</v>
      </c>
      <c r="B168" s="16">
        <v>44063</v>
      </c>
      <c r="C168" s="8">
        <v>30012758</v>
      </c>
      <c r="D168" s="8" t="s">
        <v>91</v>
      </c>
      <c r="E168" s="8" t="s">
        <v>138</v>
      </c>
      <c r="F168" s="8" t="s">
        <v>265</v>
      </c>
      <c r="G168" s="8">
        <v>15018372</v>
      </c>
      <c r="H168" s="8">
        <v>802094998</v>
      </c>
      <c r="I168" s="8" t="s">
        <v>383</v>
      </c>
      <c r="J168" s="8" t="s">
        <v>83</v>
      </c>
      <c r="K168" s="8" t="s">
        <v>487</v>
      </c>
      <c r="L168" s="8" t="s">
        <v>764</v>
      </c>
      <c r="M168" s="8" t="s">
        <v>1742</v>
      </c>
      <c r="N168" s="8" t="s">
        <v>1761</v>
      </c>
      <c r="O168" s="8">
        <v>441.14</v>
      </c>
      <c r="P168" s="8" t="s">
        <v>84</v>
      </c>
      <c r="Q168" s="8" t="s">
        <v>206</v>
      </c>
      <c r="R168" s="8" t="s">
        <v>384</v>
      </c>
      <c r="S168" s="8">
        <v>23</v>
      </c>
      <c r="T168" s="8" t="s">
        <v>87</v>
      </c>
      <c r="U168" s="8" t="s">
        <v>290</v>
      </c>
      <c r="V168" s="8" t="s">
        <v>88</v>
      </c>
      <c r="W168" s="8" t="s">
        <v>1247</v>
      </c>
      <c r="X168" s="8"/>
      <c r="Y168" s="8">
        <v>460</v>
      </c>
      <c r="Z168" s="8"/>
      <c r="AA168" s="8" t="s">
        <v>39</v>
      </c>
      <c r="AB168" s="8">
        <v>31</v>
      </c>
      <c r="AC168" s="23" t="str">
        <f t="shared" si="37"/>
        <v>19/08/2020</v>
      </c>
      <c r="AD168" s="23" t="str">
        <f t="shared" si="38"/>
        <v>18/09/2020</v>
      </c>
      <c r="AE168" s="8">
        <v>0</v>
      </c>
      <c r="AF168" s="8">
        <v>0</v>
      </c>
      <c r="AG168" s="8"/>
    </row>
    <row r="169" spans="1:33" x14ac:dyDescent="0.2">
      <c r="A169" s="8">
        <v>2502</v>
      </c>
      <c r="B169" s="16">
        <v>44048</v>
      </c>
      <c r="C169" s="8">
        <v>30012758</v>
      </c>
      <c r="D169" s="8" t="s">
        <v>152</v>
      </c>
      <c r="E169" s="8" t="s">
        <v>138</v>
      </c>
      <c r="F169" s="8" t="s">
        <v>265</v>
      </c>
      <c r="G169" s="8">
        <v>15018374</v>
      </c>
      <c r="H169" s="8">
        <v>802095000</v>
      </c>
      <c r="I169" s="8" t="s">
        <v>598</v>
      </c>
      <c r="J169" s="8" t="s">
        <v>47</v>
      </c>
      <c r="K169" s="8" t="s">
        <v>487</v>
      </c>
      <c r="L169" s="8" t="s">
        <v>764</v>
      </c>
      <c r="M169" s="8" t="s">
        <v>1742</v>
      </c>
      <c r="N169" s="8" t="s">
        <v>1761</v>
      </c>
      <c r="O169" s="8">
        <v>291.48</v>
      </c>
      <c r="P169" s="8" t="s">
        <v>84</v>
      </c>
      <c r="Q169" s="8" t="s">
        <v>206</v>
      </c>
      <c r="R169" s="8" t="s">
        <v>266</v>
      </c>
      <c r="S169" s="8">
        <v>14</v>
      </c>
      <c r="T169" s="8" t="s">
        <v>87</v>
      </c>
      <c r="U169" s="8" t="s">
        <v>290</v>
      </c>
      <c r="V169" s="8" t="s">
        <v>88</v>
      </c>
      <c r="W169" s="8" t="s">
        <v>1250</v>
      </c>
      <c r="X169" s="8"/>
      <c r="Y169" s="8">
        <v>28</v>
      </c>
      <c r="Z169" s="8" t="s">
        <v>856</v>
      </c>
      <c r="AA169" s="8" t="s">
        <v>39</v>
      </c>
      <c r="AB169" s="8">
        <v>31</v>
      </c>
      <c r="AC169" s="23" t="str">
        <f t="shared" si="37"/>
        <v>19/08/2020</v>
      </c>
      <c r="AD169" s="23" t="str">
        <f t="shared" si="38"/>
        <v>18/09/2020</v>
      </c>
      <c r="AE169" s="8">
        <v>0</v>
      </c>
      <c r="AF169" s="8">
        <v>0</v>
      </c>
      <c r="AG169" s="8"/>
    </row>
    <row r="170" spans="1:33" x14ac:dyDescent="0.2">
      <c r="A170" s="8">
        <v>2502</v>
      </c>
      <c r="B170" s="16">
        <v>44048</v>
      </c>
      <c r="C170" s="8">
        <v>30012758</v>
      </c>
      <c r="D170" s="8" t="s">
        <v>152</v>
      </c>
      <c r="E170" s="8" t="s">
        <v>138</v>
      </c>
      <c r="F170" s="8" t="s">
        <v>265</v>
      </c>
      <c r="G170" s="8">
        <v>15018423</v>
      </c>
      <c r="H170" s="8">
        <v>802095061</v>
      </c>
      <c r="I170" s="8" t="s">
        <v>1253</v>
      </c>
      <c r="J170" s="8" t="s">
        <v>47</v>
      </c>
      <c r="K170" s="8" t="s">
        <v>487</v>
      </c>
      <c r="L170" s="8" t="s">
        <v>764</v>
      </c>
      <c r="M170" s="8" t="s">
        <v>1742</v>
      </c>
      <c r="N170" s="8" t="s">
        <v>1761</v>
      </c>
      <c r="O170" s="8">
        <v>387.29599999999999</v>
      </c>
      <c r="P170" s="8" t="s">
        <v>84</v>
      </c>
      <c r="Q170" s="8" t="s">
        <v>206</v>
      </c>
      <c r="R170" s="8" t="s">
        <v>266</v>
      </c>
      <c r="S170" s="8">
        <v>14</v>
      </c>
      <c r="T170" s="8" t="s">
        <v>87</v>
      </c>
      <c r="U170" s="8" t="s">
        <v>290</v>
      </c>
      <c r="V170" s="8" t="s">
        <v>88</v>
      </c>
      <c r="W170" s="8" t="s">
        <v>1254</v>
      </c>
      <c r="X170" s="8"/>
      <c r="Y170" s="8">
        <v>28</v>
      </c>
      <c r="Z170" s="8" t="s">
        <v>856</v>
      </c>
      <c r="AA170" s="8" t="s">
        <v>39</v>
      </c>
      <c r="AB170" s="8">
        <v>31</v>
      </c>
      <c r="AC170" s="23" t="str">
        <f t="shared" si="37"/>
        <v>19/08/2020</v>
      </c>
      <c r="AD170" s="23" t="str">
        <f t="shared" si="38"/>
        <v>18/09/2020</v>
      </c>
      <c r="AE170" s="8">
        <v>0</v>
      </c>
      <c r="AF170" s="8">
        <v>0</v>
      </c>
      <c r="AG170" s="8"/>
    </row>
    <row r="171" spans="1:33" x14ac:dyDescent="0.2">
      <c r="A171" s="8">
        <v>2502</v>
      </c>
      <c r="B171" s="16">
        <v>44048</v>
      </c>
      <c r="C171" s="8">
        <v>30012758</v>
      </c>
      <c r="D171" s="8" t="s">
        <v>152</v>
      </c>
      <c r="E171" s="8" t="s">
        <v>138</v>
      </c>
      <c r="F171" s="8" t="s">
        <v>265</v>
      </c>
      <c r="G171" s="8">
        <v>15018424</v>
      </c>
      <c r="H171" s="8">
        <v>802095062</v>
      </c>
      <c r="I171" s="8" t="s">
        <v>1257</v>
      </c>
      <c r="J171" s="8" t="s">
        <v>47</v>
      </c>
      <c r="K171" s="8" t="s">
        <v>487</v>
      </c>
      <c r="L171" s="8" t="s">
        <v>764</v>
      </c>
      <c r="M171" s="8" t="s">
        <v>1742</v>
      </c>
      <c r="N171" s="8" t="s">
        <v>1761</v>
      </c>
      <c r="O171" s="8">
        <v>260</v>
      </c>
      <c r="P171" s="8" t="s">
        <v>84</v>
      </c>
      <c r="Q171" s="8" t="s">
        <v>206</v>
      </c>
      <c r="R171" s="8" t="s">
        <v>266</v>
      </c>
      <c r="S171" s="8">
        <v>13</v>
      </c>
      <c r="T171" s="8" t="s">
        <v>87</v>
      </c>
      <c r="U171" s="8" t="s">
        <v>290</v>
      </c>
      <c r="V171" s="8" t="s">
        <v>88</v>
      </c>
      <c r="W171" s="8" t="s">
        <v>1258</v>
      </c>
      <c r="X171" s="8"/>
      <c r="Y171" s="8">
        <v>25</v>
      </c>
      <c r="Z171" s="8" t="s">
        <v>856</v>
      </c>
      <c r="AA171" s="8" t="s">
        <v>39</v>
      </c>
      <c r="AB171" s="8">
        <v>31</v>
      </c>
      <c r="AC171" s="23" t="str">
        <f t="shared" si="37"/>
        <v>19/08/2020</v>
      </c>
      <c r="AD171" s="23" t="str">
        <f t="shared" si="38"/>
        <v>18/09/2020</v>
      </c>
      <c r="AE171" s="8">
        <v>0</v>
      </c>
      <c r="AF171" s="8">
        <v>0</v>
      </c>
      <c r="AG171" s="8"/>
    </row>
    <row r="172" spans="1:33" x14ac:dyDescent="0.2">
      <c r="A172" s="8">
        <v>2502</v>
      </c>
      <c r="B172" s="16">
        <v>44048</v>
      </c>
      <c r="C172" s="8">
        <v>30012758</v>
      </c>
      <c r="D172" s="8" t="s">
        <v>152</v>
      </c>
      <c r="E172" s="8" t="s">
        <v>138</v>
      </c>
      <c r="F172" s="8" t="s">
        <v>265</v>
      </c>
      <c r="G172" s="8">
        <v>15018425</v>
      </c>
      <c r="H172" s="8">
        <v>802095063</v>
      </c>
      <c r="I172" s="8" t="s">
        <v>1261</v>
      </c>
      <c r="J172" s="8" t="s">
        <v>47</v>
      </c>
      <c r="K172" s="8" t="s">
        <v>487</v>
      </c>
      <c r="L172" s="8" t="s">
        <v>764</v>
      </c>
      <c r="M172" s="8" t="s">
        <v>1742</v>
      </c>
      <c r="N172" s="8" t="s">
        <v>1761</v>
      </c>
      <c r="O172" s="8">
        <v>281.30399999999997</v>
      </c>
      <c r="P172" s="8" t="s">
        <v>84</v>
      </c>
      <c r="Q172" s="8" t="s">
        <v>206</v>
      </c>
      <c r="R172" s="8" t="s">
        <v>266</v>
      </c>
      <c r="S172" s="8">
        <v>12</v>
      </c>
      <c r="T172" s="8" t="s">
        <v>87</v>
      </c>
      <c r="U172" s="8" t="s">
        <v>290</v>
      </c>
      <c r="V172" s="8" t="s">
        <v>88</v>
      </c>
      <c r="W172" s="8" t="s">
        <v>1262</v>
      </c>
      <c r="X172" s="8"/>
      <c r="Y172" s="8">
        <v>24</v>
      </c>
      <c r="Z172" s="8" t="s">
        <v>856</v>
      </c>
      <c r="AA172" s="8" t="s">
        <v>39</v>
      </c>
      <c r="AB172" s="8">
        <v>31</v>
      </c>
      <c r="AC172" s="23" t="str">
        <f t="shared" si="37"/>
        <v>19/08/2020</v>
      </c>
      <c r="AD172" s="23" t="str">
        <f t="shared" si="38"/>
        <v>18/09/2020</v>
      </c>
      <c r="AE172" s="8">
        <v>0</v>
      </c>
      <c r="AF172" s="8">
        <v>0</v>
      </c>
      <c r="AG172" s="8"/>
    </row>
    <row r="173" spans="1:33" x14ac:dyDescent="0.2">
      <c r="A173" s="8">
        <v>2502</v>
      </c>
      <c r="B173" s="16">
        <v>44042</v>
      </c>
      <c r="C173" s="8">
        <v>30012758</v>
      </c>
      <c r="D173" s="8" t="s">
        <v>91</v>
      </c>
      <c r="E173" s="8" t="s">
        <v>217</v>
      </c>
      <c r="F173" s="8" t="s">
        <v>218</v>
      </c>
      <c r="G173" s="8">
        <v>15018502</v>
      </c>
      <c r="H173" s="8">
        <v>802095187</v>
      </c>
      <c r="I173" s="8" t="s">
        <v>540</v>
      </c>
      <c r="J173" s="8" t="s">
        <v>47</v>
      </c>
      <c r="K173" s="8" t="s">
        <v>487</v>
      </c>
      <c r="L173" s="8" t="s">
        <v>764</v>
      </c>
      <c r="M173" s="8" t="s">
        <v>1742</v>
      </c>
      <c r="N173" s="8" t="s">
        <v>1761</v>
      </c>
      <c r="O173" s="8">
        <v>23.712</v>
      </c>
      <c r="P173" s="8" t="s">
        <v>84</v>
      </c>
      <c r="Q173" s="8" t="s">
        <v>206</v>
      </c>
      <c r="R173" s="8" t="s">
        <v>35</v>
      </c>
      <c r="S173" s="8">
        <v>1</v>
      </c>
      <c r="T173" s="8" t="s">
        <v>87</v>
      </c>
      <c r="U173" s="8" t="s">
        <v>290</v>
      </c>
      <c r="V173" s="8" t="s">
        <v>88</v>
      </c>
      <c r="W173" s="8" t="s">
        <v>765</v>
      </c>
      <c r="X173" s="8"/>
      <c r="Y173" s="8">
        <v>2</v>
      </c>
      <c r="Z173" s="8"/>
      <c r="AA173" s="8" t="s">
        <v>39</v>
      </c>
      <c r="AB173" s="8">
        <v>31</v>
      </c>
      <c r="AC173" s="23" t="str">
        <f t="shared" si="37"/>
        <v>19/08/2020</v>
      </c>
      <c r="AD173" s="23" t="str">
        <f t="shared" si="38"/>
        <v>18/09/2020</v>
      </c>
      <c r="AE173" s="8">
        <v>0</v>
      </c>
      <c r="AF173" s="8">
        <v>0</v>
      </c>
      <c r="AG173" s="8"/>
    </row>
    <row r="174" spans="1:33" x14ac:dyDescent="0.2">
      <c r="A174" s="8">
        <v>2504</v>
      </c>
      <c r="B174" s="16">
        <v>44058</v>
      </c>
      <c r="C174" s="8">
        <v>30012855</v>
      </c>
      <c r="D174" s="8" t="s">
        <v>1210</v>
      </c>
      <c r="E174" s="8" t="s">
        <v>1211</v>
      </c>
      <c r="F174" s="8" t="s">
        <v>1212</v>
      </c>
      <c r="G174" s="8">
        <v>15018495</v>
      </c>
      <c r="H174" s="8">
        <v>802095181</v>
      </c>
      <c r="I174" s="8" t="s">
        <v>77</v>
      </c>
      <c r="J174" s="8" t="s">
        <v>32</v>
      </c>
      <c r="K174" s="8" t="s">
        <v>1199</v>
      </c>
      <c r="L174" s="8" t="s">
        <v>740</v>
      </c>
      <c r="M174" s="8" t="s">
        <v>1740</v>
      </c>
      <c r="N174" s="8" t="s">
        <v>1760</v>
      </c>
      <c r="O174" s="8">
        <v>103.5</v>
      </c>
      <c r="P174" s="8" t="s">
        <v>48</v>
      </c>
      <c r="Q174" s="8" t="s">
        <v>1215</v>
      </c>
      <c r="R174" s="8" t="s">
        <v>1216</v>
      </c>
      <c r="S174" s="8">
        <v>4</v>
      </c>
      <c r="T174" s="8" t="s">
        <v>72</v>
      </c>
      <c r="U174" s="8" t="s">
        <v>1139</v>
      </c>
      <c r="V174" s="8" t="s">
        <v>65</v>
      </c>
      <c r="W174" s="8" t="s">
        <v>1217</v>
      </c>
      <c r="X174" s="8"/>
      <c r="Y174" s="8">
        <v>100</v>
      </c>
      <c r="Z174" s="8"/>
      <c r="AA174" s="8" t="s">
        <v>733</v>
      </c>
      <c r="AB174" s="8">
        <v>31</v>
      </c>
      <c r="AC174" s="21" t="str">
        <f t="shared" ref="AC174" si="39">M174</f>
        <v>18/08/2020</v>
      </c>
      <c r="AD174" s="21" t="str">
        <f t="shared" ref="AD174" si="40">N174</f>
        <v>10/10/2020</v>
      </c>
      <c r="AE174" s="8"/>
      <c r="AF174" s="8"/>
      <c r="AG174" s="8"/>
    </row>
    <row r="175" spans="1:33" x14ac:dyDescent="0.2">
      <c r="A175" s="8">
        <v>2504</v>
      </c>
      <c r="B175" s="16">
        <v>44073</v>
      </c>
      <c r="C175" s="8">
        <v>30012836</v>
      </c>
      <c r="D175" s="8" t="s">
        <v>74</v>
      </c>
      <c r="E175" s="8" t="s">
        <v>75</v>
      </c>
      <c r="F175" s="8" t="s">
        <v>966</v>
      </c>
      <c r="G175" s="8">
        <v>15018455</v>
      </c>
      <c r="H175" s="8">
        <v>802095134</v>
      </c>
      <c r="I175" s="8" t="s">
        <v>77</v>
      </c>
      <c r="J175" s="8" t="s">
        <v>32</v>
      </c>
      <c r="K175" s="8" t="s">
        <v>1268</v>
      </c>
      <c r="L175" s="8" t="s">
        <v>1269</v>
      </c>
      <c r="M175" s="8" t="s">
        <v>1742</v>
      </c>
      <c r="N175" s="8" t="s">
        <v>1726</v>
      </c>
      <c r="O175" s="8">
        <v>496.8</v>
      </c>
      <c r="P175" s="8" t="s">
        <v>48</v>
      </c>
      <c r="Q175" s="8" t="s">
        <v>149</v>
      </c>
      <c r="R175" s="8" t="s">
        <v>150</v>
      </c>
      <c r="S175" s="8">
        <v>20</v>
      </c>
      <c r="T175" s="8" t="s">
        <v>36</v>
      </c>
      <c r="U175" s="8" t="s">
        <v>1692</v>
      </c>
      <c r="V175" s="8" t="s">
        <v>65</v>
      </c>
      <c r="W175" s="8" t="s">
        <v>1270</v>
      </c>
      <c r="X175" s="8"/>
      <c r="Y175" s="8">
        <v>480</v>
      </c>
      <c r="Z175" s="8"/>
      <c r="AA175" s="8" t="s">
        <v>39</v>
      </c>
      <c r="AB175" s="8">
        <v>31</v>
      </c>
      <c r="AC175" s="21" t="str">
        <f t="shared" ref="AC175" si="41">M175</f>
        <v>19/08/2020</v>
      </c>
      <c r="AD175" s="21" t="str">
        <f t="shared" ref="AD175" si="42">N175</f>
        <v>05/10/2020</v>
      </c>
      <c r="AE175" s="8"/>
      <c r="AF175" s="8"/>
      <c r="AG175" s="8"/>
    </row>
    <row r="176" spans="1:33" x14ac:dyDescent="0.2">
      <c r="A176" s="8">
        <v>2503</v>
      </c>
      <c r="B176" s="16">
        <v>44058</v>
      </c>
      <c r="C176" s="8">
        <v>30012822</v>
      </c>
      <c r="D176" s="8" t="s">
        <v>28</v>
      </c>
      <c r="E176" s="8" t="s">
        <v>280</v>
      </c>
      <c r="F176" s="8" t="s">
        <v>281</v>
      </c>
      <c r="G176" s="8">
        <v>15018178</v>
      </c>
      <c r="H176" s="8">
        <v>802094774</v>
      </c>
      <c r="I176" s="8" t="s">
        <v>282</v>
      </c>
      <c r="J176" s="8" t="s">
        <v>223</v>
      </c>
      <c r="K176" s="8" t="s">
        <v>593</v>
      </c>
      <c r="L176" s="8" t="s">
        <v>1277</v>
      </c>
      <c r="M176" s="8" t="s">
        <v>1727</v>
      </c>
      <c r="N176" s="8" t="s">
        <v>1763</v>
      </c>
      <c r="O176" s="8">
        <v>51.5</v>
      </c>
      <c r="P176" s="8" t="s">
        <v>224</v>
      </c>
      <c r="Q176" s="8" t="s">
        <v>283</v>
      </c>
      <c r="R176" s="8" t="s">
        <v>284</v>
      </c>
      <c r="S176" s="8">
        <v>2</v>
      </c>
      <c r="T176" s="8" t="s">
        <v>87</v>
      </c>
      <c r="U176" s="8" t="s">
        <v>290</v>
      </c>
      <c r="V176" s="8" t="s">
        <v>88</v>
      </c>
      <c r="W176" s="8" t="s">
        <v>1278</v>
      </c>
      <c r="X176" s="8"/>
      <c r="Y176" s="8">
        <v>50</v>
      </c>
      <c r="Z176" s="8" t="s">
        <v>1279</v>
      </c>
      <c r="AA176" s="8" t="s">
        <v>39</v>
      </c>
      <c r="AB176" s="8">
        <v>31</v>
      </c>
      <c r="AC176" s="23" t="str">
        <f>M176</f>
        <v>20/08/2020</v>
      </c>
      <c r="AD176" s="23" t="str">
        <f>N176</f>
        <v>30/09/2020</v>
      </c>
      <c r="AE176" s="8">
        <v>0</v>
      </c>
      <c r="AF176" s="8">
        <v>0</v>
      </c>
      <c r="AG176" s="8"/>
    </row>
    <row r="177" spans="1:33" x14ac:dyDescent="0.2">
      <c r="A177" s="8">
        <v>2503</v>
      </c>
      <c r="B177" s="16">
        <v>44058</v>
      </c>
      <c r="C177" s="8">
        <v>30012822</v>
      </c>
      <c r="D177" s="8" t="s">
        <v>28</v>
      </c>
      <c r="E177" s="8" t="s">
        <v>280</v>
      </c>
      <c r="F177" s="8" t="s">
        <v>281</v>
      </c>
      <c r="G177" s="8">
        <v>15018179</v>
      </c>
      <c r="H177" s="8">
        <v>802094775</v>
      </c>
      <c r="I177" s="8" t="s">
        <v>239</v>
      </c>
      <c r="J177" s="8" t="s">
        <v>223</v>
      </c>
      <c r="K177" s="8" t="s">
        <v>593</v>
      </c>
      <c r="L177" s="8" t="s">
        <v>1277</v>
      </c>
      <c r="M177" s="8" t="s">
        <v>1727</v>
      </c>
      <c r="N177" s="8" t="s">
        <v>1763</v>
      </c>
      <c r="O177" s="8">
        <v>103</v>
      </c>
      <c r="P177" s="8" t="s">
        <v>224</v>
      </c>
      <c r="Q177" s="8" t="s">
        <v>283</v>
      </c>
      <c r="R177" s="8" t="s">
        <v>284</v>
      </c>
      <c r="S177" s="8">
        <v>4</v>
      </c>
      <c r="T177" s="8" t="s">
        <v>87</v>
      </c>
      <c r="U177" s="8" t="s">
        <v>290</v>
      </c>
      <c r="V177" s="8" t="s">
        <v>88</v>
      </c>
      <c r="W177" s="8" t="s">
        <v>1282</v>
      </c>
      <c r="X177" s="8"/>
      <c r="Y177" s="8">
        <v>100</v>
      </c>
      <c r="Z177" s="8" t="s">
        <v>1279</v>
      </c>
      <c r="AA177" s="8" t="s">
        <v>39</v>
      </c>
      <c r="AB177" s="8">
        <v>31</v>
      </c>
      <c r="AC177" s="23" t="str">
        <f t="shared" ref="AC177:AD181" si="43">M177</f>
        <v>20/08/2020</v>
      </c>
      <c r="AD177" s="23" t="str">
        <f t="shared" si="43"/>
        <v>30/09/2020</v>
      </c>
      <c r="AE177" s="8">
        <v>0</v>
      </c>
      <c r="AF177" s="8">
        <v>0</v>
      </c>
      <c r="AG177" s="8"/>
    </row>
    <row r="178" spans="1:33" x14ac:dyDescent="0.2">
      <c r="A178" s="8">
        <v>2503</v>
      </c>
      <c r="B178" s="16">
        <v>44058</v>
      </c>
      <c r="C178" s="8">
        <v>30012822</v>
      </c>
      <c r="D178" s="8" t="s">
        <v>137</v>
      </c>
      <c r="E178" s="8" t="s">
        <v>138</v>
      </c>
      <c r="F178" s="8" t="s">
        <v>139</v>
      </c>
      <c r="G178" s="8">
        <v>15018234</v>
      </c>
      <c r="H178" s="8">
        <v>802094778</v>
      </c>
      <c r="I178" s="8" t="s">
        <v>846</v>
      </c>
      <c r="J178" s="8" t="s">
        <v>32</v>
      </c>
      <c r="K178" s="8" t="s">
        <v>593</v>
      </c>
      <c r="L178" s="8" t="s">
        <v>1277</v>
      </c>
      <c r="M178" s="8" t="s">
        <v>1727</v>
      </c>
      <c r="N178" s="8" t="s">
        <v>1764</v>
      </c>
      <c r="O178" s="8">
        <v>508.82</v>
      </c>
      <c r="P178" s="8" t="s">
        <v>224</v>
      </c>
      <c r="Q178" s="8" t="s">
        <v>206</v>
      </c>
      <c r="R178" s="8" t="s">
        <v>35</v>
      </c>
      <c r="S178" s="8">
        <v>26</v>
      </c>
      <c r="T178" s="8" t="s">
        <v>87</v>
      </c>
      <c r="U178" s="8" t="s">
        <v>290</v>
      </c>
      <c r="V178" s="8" t="s">
        <v>88</v>
      </c>
      <c r="W178" s="8" t="s">
        <v>1285</v>
      </c>
      <c r="X178" s="8"/>
      <c r="Y178" s="8">
        <v>494</v>
      </c>
      <c r="Z178" s="8"/>
      <c r="AA178" s="8" t="s">
        <v>39</v>
      </c>
      <c r="AB178" s="8">
        <v>31</v>
      </c>
      <c r="AC178" s="23" t="s">
        <v>1727</v>
      </c>
      <c r="AD178" s="23" t="str">
        <f t="shared" si="43"/>
        <v>19/09/2020</v>
      </c>
      <c r="AE178" s="8">
        <v>0</v>
      </c>
      <c r="AF178" s="8">
        <v>0</v>
      </c>
      <c r="AG178" s="8"/>
    </row>
    <row r="179" spans="1:33" x14ac:dyDescent="0.2">
      <c r="A179" s="8">
        <v>2503</v>
      </c>
      <c r="B179" s="16">
        <v>44068</v>
      </c>
      <c r="C179" s="8">
        <v>30012822</v>
      </c>
      <c r="D179" s="8" t="s">
        <v>28</v>
      </c>
      <c r="E179" s="8" t="s">
        <v>233</v>
      </c>
      <c r="F179" s="8" t="s">
        <v>234</v>
      </c>
      <c r="G179" s="8">
        <v>15018325</v>
      </c>
      <c r="H179" s="8">
        <v>802094890</v>
      </c>
      <c r="I179" s="8" t="s">
        <v>222</v>
      </c>
      <c r="J179" s="8" t="s">
        <v>223</v>
      </c>
      <c r="K179" s="8" t="s">
        <v>593</v>
      </c>
      <c r="L179" s="8" t="s">
        <v>1277</v>
      </c>
      <c r="M179" s="8" t="s">
        <v>1727</v>
      </c>
      <c r="N179" s="8" t="s">
        <v>1765</v>
      </c>
      <c r="O179" s="8">
        <v>74.16</v>
      </c>
      <c r="P179" s="8" t="s">
        <v>224</v>
      </c>
      <c r="Q179" s="8" t="s">
        <v>235</v>
      </c>
      <c r="R179" s="8" t="s">
        <v>236</v>
      </c>
      <c r="S179" s="8">
        <v>3</v>
      </c>
      <c r="T179" s="8" t="s">
        <v>87</v>
      </c>
      <c r="U179" s="8" t="s">
        <v>290</v>
      </c>
      <c r="V179" s="8" t="s">
        <v>88</v>
      </c>
      <c r="W179" s="8" t="s">
        <v>1288</v>
      </c>
      <c r="X179" s="8"/>
      <c r="Y179" s="8">
        <v>72</v>
      </c>
      <c r="Z179" s="8"/>
      <c r="AA179" s="8" t="s">
        <v>39</v>
      </c>
      <c r="AB179" s="8">
        <v>31</v>
      </c>
      <c r="AC179" s="23" t="s">
        <v>1727</v>
      </c>
      <c r="AD179" s="23" t="str">
        <f t="shared" si="43"/>
        <v>14/10/2020</v>
      </c>
      <c r="AE179" s="8">
        <v>0</v>
      </c>
      <c r="AF179" s="8">
        <v>0</v>
      </c>
      <c r="AG179" s="8"/>
    </row>
    <row r="180" spans="1:33" x14ac:dyDescent="0.2">
      <c r="A180" s="8">
        <v>2503</v>
      </c>
      <c r="B180" s="16">
        <v>43951</v>
      </c>
      <c r="C180" s="8">
        <v>30012822</v>
      </c>
      <c r="D180" s="8" t="s">
        <v>152</v>
      </c>
      <c r="E180" s="8" t="s">
        <v>138</v>
      </c>
      <c r="F180" s="8" t="s">
        <v>265</v>
      </c>
      <c r="G180" s="8">
        <v>15018459</v>
      </c>
      <c r="H180" s="8">
        <v>802095165</v>
      </c>
      <c r="I180" s="8" t="s">
        <v>1291</v>
      </c>
      <c r="J180" s="8" t="s">
        <v>47</v>
      </c>
      <c r="K180" s="8" t="s">
        <v>593</v>
      </c>
      <c r="L180" s="8" t="s">
        <v>1277</v>
      </c>
      <c r="M180" s="8" t="s">
        <v>1727</v>
      </c>
      <c r="N180" s="8" t="s">
        <v>1761</v>
      </c>
      <c r="O180" s="8">
        <v>113.88</v>
      </c>
      <c r="P180" s="8" t="s">
        <v>224</v>
      </c>
      <c r="Q180" s="8" t="s">
        <v>206</v>
      </c>
      <c r="R180" s="8" t="s">
        <v>266</v>
      </c>
      <c r="S180" s="8">
        <v>6</v>
      </c>
      <c r="T180" s="8" t="s">
        <v>87</v>
      </c>
      <c r="U180" s="8" t="s">
        <v>290</v>
      </c>
      <c r="V180" s="8" t="s">
        <v>88</v>
      </c>
      <c r="W180" s="8" t="s">
        <v>1292</v>
      </c>
      <c r="X180" s="8"/>
      <c r="Y180" s="8">
        <v>12</v>
      </c>
      <c r="Z180" s="8"/>
      <c r="AA180" s="8" t="s">
        <v>39</v>
      </c>
      <c r="AB180" s="8">
        <v>31</v>
      </c>
      <c r="AC180" s="23" t="s">
        <v>1727</v>
      </c>
      <c r="AD180" s="23" t="str">
        <f t="shared" si="43"/>
        <v>18/09/2020</v>
      </c>
      <c r="AE180" s="8">
        <v>0</v>
      </c>
      <c r="AF180" s="8">
        <v>0</v>
      </c>
      <c r="AG180" s="8"/>
    </row>
    <row r="181" spans="1:33" x14ac:dyDescent="0.2">
      <c r="A181" s="8">
        <v>2503</v>
      </c>
      <c r="B181" s="16">
        <v>43951</v>
      </c>
      <c r="C181" s="8">
        <v>30012822</v>
      </c>
      <c r="D181" s="8" t="s">
        <v>152</v>
      </c>
      <c r="E181" s="8" t="s">
        <v>138</v>
      </c>
      <c r="F181" s="8" t="s">
        <v>265</v>
      </c>
      <c r="G181" s="8">
        <v>15018460</v>
      </c>
      <c r="H181" s="8">
        <v>802095164</v>
      </c>
      <c r="I181" s="8" t="s">
        <v>1295</v>
      </c>
      <c r="J181" s="8" t="s">
        <v>47</v>
      </c>
      <c r="K181" s="8" t="s">
        <v>593</v>
      </c>
      <c r="L181" s="8" t="s">
        <v>1277</v>
      </c>
      <c r="M181" s="8" t="s">
        <v>1727</v>
      </c>
      <c r="N181" s="8" t="s">
        <v>1761</v>
      </c>
      <c r="O181" s="8">
        <v>284.7</v>
      </c>
      <c r="P181" s="8" t="s">
        <v>224</v>
      </c>
      <c r="Q181" s="8" t="s">
        <v>206</v>
      </c>
      <c r="R181" s="8" t="s">
        <v>266</v>
      </c>
      <c r="S181" s="8">
        <v>15</v>
      </c>
      <c r="T181" s="8" t="s">
        <v>87</v>
      </c>
      <c r="U181" s="8" t="s">
        <v>290</v>
      </c>
      <c r="V181" s="8" t="s">
        <v>88</v>
      </c>
      <c r="W181" s="8" t="s">
        <v>1296</v>
      </c>
      <c r="X181" s="8"/>
      <c r="Y181" s="8">
        <v>30</v>
      </c>
      <c r="Z181" s="8"/>
      <c r="AA181" s="8" t="s">
        <v>39</v>
      </c>
      <c r="AB181" s="8">
        <v>31</v>
      </c>
      <c r="AC181" s="23" t="s">
        <v>1727</v>
      </c>
      <c r="AD181" s="23" t="str">
        <f t="shared" si="43"/>
        <v>18/09/2020</v>
      </c>
      <c r="AE181" s="8">
        <v>0</v>
      </c>
      <c r="AF181" s="8">
        <v>0</v>
      </c>
      <c r="AG181" s="8"/>
    </row>
    <row r="182" spans="1:33" x14ac:dyDescent="0.2">
      <c r="A182" s="8">
        <v>2503</v>
      </c>
      <c r="B182" s="16">
        <v>44058</v>
      </c>
      <c r="C182" s="8">
        <v>30012757</v>
      </c>
      <c r="D182" s="8" t="s">
        <v>91</v>
      </c>
      <c r="E182" s="8" t="s">
        <v>217</v>
      </c>
      <c r="F182" s="8" t="s">
        <v>218</v>
      </c>
      <c r="G182" s="8">
        <v>15018174</v>
      </c>
      <c r="H182" s="8">
        <v>802094771</v>
      </c>
      <c r="I182" s="8" t="s">
        <v>302</v>
      </c>
      <c r="J182" s="8" t="s">
        <v>47</v>
      </c>
      <c r="K182" s="8" t="s">
        <v>1300</v>
      </c>
      <c r="L182" s="8" t="s">
        <v>113</v>
      </c>
      <c r="M182" s="8" t="s">
        <v>1727</v>
      </c>
      <c r="N182" s="8" t="s">
        <v>1766</v>
      </c>
      <c r="O182" s="8">
        <v>396.197</v>
      </c>
      <c r="P182" s="8" t="s">
        <v>303</v>
      </c>
      <c r="Q182" s="8" t="s">
        <v>206</v>
      </c>
      <c r="R182" s="8" t="s">
        <v>268</v>
      </c>
      <c r="S182" s="8">
        <v>0</v>
      </c>
      <c r="T182" s="8" t="s">
        <v>117</v>
      </c>
      <c r="U182" s="8" t="s">
        <v>304</v>
      </c>
      <c r="V182" s="8" t="s">
        <v>118</v>
      </c>
      <c r="W182" s="8"/>
      <c r="X182" s="8"/>
      <c r="Y182" s="8">
        <v>54</v>
      </c>
      <c r="Z182" s="8"/>
      <c r="AA182" s="8" t="s">
        <v>39</v>
      </c>
      <c r="AB182" s="8">
        <v>32</v>
      </c>
      <c r="AC182" s="23" t="str">
        <f>M182</f>
        <v>20/08/2020</v>
      </c>
      <c r="AD182" s="23" t="str">
        <f>N182</f>
        <v>27/09/2020</v>
      </c>
      <c r="AE182" s="8">
        <v>0</v>
      </c>
      <c r="AF182" s="8">
        <v>0</v>
      </c>
      <c r="AG182" s="8"/>
    </row>
    <row r="183" spans="1:33" x14ac:dyDescent="0.2">
      <c r="A183" s="8">
        <v>2503</v>
      </c>
      <c r="B183" s="16">
        <v>44058</v>
      </c>
      <c r="C183" s="8">
        <v>30012757</v>
      </c>
      <c r="D183" s="8" t="s">
        <v>91</v>
      </c>
      <c r="E183" s="8" t="s">
        <v>217</v>
      </c>
      <c r="F183" s="8" t="s">
        <v>218</v>
      </c>
      <c r="G183" s="8">
        <v>15018175</v>
      </c>
      <c r="H183" s="8">
        <v>802094772</v>
      </c>
      <c r="I183" s="8" t="s">
        <v>305</v>
      </c>
      <c r="J183" s="8" t="s">
        <v>47</v>
      </c>
      <c r="K183" s="8" t="s">
        <v>1300</v>
      </c>
      <c r="L183" s="8" t="s">
        <v>113</v>
      </c>
      <c r="M183" s="8" t="s">
        <v>1727</v>
      </c>
      <c r="N183" s="8" t="s">
        <v>1766</v>
      </c>
      <c r="O183" s="8">
        <v>202.946</v>
      </c>
      <c r="P183" s="8" t="s">
        <v>303</v>
      </c>
      <c r="Q183" s="8" t="s">
        <v>206</v>
      </c>
      <c r="R183" s="8" t="s">
        <v>268</v>
      </c>
      <c r="S183" s="8">
        <v>0</v>
      </c>
      <c r="T183" s="8" t="s">
        <v>117</v>
      </c>
      <c r="U183" s="8" t="s">
        <v>304</v>
      </c>
      <c r="V183" s="8" t="s">
        <v>118</v>
      </c>
      <c r="W183" s="8"/>
      <c r="X183" s="8"/>
      <c r="Y183" s="8">
        <v>21</v>
      </c>
      <c r="Z183" s="8"/>
      <c r="AA183" s="8" t="s">
        <v>39</v>
      </c>
      <c r="AB183" s="8">
        <v>32</v>
      </c>
      <c r="AC183" s="23" t="str">
        <f t="shared" ref="AC183:AC221" si="44">M183</f>
        <v>20/08/2020</v>
      </c>
      <c r="AD183" s="23" t="str">
        <f t="shared" ref="AD183:AD221" si="45">N183</f>
        <v>27/09/2020</v>
      </c>
      <c r="AE183" s="8">
        <v>0</v>
      </c>
      <c r="AF183" s="8">
        <v>0</v>
      </c>
      <c r="AG183" s="8"/>
    </row>
    <row r="184" spans="1:33" x14ac:dyDescent="0.2">
      <c r="A184" s="8">
        <v>2503</v>
      </c>
      <c r="B184" s="16">
        <v>44058</v>
      </c>
      <c r="C184" s="8">
        <v>30012757</v>
      </c>
      <c r="D184" s="8" t="s">
        <v>91</v>
      </c>
      <c r="E184" s="8" t="s">
        <v>217</v>
      </c>
      <c r="F184" s="8" t="s">
        <v>218</v>
      </c>
      <c r="G184" s="8">
        <v>15018177</v>
      </c>
      <c r="H184" s="8">
        <v>802094773</v>
      </c>
      <c r="I184" s="8" t="s">
        <v>306</v>
      </c>
      <c r="J184" s="8" t="s">
        <v>47</v>
      </c>
      <c r="K184" s="8" t="s">
        <v>1300</v>
      </c>
      <c r="L184" s="8" t="s">
        <v>113</v>
      </c>
      <c r="M184" s="8" t="s">
        <v>1727</v>
      </c>
      <c r="N184" s="8" t="s">
        <v>1766</v>
      </c>
      <c r="O184" s="8">
        <v>97.042000000000002</v>
      </c>
      <c r="P184" s="8" t="s">
        <v>303</v>
      </c>
      <c r="Q184" s="8" t="s">
        <v>206</v>
      </c>
      <c r="R184" s="8" t="s">
        <v>268</v>
      </c>
      <c r="S184" s="8">
        <v>0</v>
      </c>
      <c r="T184" s="8" t="s">
        <v>117</v>
      </c>
      <c r="U184" s="8" t="s">
        <v>304</v>
      </c>
      <c r="V184" s="8" t="s">
        <v>118</v>
      </c>
      <c r="W184" s="8"/>
      <c r="X184" s="8"/>
      <c r="Y184" s="8">
        <v>12</v>
      </c>
      <c r="Z184" s="8"/>
      <c r="AA184" s="8" t="s">
        <v>39</v>
      </c>
      <c r="AB184" s="8">
        <v>32</v>
      </c>
      <c r="AC184" s="23" t="str">
        <f t="shared" si="44"/>
        <v>20/08/2020</v>
      </c>
      <c r="AD184" s="23" t="str">
        <f t="shared" si="45"/>
        <v>27/09/2020</v>
      </c>
      <c r="AE184" s="8">
        <v>0</v>
      </c>
      <c r="AF184" s="8">
        <v>0</v>
      </c>
      <c r="AG184" s="8"/>
    </row>
    <row r="185" spans="1:33" x14ac:dyDescent="0.2">
      <c r="A185" s="8">
        <v>2503</v>
      </c>
      <c r="B185" s="16">
        <v>44058</v>
      </c>
      <c r="C185" s="8">
        <v>30012757</v>
      </c>
      <c r="D185" s="8" t="s">
        <v>62</v>
      </c>
      <c r="E185" s="8" t="s">
        <v>307</v>
      </c>
      <c r="F185" s="8" t="s">
        <v>308</v>
      </c>
      <c r="G185" s="8">
        <v>15018240</v>
      </c>
      <c r="H185" s="8">
        <v>802094781</v>
      </c>
      <c r="I185" s="8" t="s">
        <v>309</v>
      </c>
      <c r="J185" s="8" t="s">
        <v>223</v>
      </c>
      <c r="K185" s="8" t="s">
        <v>1300</v>
      </c>
      <c r="L185" s="8" t="s">
        <v>113</v>
      </c>
      <c r="M185" s="8" t="s">
        <v>1727</v>
      </c>
      <c r="N185" s="8" t="s">
        <v>1758</v>
      </c>
      <c r="O185" s="8">
        <v>123.893</v>
      </c>
      <c r="P185" s="8" t="s">
        <v>303</v>
      </c>
      <c r="Q185" s="8" t="s">
        <v>115</v>
      </c>
      <c r="R185" s="8" t="s">
        <v>116</v>
      </c>
      <c r="S185" s="8">
        <v>0</v>
      </c>
      <c r="T185" s="8" t="s">
        <v>117</v>
      </c>
      <c r="U185" s="8" t="s">
        <v>304</v>
      </c>
      <c r="V185" s="8" t="s">
        <v>118</v>
      </c>
      <c r="W185" s="8"/>
      <c r="X185" s="8"/>
      <c r="Y185" s="8">
        <v>120</v>
      </c>
      <c r="Z185" s="8"/>
      <c r="AA185" s="8" t="s">
        <v>39</v>
      </c>
      <c r="AB185" s="8">
        <v>32</v>
      </c>
      <c r="AC185" s="23" t="str">
        <f t="shared" si="44"/>
        <v>20/08/2020</v>
      </c>
      <c r="AD185" s="23" t="str">
        <f t="shared" si="45"/>
        <v>04/10/2020</v>
      </c>
      <c r="AE185" s="8">
        <v>0</v>
      </c>
      <c r="AF185" s="8">
        <v>0</v>
      </c>
      <c r="AG185" s="8"/>
    </row>
    <row r="186" spans="1:33" x14ac:dyDescent="0.2">
      <c r="A186" s="8">
        <v>2503</v>
      </c>
      <c r="B186" s="16">
        <v>44073</v>
      </c>
      <c r="C186" s="8">
        <v>30012757</v>
      </c>
      <c r="D186" s="8" t="s">
        <v>28</v>
      </c>
      <c r="E186" s="8" t="s">
        <v>162</v>
      </c>
      <c r="F186" s="8" t="s">
        <v>163</v>
      </c>
      <c r="G186" s="8">
        <v>15018252</v>
      </c>
      <c r="H186" s="8">
        <v>802094784</v>
      </c>
      <c r="I186" s="8" t="s">
        <v>112</v>
      </c>
      <c r="J186" s="8" t="s">
        <v>32</v>
      </c>
      <c r="K186" s="8" t="s">
        <v>1300</v>
      </c>
      <c r="L186" s="8" t="s">
        <v>113</v>
      </c>
      <c r="M186" s="8" t="s">
        <v>1727</v>
      </c>
      <c r="N186" s="8" t="s">
        <v>1758</v>
      </c>
      <c r="O186" s="8">
        <v>494.78</v>
      </c>
      <c r="P186" s="8" t="s">
        <v>303</v>
      </c>
      <c r="Q186" s="8" t="s">
        <v>115</v>
      </c>
      <c r="R186" s="8" t="s">
        <v>116</v>
      </c>
      <c r="S186" s="8">
        <v>0</v>
      </c>
      <c r="T186" s="8" t="s">
        <v>117</v>
      </c>
      <c r="U186" s="8" t="s">
        <v>304</v>
      </c>
      <c r="V186" s="8" t="s">
        <v>118</v>
      </c>
      <c r="W186" s="8"/>
      <c r="X186" s="8"/>
      <c r="Y186" s="8">
        <v>480</v>
      </c>
      <c r="Z186" s="8"/>
      <c r="AA186" s="8" t="s">
        <v>39</v>
      </c>
      <c r="AB186" s="8">
        <v>32</v>
      </c>
      <c r="AC186" s="23" t="str">
        <f t="shared" si="44"/>
        <v>20/08/2020</v>
      </c>
      <c r="AD186" s="23" t="str">
        <f t="shared" si="45"/>
        <v>04/10/2020</v>
      </c>
      <c r="AE186" s="8">
        <v>0</v>
      </c>
      <c r="AF186" s="8">
        <v>0</v>
      </c>
      <c r="AG186" s="8"/>
    </row>
    <row r="187" spans="1:33" x14ac:dyDescent="0.2">
      <c r="A187" s="8">
        <v>2503</v>
      </c>
      <c r="B187" s="16">
        <v>44073</v>
      </c>
      <c r="C187" s="8">
        <v>30012757</v>
      </c>
      <c r="D187" s="8" t="s">
        <v>28</v>
      </c>
      <c r="E187" s="8" t="s">
        <v>162</v>
      </c>
      <c r="F187" s="8" t="s">
        <v>163</v>
      </c>
      <c r="G187" s="8">
        <v>15018253</v>
      </c>
      <c r="H187" s="8">
        <v>802094785</v>
      </c>
      <c r="I187" s="8" t="s">
        <v>112</v>
      </c>
      <c r="J187" s="8" t="s">
        <v>32</v>
      </c>
      <c r="K187" s="8" t="s">
        <v>1300</v>
      </c>
      <c r="L187" s="8" t="s">
        <v>113</v>
      </c>
      <c r="M187" s="8" t="s">
        <v>1727</v>
      </c>
      <c r="N187" s="8" t="s">
        <v>1758</v>
      </c>
      <c r="O187" s="8">
        <v>494.77</v>
      </c>
      <c r="P187" s="8" t="s">
        <v>303</v>
      </c>
      <c r="Q187" s="8" t="s">
        <v>115</v>
      </c>
      <c r="R187" s="8" t="s">
        <v>116</v>
      </c>
      <c r="S187" s="8">
        <v>0</v>
      </c>
      <c r="T187" s="8" t="s">
        <v>117</v>
      </c>
      <c r="U187" s="8" t="s">
        <v>304</v>
      </c>
      <c r="V187" s="8" t="s">
        <v>118</v>
      </c>
      <c r="W187" s="8"/>
      <c r="X187" s="8"/>
      <c r="Y187" s="8">
        <v>480</v>
      </c>
      <c r="Z187" s="8"/>
      <c r="AA187" s="8" t="s">
        <v>39</v>
      </c>
      <c r="AB187" s="8">
        <v>32</v>
      </c>
      <c r="AC187" s="23" t="str">
        <f t="shared" si="44"/>
        <v>20/08/2020</v>
      </c>
      <c r="AD187" s="23" t="str">
        <f t="shared" si="45"/>
        <v>04/10/2020</v>
      </c>
      <c r="AE187" s="8">
        <v>0</v>
      </c>
      <c r="AF187" s="8">
        <v>0</v>
      </c>
      <c r="AG187" s="8"/>
    </row>
    <row r="188" spans="1:33" x14ac:dyDescent="0.2">
      <c r="A188" s="8">
        <v>2503</v>
      </c>
      <c r="B188" s="16">
        <v>44073</v>
      </c>
      <c r="C188" s="8">
        <v>30012757</v>
      </c>
      <c r="D188" s="8" t="s">
        <v>28</v>
      </c>
      <c r="E188" s="8" t="s">
        <v>162</v>
      </c>
      <c r="F188" s="8" t="s">
        <v>163</v>
      </c>
      <c r="G188" s="8">
        <v>15018254</v>
      </c>
      <c r="H188" s="8">
        <v>802094786</v>
      </c>
      <c r="I188" s="8" t="s">
        <v>112</v>
      </c>
      <c r="J188" s="8" t="s">
        <v>32</v>
      </c>
      <c r="K188" s="8" t="s">
        <v>1300</v>
      </c>
      <c r="L188" s="8" t="s">
        <v>113</v>
      </c>
      <c r="M188" s="8" t="s">
        <v>1727</v>
      </c>
      <c r="N188" s="8" t="s">
        <v>1758</v>
      </c>
      <c r="O188" s="8">
        <v>500</v>
      </c>
      <c r="P188" s="8" t="s">
        <v>303</v>
      </c>
      <c r="Q188" s="8" t="s">
        <v>115</v>
      </c>
      <c r="R188" s="8" t="s">
        <v>116</v>
      </c>
      <c r="S188" s="8">
        <v>0</v>
      </c>
      <c r="T188" s="8" t="s">
        <v>117</v>
      </c>
      <c r="U188" s="8" t="s">
        <v>290</v>
      </c>
      <c r="V188" s="8" t="s">
        <v>118</v>
      </c>
      <c r="W188" s="8"/>
      <c r="X188" s="8"/>
      <c r="Y188" s="8">
        <v>491</v>
      </c>
      <c r="Z188" s="8"/>
      <c r="AA188" s="8" t="s">
        <v>39</v>
      </c>
      <c r="AB188" s="8">
        <v>32</v>
      </c>
      <c r="AC188" s="23" t="str">
        <f t="shared" si="44"/>
        <v>20/08/2020</v>
      </c>
      <c r="AD188" s="23" t="str">
        <f t="shared" si="45"/>
        <v>04/10/2020</v>
      </c>
      <c r="AE188" s="8">
        <v>0</v>
      </c>
      <c r="AF188" s="8">
        <v>0</v>
      </c>
      <c r="AG188" s="8"/>
    </row>
    <row r="189" spans="1:33" x14ac:dyDescent="0.2">
      <c r="A189" s="8">
        <v>2503</v>
      </c>
      <c r="B189" s="16">
        <v>44073</v>
      </c>
      <c r="C189" s="8">
        <v>30012757</v>
      </c>
      <c r="D189" s="8" t="s">
        <v>28</v>
      </c>
      <c r="E189" s="8" t="s">
        <v>162</v>
      </c>
      <c r="F189" s="8" t="s">
        <v>163</v>
      </c>
      <c r="G189" s="8">
        <v>15018255</v>
      </c>
      <c r="H189" s="8">
        <v>802094787</v>
      </c>
      <c r="I189" s="8" t="s">
        <v>112</v>
      </c>
      <c r="J189" s="8" t="s">
        <v>32</v>
      </c>
      <c r="K189" s="8" t="s">
        <v>1300</v>
      </c>
      <c r="L189" s="8" t="s">
        <v>113</v>
      </c>
      <c r="M189" s="8" t="s">
        <v>1727</v>
      </c>
      <c r="N189" s="8" t="s">
        <v>1758</v>
      </c>
      <c r="O189" s="8">
        <v>500</v>
      </c>
      <c r="P189" s="8" t="s">
        <v>303</v>
      </c>
      <c r="Q189" s="8" t="s">
        <v>115</v>
      </c>
      <c r="R189" s="8" t="s">
        <v>116</v>
      </c>
      <c r="S189" s="8">
        <v>0</v>
      </c>
      <c r="T189" s="8" t="s">
        <v>117</v>
      </c>
      <c r="U189" s="8" t="s">
        <v>290</v>
      </c>
      <c r="V189" s="8" t="s">
        <v>118</v>
      </c>
      <c r="W189" s="8"/>
      <c r="X189" s="8"/>
      <c r="Y189" s="8">
        <v>491</v>
      </c>
      <c r="Z189" s="8"/>
      <c r="AA189" s="8" t="s">
        <v>39</v>
      </c>
      <c r="AB189" s="8">
        <v>32</v>
      </c>
      <c r="AC189" s="23" t="str">
        <f t="shared" si="44"/>
        <v>20/08/2020</v>
      </c>
      <c r="AD189" s="23" t="str">
        <f t="shared" si="45"/>
        <v>04/10/2020</v>
      </c>
      <c r="AE189" s="8">
        <v>0</v>
      </c>
      <c r="AF189" s="8">
        <v>0</v>
      </c>
      <c r="AG189" s="8"/>
    </row>
    <row r="190" spans="1:33" x14ac:dyDescent="0.2">
      <c r="A190" s="8">
        <v>2503</v>
      </c>
      <c r="B190" s="16">
        <v>44073</v>
      </c>
      <c r="C190" s="8">
        <v>30012757</v>
      </c>
      <c r="D190" s="8" t="s">
        <v>28</v>
      </c>
      <c r="E190" s="8" t="s">
        <v>162</v>
      </c>
      <c r="F190" s="8" t="s">
        <v>163</v>
      </c>
      <c r="G190" s="8">
        <v>15018256</v>
      </c>
      <c r="H190" s="8">
        <v>802094788</v>
      </c>
      <c r="I190" s="8" t="s">
        <v>112</v>
      </c>
      <c r="J190" s="8" t="s">
        <v>32</v>
      </c>
      <c r="K190" s="8" t="s">
        <v>1300</v>
      </c>
      <c r="L190" s="8" t="s">
        <v>113</v>
      </c>
      <c r="M190" s="8" t="s">
        <v>1727</v>
      </c>
      <c r="N190" s="8" t="s">
        <v>1758</v>
      </c>
      <c r="O190" s="8">
        <v>500</v>
      </c>
      <c r="P190" s="8" t="s">
        <v>303</v>
      </c>
      <c r="Q190" s="8" t="s">
        <v>115</v>
      </c>
      <c r="R190" s="8" t="s">
        <v>116</v>
      </c>
      <c r="S190" s="8">
        <v>0</v>
      </c>
      <c r="T190" s="8" t="s">
        <v>117</v>
      </c>
      <c r="U190" s="8" t="s">
        <v>290</v>
      </c>
      <c r="V190" s="8" t="s">
        <v>118</v>
      </c>
      <c r="W190" s="8"/>
      <c r="X190" s="8"/>
      <c r="Y190" s="8">
        <v>491</v>
      </c>
      <c r="Z190" s="8"/>
      <c r="AA190" s="8" t="s">
        <v>39</v>
      </c>
      <c r="AB190" s="8">
        <v>32</v>
      </c>
      <c r="AC190" s="23" t="str">
        <f t="shared" si="44"/>
        <v>20/08/2020</v>
      </c>
      <c r="AD190" s="23" t="str">
        <f t="shared" si="45"/>
        <v>04/10/2020</v>
      </c>
      <c r="AE190" s="8">
        <v>0</v>
      </c>
      <c r="AF190" s="8">
        <v>0</v>
      </c>
      <c r="AG190" s="8"/>
    </row>
    <row r="191" spans="1:33" x14ac:dyDescent="0.2">
      <c r="A191" s="8">
        <v>2503</v>
      </c>
      <c r="B191" s="16">
        <v>44048</v>
      </c>
      <c r="C191" s="8">
        <v>30012757</v>
      </c>
      <c r="D191" s="8" t="s">
        <v>152</v>
      </c>
      <c r="E191" s="8" t="s">
        <v>127</v>
      </c>
      <c r="F191" s="8" t="s">
        <v>314</v>
      </c>
      <c r="G191" s="8">
        <v>15018268</v>
      </c>
      <c r="H191" s="8">
        <v>802094789</v>
      </c>
      <c r="I191" s="8" t="s">
        <v>315</v>
      </c>
      <c r="J191" s="8" t="s">
        <v>58</v>
      </c>
      <c r="K191" s="8" t="s">
        <v>1300</v>
      </c>
      <c r="L191" s="8" t="s">
        <v>113</v>
      </c>
      <c r="M191" s="8" t="s">
        <v>1727</v>
      </c>
      <c r="N191" s="8" t="s">
        <v>1754</v>
      </c>
      <c r="O191" s="8">
        <v>100</v>
      </c>
      <c r="P191" s="8" t="s">
        <v>303</v>
      </c>
      <c r="Q191" s="8" t="s">
        <v>85</v>
      </c>
      <c r="R191" s="8" t="s">
        <v>86</v>
      </c>
      <c r="S191" s="8">
        <v>0</v>
      </c>
      <c r="T191" s="8" t="s">
        <v>117</v>
      </c>
      <c r="U191" s="8" t="s">
        <v>290</v>
      </c>
      <c r="V191" s="8" t="s">
        <v>118</v>
      </c>
      <c r="W191" s="8"/>
      <c r="X191" s="8"/>
      <c r="Y191" s="8">
        <v>47</v>
      </c>
      <c r="Z191" s="8"/>
      <c r="AA191" s="8" t="s">
        <v>39</v>
      </c>
      <c r="AB191" s="8">
        <v>32</v>
      </c>
      <c r="AC191" s="23" t="str">
        <f t="shared" si="44"/>
        <v>20/08/2020</v>
      </c>
      <c r="AD191" s="23" t="str">
        <f t="shared" si="45"/>
        <v>16/09/2020</v>
      </c>
      <c r="AE191" s="8">
        <v>0</v>
      </c>
      <c r="AF191" s="8">
        <v>0</v>
      </c>
      <c r="AG191" s="8"/>
    </row>
    <row r="192" spans="1:33" x14ac:dyDescent="0.2">
      <c r="A192" s="8">
        <v>2503</v>
      </c>
      <c r="B192" s="16">
        <v>44048</v>
      </c>
      <c r="C192" s="8">
        <v>30012757</v>
      </c>
      <c r="D192" s="8" t="s">
        <v>152</v>
      </c>
      <c r="E192" s="8" t="s">
        <v>316</v>
      </c>
      <c r="F192" s="8" t="s">
        <v>314</v>
      </c>
      <c r="G192" s="8">
        <v>15018269</v>
      </c>
      <c r="H192" s="8">
        <v>802094790</v>
      </c>
      <c r="I192" s="8" t="s">
        <v>315</v>
      </c>
      <c r="J192" s="8" t="s">
        <v>58</v>
      </c>
      <c r="K192" s="8" t="s">
        <v>1300</v>
      </c>
      <c r="L192" s="8" t="s">
        <v>113</v>
      </c>
      <c r="M192" s="8" t="s">
        <v>1727</v>
      </c>
      <c r="N192" s="8" t="s">
        <v>1754</v>
      </c>
      <c r="O192" s="8">
        <v>100</v>
      </c>
      <c r="P192" s="8" t="s">
        <v>303</v>
      </c>
      <c r="Q192" s="8" t="s">
        <v>85</v>
      </c>
      <c r="R192" s="8" t="s">
        <v>86</v>
      </c>
      <c r="S192" s="8">
        <v>0</v>
      </c>
      <c r="T192" s="8" t="s">
        <v>117</v>
      </c>
      <c r="U192" s="8" t="s">
        <v>290</v>
      </c>
      <c r="V192" s="8" t="s">
        <v>118</v>
      </c>
      <c r="W192" s="8"/>
      <c r="X192" s="8"/>
      <c r="Y192" s="8">
        <v>47</v>
      </c>
      <c r="Z192" s="8"/>
      <c r="AA192" s="8" t="s">
        <v>39</v>
      </c>
      <c r="AB192" s="8">
        <v>32</v>
      </c>
      <c r="AC192" s="23" t="str">
        <f t="shared" si="44"/>
        <v>20/08/2020</v>
      </c>
      <c r="AD192" s="23" t="str">
        <f t="shared" si="45"/>
        <v>16/09/2020</v>
      </c>
      <c r="AE192" s="8">
        <v>0</v>
      </c>
      <c r="AF192" s="8">
        <v>0</v>
      </c>
      <c r="AG192" s="8"/>
    </row>
    <row r="193" spans="1:33" x14ac:dyDescent="0.2">
      <c r="A193" s="8">
        <v>2503</v>
      </c>
      <c r="B193" s="16">
        <v>44048</v>
      </c>
      <c r="C193" s="8">
        <v>30012757</v>
      </c>
      <c r="D193" s="8" t="s">
        <v>102</v>
      </c>
      <c r="E193" s="8" t="s">
        <v>316</v>
      </c>
      <c r="F193" s="8" t="s">
        <v>317</v>
      </c>
      <c r="G193" s="8">
        <v>15018301</v>
      </c>
      <c r="H193" s="8">
        <v>802094861</v>
      </c>
      <c r="I193" s="8" t="s">
        <v>318</v>
      </c>
      <c r="J193" s="8" t="s">
        <v>58</v>
      </c>
      <c r="K193" s="8" t="s">
        <v>1300</v>
      </c>
      <c r="L193" s="8" t="s">
        <v>113</v>
      </c>
      <c r="M193" s="8" t="s">
        <v>1727</v>
      </c>
      <c r="N193" s="8" t="s">
        <v>1754</v>
      </c>
      <c r="O193" s="8">
        <v>25</v>
      </c>
      <c r="P193" s="8" t="s">
        <v>303</v>
      </c>
      <c r="Q193" s="8" t="s">
        <v>85</v>
      </c>
      <c r="R193" s="8" t="s">
        <v>319</v>
      </c>
      <c r="S193" s="8">
        <v>0</v>
      </c>
      <c r="T193" s="8" t="s">
        <v>117</v>
      </c>
      <c r="U193" s="8" t="s">
        <v>290</v>
      </c>
      <c r="V193" s="8" t="s">
        <v>118</v>
      </c>
      <c r="W193" s="8"/>
      <c r="X193" s="8"/>
      <c r="Y193" s="8">
        <v>10</v>
      </c>
      <c r="Z193" s="8"/>
      <c r="AA193" s="8" t="s">
        <v>109</v>
      </c>
      <c r="AB193" s="8">
        <v>32</v>
      </c>
      <c r="AC193" s="23" t="str">
        <f t="shared" si="44"/>
        <v>20/08/2020</v>
      </c>
      <c r="AD193" s="23" t="str">
        <f t="shared" si="45"/>
        <v>16/09/2020</v>
      </c>
      <c r="AE193" s="8">
        <v>0</v>
      </c>
      <c r="AF193" s="8">
        <v>0</v>
      </c>
      <c r="AG193" s="8"/>
    </row>
    <row r="194" spans="1:33" x14ac:dyDescent="0.2">
      <c r="A194" s="8">
        <v>2503</v>
      </c>
      <c r="B194" s="16">
        <v>44048</v>
      </c>
      <c r="C194" s="8">
        <v>30012757</v>
      </c>
      <c r="D194" s="8" t="s">
        <v>102</v>
      </c>
      <c r="E194" s="8" t="s">
        <v>316</v>
      </c>
      <c r="F194" s="8" t="s">
        <v>317</v>
      </c>
      <c r="G194" s="8">
        <v>15018302</v>
      </c>
      <c r="H194" s="8">
        <v>802094862</v>
      </c>
      <c r="I194" s="8" t="s">
        <v>320</v>
      </c>
      <c r="J194" s="8" t="s">
        <v>58</v>
      </c>
      <c r="K194" s="8" t="s">
        <v>1300</v>
      </c>
      <c r="L194" s="8" t="s">
        <v>113</v>
      </c>
      <c r="M194" s="8" t="s">
        <v>1727</v>
      </c>
      <c r="N194" s="8" t="s">
        <v>1754</v>
      </c>
      <c r="O194" s="8">
        <v>28.32</v>
      </c>
      <c r="P194" s="8" t="s">
        <v>303</v>
      </c>
      <c r="Q194" s="8" t="s">
        <v>85</v>
      </c>
      <c r="R194" s="8" t="s">
        <v>319</v>
      </c>
      <c r="S194" s="8">
        <v>0</v>
      </c>
      <c r="T194" s="8" t="s">
        <v>117</v>
      </c>
      <c r="U194" s="8" t="s">
        <v>304</v>
      </c>
      <c r="V194" s="8" t="s">
        <v>118</v>
      </c>
      <c r="W194" s="8"/>
      <c r="X194" s="8"/>
      <c r="Y194" s="8">
        <v>11</v>
      </c>
      <c r="Z194" s="8"/>
      <c r="AA194" s="8" t="s">
        <v>109</v>
      </c>
      <c r="AB194" s="8">
        <v>32</v>
      </c>
      <c r="AC194" s="23" t="str">
        <f t="shared" si="44"/>
        <v>20/08/2020</v>
      </c>
      <c r="AD194" s="23" t="str">
        <f t="shared" si="45"/>
        <v>16/09/2020</v>
      </c>
      <c r="AE194" s="8">
        <v>0</v>
      </c>
      <c r="AF194" s="8">
        <v>0</v>
      </c>
      <c r="AG194" s="8"/>
    </row>
    <row r="195" spans="1:33" x14ac:dyDescent="0.2">
      <c r="A195" s="8">
        <v>2503</v>
      </c>
      <c r="B195" s="16">
        <v>44048</v>
      </c>
      <c r="C195" s="8">
        <v>30012757</v>
      </c>
      <c r="D195" s="8" t="s">
        <v>102</v>
      </c>
      <c r="E195" s="8" t="s">
        <v>316</v>
      </c>
      <c r="F195" s="8" t="s">
        <v>317</v>
      </c>
      <c r="G195" s="8">
        <v>15018303</v>
      </c>
      <c r="H195" s="8">
        <v>802094863</v>
      </c>
      <c r="I195" s="8" t="s">
        <v>321</v>
      </c>
      <c r="J195" s="8" t="s">
        <v>58</v>
      </c>
      <c r="K195" s="8" t="s">
        <v>1300</v>
      </c>
      <c r="L195" s="8" t="s">
        <v>113</v>
      </c>
      <c r="M195" s="8" t="s">
        <v>1727</v>
      </c>
      <c r="N195" s="8" t="s">
        <v>1754</v>
      </c>
      <c r="O195" s="8">
        <v>79.772000000000006</v>
      </c>
      <c r="P195" s="8" t="s">
        <v>303</v>
      </c>
      <c r="Q195" s="8" t="s">
        <v>85</v>
      </c>
      <c r="R195" s="8" t="s">
        <v>319</v>
      </c>
      <c r="S195" s="8">
        <v>0</v>
      </c>
      <c r="T195" s="8" t="s">
        <v>117</v>
      </c>
      <c r="U195" s="8" t="s">
        <v>304</v>
      </c>
      <c r="V195" s="8" t="s">
        <v>118</v>
      </c>
      <c r="W195" s="8"/>
      <c r="X195" s="8"/>
      <c r="Y195" s="8">
        <v>31</v>
      </c>
      <c r="Z195" s="8"/>
      <c r="AA195" s="8" t="s">
        <v>109</v>
      </c>
      <c r="AB195" s="8">
        <v>32</v>
      </c>
      <c r="AC195" s="23" t="str">
        <f t="shared" si="44"/>
        <v>20/08/2020</v>
      </c>
      <c r="AD195" s="23" t="str">
        <f t="shared" si="45"/>
        <v>16/09/2020</v>
      </c>
      <c r="AE195" s="8">
        <v>0</v>
      </c>
      <c r="AF195" s="8">
        <v>0</v>
      </c>
      <c r="AG195" s="8"/>
    </row>
    <row r="196" spans="1:33" x14ac:dyDescent="0.2">
      <c r="A196" s="8">
        <v>2503</v>
      </c>
      <c r="B196" s="16">
        <v>44048</v>
      </c>
      <c r="C196" s="8">
        <v>30012757</v>
      </c>
      <c r="D196" s="8" t="s">
        <v>102</v>
      </c>
      <c r="E196" s="8" t="s">
        <v>316</v>
      </c>
      <c r="F196" s="8" t="s">
        <v>326</v>
      </c>
      <c r="G196" s="8">
        <v>15018304</v>
      </c>
      <c r="H196" s="8">
        <v>802094864</v>
      </c>
      <c r="I196" s="8" t="s">
        <v>327</v>
      </c>
      <c r="J196" s="8" t="s">
        <v>58</v>
      </c>
      <c r="K196" s="8" t="s">
        <v>1300</v>
      </c>
      <c r="L196" s="8" t="s">
        <v>113</v>
      </c>
      <c r="M196" s="8" t="s">
        <v>1727</v>
      </c>
      <c r="N196" s="8" t="s">
        <v>1767</v>
      </c>
      <c r="O196" s="8">
        <v>200</v>
      </c>
      <c r="P196" s="8" t="s">
        <v>303</v>
      </c>
      <c r="Q196" s="8" t="s">
        <v>131</v>
      </c>
      <c r="R196" s="8" t="s">
        <v>313</v>
      </c>
      <c r="S196" s="8">
        <v>0</v>
      </c>
      <c r="T196" s="8" t="s">
        <v>117</v>
      </c>
      <c r="U196" s="8" t="s">
        <v>290</v>
      </c>
      <c r="V196" s="8" t="s">
        <v>118</v>
      </c>
      <c r="W196" s="8"/>
      <c r="X196" s="8"/>
      <c r="Y196" s="8">
        <v>51</v>
      </c>
      <c r="Z196" s="8"/>
      <c r="AA196" s="8" t="s">
        <v>109</v>
      </c>
      <c r="AB196" s="8">
        <v>32</v>
      </c>
      <c r="AC196" s="23" t="str">
        <f t="shared" si="44"/>
        <v>20/08/2020</v>
      </c>
      <c r="AD196" s="23" t="str">
        <f t="shared" si="45"/>
        <v>13/09/2020</v>
      </c>
      <c r="AE196" s="8">
        <v>0</v>
      </c>
      <c r="AF196" s="8">
        <v>0</v>
      </c>
      <c r="AG196" s="8"/>
    </row>
    <row r="197" spans="1:33" x14ac:dyDescent="0.2">
      <c r="A197" s="8">
        <v>2503</v>
      </c>
      <c r="B197" s="16">
        <v>44048</v>
      </c>
      <c r="C197" s="8">
        <v>30012757</v>
      </c>
      <c r="D197" s="8" t="s">
        <v>102</v>
      </c>
      <c r="E197" s="8" t="s">
        <v>316</v>
      </c>
      <c r="F197" s="8" t="s">
        <v>326</v>
      </c>
      <c r="G197" s="8">
        <v>15018305</v>
      </c>
      <c r="H197" s="8">
        <v>802094865</v>
      </c>
      <c r="I197" s="8" t="s">
        <v>328</v>
      </c>
      <c r="J197" s="8" t="s">
        <v>58</v>
      </c>
      <c r="K197" s="8" t="s">
        <v>1300</v>
      </c>
      <c r="L197" s="8" t="s">
        <v>113</v>
      </c>
      <c r="M197" s="8" t="s">
        <v>1727</v>
      </c>
      <c r="N197" s="8" t="s">
        <v>1767</v>
      </c>
      <c r="O197" s="8">
        <v>200</v>
      </c>
      <c r="P197" s="8" t="s">
        <v>303</v>
      </c>
      <c r="Q197" s="8" t="s">
        <v>131</v>
      </c>
      <c r="R197" s="8" t="s">
        <v>313</v>
      </c>
      <c r="S197" s="8">
        <v>0</v>
      </c>
      <c r="T197" s="8" t="s">
        <v>117</v>
      </c>
      <c r="U197" s="8" t="s">
        <v>290</v>
      </c>
      <c r="V197" s="8" t="s">
        <v>118</v>
      </c>
      <c r="W197" s="8"/>
      <c r="X197" s="8"/>
      <c r="Y197" s="8">
        <v>101</v>
      </c>
      <c r="Z197" s="8"/>
      <c r="AA197" s="8" t="s">
        <v>109</v>
      </c>
      <c r="AB197" s="8">
        <v>32</v>
      </c>
      <c r="AC197" s="23" t="str">
        <f t="shared" si="44"/>
        <v>20/08/2020</v>
      </c>
      <c r="AD197" s="23" t="str">
        <f t="shared" si="45"/>
        <v>13/09/2020</v>
      </c>
      <c r="AE197" s="8">
        <v>0</v>
      </c>
      <c r="AF197" s="8">
        <v>0</v>
      </c>
      <c r="AG197" s="8"/>
    </row>
    <row r="198" spans="1:33" x14ac:dyDescent="0.2">
      <c r="A198" s="8">
        <v>2503</v>
      </c>
      <c r="B198" s="16">
        <v>44048</v>
      </c>
      <c r="C198" s="8">
        <v>30012757</v>
      </c>
      <c r="D198" s="8" t="s">
        <v>102</v>
      </c>
      <c r="E198" s="8" t="s">
        <v>316</v>
      </c>
      <c r="F198" s="8" t="s">
        <v>326</v>
      </c>
      <c r="G198" s="8">
        <v>15018306</v>
      </c>
      <c r="H198" s="8">
        <v>802094866</v>
      </c>
      <c r="I198" s="8" t="s">
        <v>1335</v>
      </c>
      <c r="J198" s="8" t="s">
        <v>58</v>
      </c>
      <c r="K198" s="8" t="s">
        <v>1300</v>
      </c>
      <c r="L198" s="8" t="s">
        <v>113</v>
      </c>
      <c r="M198" s="8" t="s">
        <v>1727</v>
      </c>
      <c r="N198" s="8" t="s">
        <v>1767</v>
      </c>
      <c r="O198" s="8">
        <v>52.017000000000003</v>
      </c>
      <c r="P198" s="8" t="s">
        <v>303</v>
      </c>
      <c r="Q198" s="8" t="s">
        <v>131</v>
      </c>
      <c r="R198" s="8" t="s">
        <v>313</v>
      </c>
      <c r="S198" s="8">
        <v>0</v>
      </c>
      <c r="T198" s="8" t="s">
        <v>117</v>
      </c>
      <c r="U198" s="8" t="s">
        <v>304</v>
      </c>
      <c r="V198" s="8" t="s">
        <v>118</v>
      </c>
      <c r="W198" s="8"/>
      <c r="X198" s="8"/>
      <c r="Y198" s="8">
        <v>35</v>
      </c>
      <c r="Z198" s="8"/>
      <c r="AA198" s="8" t="s">
        <v>109</v>
      </c>
      <c r="AB198" s="8">
        <v>32</v>
      </c>
      <c r="AC198" s="23" t="str">
        <f t="shared" si="44"/>
        <v>20/08/2020</v>
      </c>
      <c r="AD198" s="23" t="str">
        <f t="shared" si="45"/>
        <v>13/09/2020</v>
      </c>
      <c r="AE198" s="8">
        <v>0</v>
      </c>
      <c r="AF198" s="8">
        <v>0</v>
      </c>
      <c r="AG198" s="8"/>
    </row>
    <row r="199" spans="1:33" x14ac:dyDescent="0.2">
      <c r="A199" s="8">
        <v>2503</v>
      </c>
      <c r="B199" s="16">
        <v>44048</v>
      </c>
      <c r="C199" s="8">
        <v>30012757</v>
      </c>
      <c r="D199" s="8" t="s">
        <v>102</v>
      </c>
      <c r="E199" s="8" t="s">
        <v>316</v>
      </c>
      <c r="F199" s="8" t="s">
        <v>326</v>
      </c>
      <c r="G199" s="8">
        <v>15018307</v>
      </c>
      <c r="H199" s="8">
        <v>802094867</v>
      </c>
      <c r="I199" s="8" t="s">
        <v>329</v>
      </c>
      <c r="J199" s="8" t="s">
        <v>58</v>
      </c>
      <c r="K199" s="8" t="s">
        <v>1300</v>
      </c>
      <c r="L199" s="8" t="s">
        <v>113</v>
      </c>
      <c r="M199" s="8" t="s">
        <v>1727</v>
      </c>
      <c r="N199" s="8" t="s">
        <v>1767</v>
      </c>
      <c r="O199" s="8">
        <v>100</v>
      </c>
      <c r="P199" s="8" t="s">
        <v>303</v>
      </c>
      <c r="Q199" s="8" t="s">
        <v>131</v>
      </c>
      <c r="R199" s="8" t="s">
        <v>313</v>
      </c>
      <c r="S199" s="8">
        <v>0</v>
      </c>
      <c r="T199" s="8" t="s">
        <v>117</v>
      </c>
      <c r="U199" s="8" t="s">
        <v>290</v>
      </c>
      <c r="V199" s="8" t="s">
        <v>118</v>
      </c>
      <c r="W199" s="8"/>
      <c r="X199" s="8"/>
      <c r="Y199" s="8">
        <v>46</v>
      </c>
      <c r="Z199" s="8"/>
      <c r="AA199" s="8" t="s">
        <v>109</v>
      </c>
      <c r="AB199" s="8">
        <v>32</v>
      </c>
      <c r="AC199" s="23" t="str">
        <f t="shared" si="44"/>
        <v>20/08/2020</v>
      </c>
      <c r="AD199" s="23" t="str">
        <f t="shared" si="45"/>
        <v>13/09/2020</v>
      </c>
      <c r="AE199" s="8">
        <v>0</v>
      </c>
      <c r="AF199" s="8">
        <v>0</v>
      </c>
      <c r="AG199" s="8"/>
    </row>
    <row r="200" spans="1:33" x14ac:dyDescent="0.2">
      <c r="A200" s="8">
        <v>2503</v>
      </c>
      <c r="B200" s="16">
        <v>44048</v>
      </c>
      <c r="C200" s="8">
        <v>30012757</v>
      </c>
      <c r="D200" s="8" t="s">
        <v>102</v>
      </c>
      <c r="E200" s="8" t="s">
        <v>316</v>
      </c>
      <c r="F200" s="8" t="s">
        <v>326</v>
      </c>
      <c r="G200" s="8">
        <v>15018308</v>
      </c>
      <c r="H200" s="8">
        <v>802094868</v>
      </c>
      <c r="I200" s="8" t="s">
        <v>330</v>
      </c>
      <c r="J200" s="8" t="s">
        <v>58</v>
      </c>
      <c r="K200" s="8" t="s">
        <v>1300</v>
      </c>
      <c r="L200" s="8" t="s">
        <v>113</v>
      </c>
      <c r="M200" s="8" t="s">
        <v>1727</v>
      </c>
      <c r="N200" s="8" t="s">
        <v>1767</v>
      </c>
      <c r="O200" s="8">
        <v>52.192999999999998</v>
      </c>
      <c r="P200" s="8" t="s">
        <v>303</v>
      </c>
      <c r="Q200" s="8" t="s">
        <v>131</v>
      </c>
      <c r="R200" s="8" t="s">
        <v>313</v>
      </c>
      <c r="S200" s="8">
        <v>0</v>
      </c>
      <c r="T200" s="8" t="s">
        <v>117</v>
      </c>
      <c r="U200" s="8" t="s">
        <v>304</v>
      </c>
      <c r="V200" s="8" t="s">
        <v>118</v>
      </c>
      <c r="W200" s="8"/>
      <c r="X200" s="8"/>
      <c r="Y200" s="8">
        <v>35</v>
      </c>
      <c r="Z200" s="8"/>
      <c r="AA200" s="8" t="s">
        <v>109</v>
      </c>
      <c r="AB200" s="8">
        <v>32</v>
      </c>
      <c r="AC200" s="23" t="str">
        <f t="shared" si="44"/>
        <v>20/08/2020</v>
      </c>
      <c r="AD200" s="23" t="str">
        <f t="shared" si="45"/>
        <v>13/09/2020</v>
      </c>
      <c r="AE200" s="8">
        <v>0</v>
      </c>
      <c r="AF200" s="8">
        <v>0</v>
      </c>
      <c r="AG200" s="8"/>
    </row>
    <row r="201" spans="1:33" x14ac:dyDescent="0.2">
      <c r="A201" s="8">
        <v>2503</v>
      </c>
      <c r="B201" s="16">
        <v>44048</v>
      </c>
      <c r="C201" s="8">
        <v>30012757</v>
      </c>
      <c r="D201" s="8" t="s">
        <v>102</v>
      </c>
      <c r="E201" s="8" t="s">
        <v>322</v>
      </c>
      <c r="F201" s="8" t="s">
        <v>311</v>
      </c>
      <c r="G201" s="8">
        <v>15018309</v>
      </c>
      <c r="H201" s="8">
        <v>802094869</v>
      </c>
      <c r="I201" s="8" t="s">
        <v>323</v>
      </c>
      <c r="J201" s="8" t="s">
        <v>223</v>
      </c>
      <c r="K201" s="8" t="s">
        <v>1300</v>
      </c>
      <c r="L201" s="8" t="s">
        <v>113</v>
      </c>
      <c r="M201" s="8" t="s">
        <v>1727</v>
      </c>
      <c r="N201" s="8" t="s">
        <v>1767</v>
      </c>
      <c r="O201" s="8">
        <v>495.09800000000001</v>
      </c>
      <c r="P201" s="8" t="s">
        <v>303</v>
      </c>
      <c r="Q201" s="8" t="s">
        <v>131</v>
      </c>
      <c r="R201" s="8" t="s">
        <v>132</v>
      </c>
      <c r="S201" s="8">
        <v>0</v>
      </c>
      <c r="T201" s="8" t="s">
        <v>117</v>
      </c>
      <c r="U201" s="8" t="s">
        <v>304</v>
      </c>
      <c r="V201" s="8" t="s">
        <v>118</v>
      </c>
      <c r="W201" s="8"/>
      <c r="X201" s="8"/>
      <c r="Y201" s="8">
        <v>480</v>
      </c>
      <c r="Z201" s="8"/>
      <c r="AA201" s="8" t="s">
        <v>39</v>
      </c>
      <c r="AB201" s="8">
        <v>32</v>
      </c>
      <c r="AC201" s="23" t="str">
        <f t="shared" si="44"/>
        <v>20/08/2020</v>
      </c>
      <c r="AD201" s="23" t="str">
        <f t="shared" si="45"/>
        <v>13/09/2020</v>
      </c>
      <c r="AE201" s="8">
        <v>0</v>
      </c>
      <c r="AF201" s="8">
        <v>0</v>
      </c>
      <c r="AG201" s="8"/>
    </row>
    <row r="202" spans="1:33" x14ac:dyDescent="0.2">
      <c r="A202" s="8">
        <v>2503</v>
      </c>
      <c r="B202" s="16">
        <v>44048</v>
      </c>
      <c r="C202" s="8">
        <v>30012757</v>
      </c>
      <c r="D202" s="8" t="s">
        <v>102</v>
      </c>
      <c r="E202" s="8" t="s">
        <v>322</v>
      </c>
      <c r="F202" s="8" t="s">
        <v>311</v>
      </c>
      <c r="G202" s="8">
        <v>15018310</v>
      </c>
      <c r="H202" s="8">
        <v>802094870</v>
      </c>
      <c r="I202" s="8" t="s">
        <v>323</v>
      </c>
      <c r="J202" s="8" t="s">
        <v>223</v>
      </c>
      <c r="K202" s="8" t="s">
        <v>1300</v>
      </c>
      <c r="L202" s="8" t="s">
        <v>113</v>
      </c>
      <c r="M202" s="8" t="s">
        <v>1727</v>
      </c>
      <c r="N202" s="8" t="s">
        <v>1767</v>
      </c>
      <c r="O202" s="8">
        <v>197.964</v>
      </c>
      <c r="P202" s="8" t="s">
        <v>303</v>
      </c>
      <c r="Q202" s="8" t="s">
        <v>131</v>
      </c>
      <c r="R202" s="8" t="s">
        <v>132</v>
      </c>
      <c r="S202" s="8">
        <v>0</v>
      </c>
      <c r="T202" s="8" t="s">
        <v>117</v>
      </c>
      <c r="U202" s="8" t="s">
        <v>304</v>
      </c>
      <c r="V202" s="8" t="s">
        <v>118</v>
      </c>
      <c r="W202" s="8"/>
      <c r="X202" s="8"/>
      <c r="Y202" s="8">
        <v>192</v>
      </c>
      <c r="Z202" s="8"/>
      <c r="AA202" s="8" t="s">
        <v>39</v>
      </c>
      <c r="AB202" s="8">
        <v>32</v>
      </c>
      <c r="AC202" s="23" t="str">
        <f t="shared" si="44"/>
        <v>20/08/2020</v>
      </c>
      <c r="AD202" s="23" t="str">
        <f t="shared" si="45"/>
        <v>13/09/2020</v>
      </c>
      <c r="AE202" s="8">
        <v>0</v>
      </c>
      <c r="AF202" s="8">
        <v>0</v>
      </c>
      <c r="AG202" s="8"/>
    </row>
    <row r="203" spans="1:33" x14ac:dyDescent="0.2">
      <c r="A203" s="8">
        <v>2503</v>
      </c>
      <c r="B203" s="16">
        <v>44048</v>
      </c>
      <c r="C203" s="8">
        <v>30012757</v>
      </c>
      <c r="D203" s="8" t="s">
        <v>102</v>
      </c>
      <c r="E203" s="8" t="s">
        <v>310</v>
      </c>
      <c r="F203" s="8" t="s">
        <v>311</v>
      </c>
      <c r="G203" s="8">
        <v>15018311</v>
      </c>
      <c r="H203" s="8">
        <v>802094871</v>
      </c>
      <c r="I203" s="8" t="s">
        <v>528</v>
      </c>
      <c r="J203" s="8" t="s">
        <v>47</v>
      </c>
      <c r="K203" s="8" t="s">
        <v>1300</v>
      </c>
      <c r="L203" s="8" t="s">
        <v>113</v>
      </c>
      <c r="M203" s="8" t="s">
        <v>1727</v>
      </c>
      <c r="N203" s="8" t="s">
        <v>1767</v>
      </c>
      <c r="O203" s="8">
        <v>503</v>
      </c>
      <c r="P203" s="8" t="s">
        <v>303</v>
      </c>
      <c r="Q203" s="8" t="s">
        <v>131</v>
      </c>
      <c r="R203" s="8" t="s">
        <v>313</v>
      </c>
      <c r="S203" s="8">
        <v>0</v>
      </c>
      <c r="T203" s="8" t="s">
        <v>117</v>
      </c>
      <c r="U203" s="8" t="s">
        <v>290</v>
      </c>
      <c r="V203" s="8" t="s">
        <v>118</v>
      </c>
      <c r="W203" s="8"/>
      <c r="X203" s="8"/>
      <c r="Y203" s="8">
        <v>39</v>
      </c>
      <c r="Z203" s="8"/>
      <c r="AA203" s="8" t="s">
        <v>109</v>
      </c>
      <c r="AB203" s="8">
        <v>32</v>
      </c>
      <c r="AC203" s="23" t="str">
        <f t="shared" si="44"/>
        <v>20/08/2020</v>
      </c>
      <c r="AD203" s="23" t="str">
        <f t="shared" si="45"/>
        <v>13/09/2020</v>
      </c>
      <c r="AE203" s="8">
        <v>0</v>
      </c>
      <c r="AF203" s="8">
        <v>0</v>
      </c>
      <c r="AG203" s="8"/>
    </row>
    <row r="204" spans="1:33" x14ac:dyDescent="0.2">
      <c r="A204" s="8">
        <v>2503</v>
      </c>
      <c r="B204" s="16">
        <v>44048</v>
      </c>
      <c r="C204" s="8">
        <v>30012757</v>
      </c>
      <c r="D204" s="8" t="s">
        <v>102</v>
      </c>
      <c r="E204" s="8" t="s">
        <v>310</v>
      </c>
      <c r="F204" s="8" t="s">
        <v>311</v>
      </c>
      <c r="G204" s="8">
        <v>15018312</v>
      </c>
      <c r="H204" s="8">
        <v>802094872</v>
      </c>
      <c r="I204" s="8" t="s">
        <v>312</v>
      </c>
      <c r="J204" s="8" t="s">
        <v>47</v>
      </c>
      <c r="K204" s="8" t="s">
        <v>1300</v>
      </c>
      <c r="L204" s="8" t="s">
        <v>113</v>
      </c>
      <c r="M204" s="8" t="s">
        <v>1727</v>
      </c>
      <c r="N204" s="8" t="s">
        <v>1767</v>
      </c>
      <c r="O204" s="8">
        <v>692</v>
      </c>
      <c r="P204" s="8" t="s">
        <v>303</v>
      </c>
      <c r="Q204" s="8" t="s">
        <v>131</v>
      </c>
      <c r="R204" s="8" t="s">
        <v>313</v>
      </c>
      <c r="S204" s="8">
        <v>0</v>
      </c>
      <c r="T204" s="8" t="s">
        <v>117</v>
      </c>
      <c r="U204" s="8" t="s">
        <v>290</v>
      </c>
      <c r="V204" s="8" t="s">
        <v>118</v>
      </c>
      <c r="W204" s="8"/>
      <c r="X204" s="8"/>
      <c r="Y204" s="8">
        <v>66</v>
      </c>
      <c r="Z204" s="8"/>
      <c r="AA204" s="8" t="s">
        <v>109</v>
      </c>
      <c r="AB204" s="8">
        <v>32</v>
      </c>
      <c r="AC204" s="23" t="str">
        <f t="shared" si="44"/>
        <v>20/08/2020</v>
      </c>
      <c r="AD204" s="23" t="str">
        <f t="shared" si="45"/>
        <v>13/09/2020</v>
      </c>
      <c r="AE204" s="8">
        <v>0</v>
      </c>
      <c r="AF204" s="8">
        <v>0</v>
      </c>
      <c r="AG204" s="8"/>
    </row>
    <row r="205" spans="1:33" x14ac:dyDescent="0.2">
      <c r="A205" s="8">
        <v>2503</v>
      </c>
      <c r="B205" s="16">
        <v>44048</v>
      </c>
      <c r="C205" s="8">
        <v>30012757</v>
      </c>
      <c r="D205" s="8" t="s">
        <v>102</v>
      </c>
      <c r="E205" s="8" t="s">
        <v>310</v>
      </c>
      <c r="F205" s="8" t="s">
        <v>311</v>
      </c>
      <c r="G205" s="8">
        <v>15018313</v>
      </c>
      <c r="H205" s="8">
        <v>802094873</v>
      </c>
      <c r="I205" s="8" t="s">
        <v>530</v>
      </c>
      <c r="J205" s="8" t="s">
        <v>47</v>
      </c>
      <c r="K205" s="8" t="s">
        <v>1300</v>
      </c>
      <c r="L205" s="8" t="s">
        <v>113</v>
      </c>
      <c r="M205" s="8" t="s">
        <v>1727</v>
      </c>
      <c r="N205" s="8" t="s">
        <v>1767</v>
      </c>
      <c r="O205" s="8">
        <v>194</v>
      </c>
      <c r="P205" s="8" t="s">
        <v>303</v>
      </c>
      <c r="Q205" s="8" t="s">
        <v>131</v>
      </c>
      <c r="R205" s="8" t="s">
        <v>313</v>
      </c>
      <c r="S205" s="8">
        <v>0</v>
      </c>
      <c r="T205" s="8" t="s">
        <v>117</v>
      </c>
      <c r="U205" s="8" t="s">
        <v>290</v>
      </c>
      <c r="V205" s="8" t="s">
        <v>118</v>
      </c>
      <c r="W205" s="8"/>
      <c r="X205" s="8"/>
      <c r="Y205" s="8">
        <v>18</v>
      </c>
      <c r="Z205" s="8"/>
      <c r="AA205" s="8" t="s">
        <v>109</v>
      </c>
      <c r="AB205" s="8">
        <v>32</v>
      </c>
      <c r="AC205" s="23" t="str">
        <f t="shared" si="44"/>
        <v>20/08/2020</v>
      </c>
      <c r="AD205" s="23" t="str">
        <f t="shared" si="45"/>
        <v>13/09/2020</v>
      </c>
      <c r="AE205" s="8">
        <v>0</v>
      </c>
      <c r="AF205" s="8">
        <v>0</v>
      </c>
      <c r="AG205" s="8"/>
    </row>
    <row r="206" spans="1:33" x14ac:dyDescent="0.2">
      <c r="A206" s="8">
        <v>2503</v>
      </c>
      <c r="B206" s="16">
        <v>44048</v>
      </c>
      <c r="C206" s="8">
        <v>30012757</v>
      </c>
      <c r="D206" s="8" t="s">
        <v>102</v>
      </c>
      <c r="E206" s="8" t="s">
        <v>333</v>
      </c>
      <c r="F206" s="8" t="s">
        <v>334</v>
      </c>
      <c r="G206" s="8">
        <v>15018361</v>
      </c>
      <c r="H206" s="8">
        <v>802094921</v>
      </c>
      <c r="I206" s="8" t="s">
        <v>335</v>
      </c>
      <c r="J206" s="8" t="s">
        <v>223</v>
      </c>
      <c r="K206" s="8" t="s">
        <v>1300</v>
      </c>
      <c r="L206" s="8" t="s">
        <v>113</v>
      </c>
      <c r="M206" s="8" t="s">
        <v>1727</v>
      </c>
      <c r="N206" s="8" t="s">
        <v>1764</v>
      </c>
      <c r="O206" s="8">
        <v>247.44900000000001</v>
      </c>
      <c r="P206" s="8" t="s">
        <v>303</v>
      </c>
      <c r="Q206" s="8" t="s">
        <v>182</v>
      </c>
      <c r="R206" s="8" t="s">
        <v>183</v>
      </c>
      <c r="S206" s="8">
        <v>0</v>
      </c>
      <c r="T206" s="8" t="s">
        <v>117</v>
      </c>
      <c r="U206" s="8" t="s">
        <v>304</v>
      </c>
      <c r="V206" s="8" t="s">
        <v>118</v>
      </c>
      <c r="W206" s="8"/>
      <c r="X206" s="8"/>
      <c r="Y206" s="8">
        <v>240</v>
      </c>
      <c r="Z206" s="8"/>
      <c r="AA206" s="8" t="s">
        <v>39</v>
      </c>
      <c r="AB206" s="8">
        <v>32</v>
      </c>
      <c r="AC206" s="23" t="str">
        <f t="shared" si="44"/>
        <v>20/08/2020</v>
      </c>
      <c r="AD206" s="23" t="str">
        <f t="shared" si="45"/>
        <v>19/09/2020</v>
      </c>
      <c r="AE206" s="8">
        <v>0</v>
      </c>
      <c r="AF206" s="8">
        <v>0</v>
      </c>
      <c r="AG206" s="8"/>
    </row>
    <row r="207" spans="1:33" x14ac:dyDescent="0.2">
      <c r="A207" s="8">
        <v>2503</v>
      </c>
      <c r="B207" s="16">
        <v>44048</v>
      </c>
      <c r="C207" s="8">
        <v>30012757</v>
      </c>
      <c r="D207" s="8" t="s">
        <v>102</v>
      </c>
      <c r="E207" s="8" t="s">
        <v>333</v>
      </c>
      <c r="F207" s="8" t="s">
        <v>334</v>
      </c>
      <c r="G207" s="8">
        <v>15018362</v>
      </c>
      <c r="H207" s="8">
        <v>802094922</v>
      </c>
      <c r="I207" s="8" t="s">
        <v>336</v>
      </c>
      <c r="J207" s="8" t="s">
        <v>223</v>
      </c>
      <c r="K207" s="8" t="s">
        <v>1300</v>
      </c>
      <c r="L207" s="8" t="s">
        <v>113</v>
      </c>
      <c r="M207" s="8" t="s">
        <v>1727</v>
      </c>
      <c r="N207" s="8" t="s">
        <v>1764</v>
      </c>
      <c r="O207" s="8">
        <v>493.68599999999998</v>
      </c>
      <c r="P207" s="8" t="s">
        <v>303</v>
      </c>
      <c r="Q207" s="8" t="s">
        <v>182</v>
      </c>
      <c r="R207" s="8" t="s">
        <v>183</v>
      </c>
      <c r="S207" s="8">
        <v>0</v>
      </c>
      <c r="T207" s="8" t="s">
        <v>117</v>
      </c>
      <c r="U207" s="8" t="s">
        <v>304</v>
      </c>
      <c r="V207" s="8" t="s">
        <v>118</v>
      </c>
      <c r="W207" s="8"/>
      <c r="X207" s="8"/>
      <c r="Y207" s="8">
        <v>480</v>
      </c>
      <c r="Z207" s="8"/>
      <c r="AA207" s="8" t="s">
        <v>39</v>
      </c>
      <c r="AB207" s="8">
        <v>32</v>
      </c>
      <c r="AC207" s="23" t="str">
        <f t="shared" si="44"/>
        <v>20/08/2020</v>
      </c>
      <c r="AD207" s="23" t="str">
        <f t="shared" si="45"/>
        <v>19/09/2020</v>
      </c>
      <c r="AE207" s="8">
        <v>0</v>
      </c>
      <c r="AF207" s="8">
        <v>0</v>
      </c>
      <c r="AG207" s="8"/>
    </row>
    <row r="208" spans="1:33" x14ac:dyDescent="0.2">
      <c r="A208" s="8">
        <v>2503</v>
      </c>
      <c r="B208" s="16">
        <v>44048</v>
      </c>
      <c r="C208" s="8">
        <v>30012757</v>
      </c>
      <c r="D208" s="8" t="s">
        <v>102</v>
      </c>
      <c r="E208" s="8" t="s">
        <v>333</v>
      </c>
      <c r="F208" s="8" t="s">
        <v>334</v>
      </c>
      <c r="G208" s="8">
        <v>15018363</v>
      </c>
      <c r="H208" s="8">
        <v>802094923</v>
      </c>
      <c r="I208" s="8" t="s">
        <v>336</v>
      </c>
      <c r="J208" s="8" t="s">
        <v>223</v>
      </c>
      <c r="K208" s="8" t="s">
        <v>1300</v>
      </c>
      <c r="L208" s="8" t="s">
        <v>113</v>
      </c>
      <c r="M208" s="8" t="s">
        <v>1727</v>
      </c>
      <c r="N208" s="8" t="s">
        <v>1764</v>
      </c>
      <c r="O208" s="8">
        <v>99.207999999999998</v>
      </c>
      <c r="P208" s="8" t="s">
        <v>303</v>
      </c>
      <c r="Q208" s="8" t="s">
        <v>182</v>
      </c>
      <c r="R208" s="8" t="s">
        <v>183</v>
      </c>
      <c r="S208" s="8">
        <v>0</v>
      </c>
      <c r="T208" s="8" t="s">
        <v>117</v>
      </c>
      <c r="U208" s="8" t="s">
        <v>304</v>
      </c>
      <c r="V208" s="8" t="s">
        <v>118</v>
      </c>
      <c r="W208" s="8"/>
      <c r="X208" s="8"/>
      <c r="Y208" s="8">
        <v>96</v>
      </c>
      <c r="Z208" s="8"/>
      <c r="AA208" s="8" t="s">
        <v>39</v>
      </c>
      <c r="AB208" s="8">
        <v>32</v>
      </c>
      <c r="AC208" s="23" t="str">
        <f t="shared" si="44"/>
        <v>20/08/2020</v>
      </c>
      <c r="AD208" s="23" t="str">
        <f t="shared" si="45"/>
        <v>19/09/2020</v>
      </c>
      <c r="AE208" s="8">
        <v>0</v>
      </c>
      <c r="AF208" s="8">
        <v>0</v>
      </c>
      <c r="AG208" s="8"/>
    </row>
    <row r="209" spans="1:33" x14ac:dyDescent="0.2">
      <c r="A209" s="8">
        <v>2503</v>
      </c>
      <c r="B209" s="16">
        <v>44048</v>
      </c>
      <c r="C209" s="8">
        <v>30012757</v>
      </c>
      <c r="D209" s="8" t="s">
        <v>102</v>
      </c>
      <c r="E209" s="8" t="s">
        <v>333</v>
      </c>
      <c r="F209" s="8" t="s">
        <v>334</v>
      </c>
      <c r="G209" s="8">
        <v>15018364</v>
      </c>
      <c r="H209" s="8">
        <v>802094924</v>
      </c>
      <c r="I209" s="8" t="s">
        <v>1360</v>
      </c>
      <c r="J209" s="8" t="s">
        <v>223</v>
      </c>
      <c r="K209" s="8" t="s">
        <v>1300</v>
      </c>
      <c r="L209" s="8" t="s">
        <v>113</v>
      </c>
      <c r="M209" s="8" t="s">
        <v>1727</v>
      </c>
      <c r="N209" s="8" t="s">
        <v>1764</v>
      </c>
      <c r="O209" s="8">
        <v>49.414000000000001</v>
      </c>
      <c r="P209" s="8" t="s">
        <v>303</v>
      </c>
      <c r="Q209" s="8" t="s">
        <v>182</v>
      </c>
      <c r="R209" s="8" t="s">
        <v>183</v>
      </c>
      <c r="S209" s="8">
        <v>0</v>
      </c>
      <c r="T209" s="8" t="s">
        <v>117</v>
      </c>
      <c r="U209" s="8" t="s">
        <v>304</v>
      </c>
      <c r="V209" s="8" t="s">
        <v>118</v>
      </c>
      <c r="W209" s="8"/>
      <c r="X209" s="8"/>
      <c r="Y209" s="8">
        <v>48</v>
      </c>
      <c r="Z209" s="8"/>
      <c r="AA209" s="8" t="s">
        <v>39</v>
      </c>
      <c r="AB209" s="8">
        <v>32</v>
      </c>
      <c r="AC209" s="23" t="str">
        <f t="shared" si="44"/>
        <v>20/08/2020</v>
      </c>
      <c r="AD209" s="23" t="str">
        <f t="shared" si="45"/>
        <v>19/09/2020</v>
      </c>
      <c r="AE209" s="8">
        <v>0</v>
      </c>
      <c r="AF209" s="8">
        <v>0</v>
      </c>
      <c r="AG209" s="8"/>
    </row>
    <row r="210" spans="1:33" x14ac:dyDescent="0.2">
      <c r="A210" s="8">
        <v>2503</v>
      </c>
      <c r="B210" s="16">
        <v>44073</v>
      </c>
      <c r="C210" s="8">
        <v>30012757</v>
      </c>
      <c r="D210" s="8" t="s">
        <v>28</v>
      </c>
      <c r="E210" s="8" t="s">
        <v>162</v>
      </c>
      <c r="F210" s="8" t="s">
        <v>1361</v>
      </c>
      <c r="G210" s="8">
        <v>15018384</v>
      </c>
      <c r="H210" s="8">
        <v>802095007</v>
      </c>
      <c r="I210" s="8" t="s">
        <v>112</v>
      </c>
      <c r="J210" s="8" t="s">
        <v>32</v>
      </c>
      <c r="K210" s="8" t="s">
        <v>1300</v>
      </c>
      <c r="L210" s="8" t="s">
        <v>113</v>
      </c>
      <c r="M210" s="8" t="s">
        <v>1727</v>
      </c>
      <c r="N210" s="8" t="s">
        <v>1754</v>
      </c>
      <c r="O210" s="8">
        <v>500</v>
      </c>
      <c r="P210" s="8" t="s">
        <v>303</v>
      </c>
      <c r="Q210" s="8" t="s">
        <v>85</v>
      </c>
      <c r="R210" s="8" t="s">
        <v>86</v>
      </c>
      <c r="S210" s="8">
        <v>0</v>
      </c>
      <c r="T210" s="8" t="s">
        <v>117</v>
      </c>
      <c r="U210" s="8" t="s">
        <v>290</v>
      </c>
      <c r="V210" s="8" t="s">
        <v>118</v>
      </c>
      <c r="W210" s="8"/>
      <c r="X210" s="8"/>
      <c r="Y210" s="8">
        <v>491</v>
      </c>
      <c r="Z210" s="8"/>
      <c r="AA210" s="8" t="s">
        <v>39</v>
      </c>
      <c r="AB210" s="8">
        <v>32</v>
      </c>
      <c r="AC210" s="23" t="str">
        <f t="shared" si="44"/>
        <v>20/08/2020</v>
      </c>
      <c r="AD210" s="23" t="str">
        <f t="shared" si="45"/>
        <v>16/09/2020</v>
      </c>
      <c r="AE210" s="8">
        <v>0</v>
      </c>
      <c r="AF210" s="8">
        <v>0</v>
      </c>
      <c r="AG210" s="8"/>
    </row>
    <row r="211" spans="1:33" x14ac:dyDescent="0.2">
      <c r="A211" s="8">
        <v>2503</v>
      </c>
      <c r="B211" s="16">
        <v>44058</v>
      </c>
      <c r="C211" s="8">
        <v>30012757</v>
      </c>
      <c r="D211" s="8" t="s">
        <v>54</v>
      </c>
      <c r="E211" s="8" t="s">
        <v>212</v>
      </c>
      <c r="F211" s="8" t="s">
        <v>213</v>
      </c>
      <c r="G211" s="8">
        <v>15018385</v>
      </c>
      <c r="H211" s="8">
        <v>802095060</v>
      </c>
      <c r="I211" s="8" t="s">
        <v>337</v>
      </c>
      <c r="J211" s="8" t="s">
        <v>58</v>
      </c>
      <c r="K211" s="8" t="s">
        <v>1300</v>
      </c>
      <c r="L211" s="8" t="s">
        <v>113</v>
      </c>
      <c r="M211" s="8" t="s">
        <v>1727</v>
      </c>
      <c r="N211" s="8" t="s">
        <v>1758</v>
      </c>
      <c r="O211" s="8">
        <v>150</v>
      </c>
      <c r="P211" s="8" t="s">
        <v>303</v>
      </c>
      <c r="Q211" s="8" t="s">
        <v>115</v>
      </c>
      <c r="R211" s="8" t="s">
        <v>338</v>
      </c>
      <c r="S211" s="8">
        <v>0</v>
      </c>
      <c r="T211" s="8" t="s">
        <v>117</v>
      </c>
      <c r="U211" s="8" t="s">
        <v>290</v>
      </c>
      <c r="V211" s="8" t="s">
        <v>118</v>
      </c>
      <c r="W211" s="8"/>
      <c r="X211" s="8"/>
      <c r="Y211" s="8">
        <v>47</v>
      </c>
      <c r="Z211" s="8"/>
      <c r="AA211" s="8" t="s">
        <v>39</v>
      </c>
      <c r="AB211" s="8">
        <v>32</v>
      </c>
      <c r="AC211" s="23" t="str">
        <f t="shared" si="44"/>
        <v>20/08/2020</v>
      </c>
      <c r="AD211" s="23" t="str">
        <f t="shared" si="45"/>
        <v>04/10/2020</v>
      </c>
      <c r="AE211" s="8">
        <v>0</v>
      </c>
      <c r="AF211" s="8">
        <v>0</v>
      </c>
      <c r="AG211" s="8"/>
    </row>
    <row r="212" spans="1:33" x14ac:dyDescent="0.2">
      <c r="A212" s="8">
        <v>2503</v>
      </c>
      <c r="B212" s="16">
        <v>44048</v>
      </c>
      <c r="C212" s="8">
        <v>30012757</v>
      </c>
      <c r="D212" s="8" t="s">
        <v>102</v>
      </c>
      <c r="E212" s="8" t="s">
        <v>195</v>
      </c>
      <c r="F212" s="8" t="s">
        <v>355</v>
      </c>
      <c r="G212" s="8">
        <v>15018394</v>
      </c>
      <c r="H212" s="8">
        <v>802095008</v>
      </c>
      <c r="I212" s="8" t="s">
        <v>112</v>
      </c>
      <c r="J212" s="8" t="s">
        <v>32</v>
      </c>
      <c r="K212" s="8" t="s">
        <v>1300</v>
      </c>
      <c r="L212" s="8" t="s">
        <v>113</v>
      </c>
      <c r="M212" s="8" t="s">
        <v>1727</v>
      </c>
      <c r="N212" s="8" t="s">
        <v>1767</v>
      </c>
      <c r="O212" s="8">
        <v>247.26499999999999</v>
      </c>
      <c r="P212" s="8" t="s">
        <v>303</v>
      </c>
      <c r="Q212" s="8" t="s">
        <v>131</v>
      </c>
      <c r="R212" s="8" t="s">
        <v>185</v>
      </c>
      <c r="S212" s="8">
        <v>0</v>
      </c>
      <c r="T212" s="8" t="s">
        <v>117</v>
      </c>
      <c r="U212" s="8" t="s">
        <v>304</v>
      </c>
      <c r="V212" s="8" t="s">
        <v>118</v>
      </c>
      <c r="W212" s="8"/>
      <c r="X212" s="8"/>
      <c r="Y212" s="8">
        <v>240</v>
      </c>
      <c r="Z212" s="8"/>
      <c r="AA212" s="8" t="s">
        <v>39</v>
      </c>
      <c r="AB212" s="8">
        <v>32</v>
      </c>
      <c r="AC212" s="23" t="str">
        <f t="shared" si="44"/>
        <v>20/08/2020</v>
      </c>
      <c r="AD212" s="23" t="str">
        <f t="shared" si="45"/>
        <v>13/09/2020</v>
      </c>
      <c r="AE212" s="8">
        <v>0</v>
      </c>
      <c r="AF212" s="8">
        <v>0</v>
      </c>
      <c r="AG212" s="8"/>
    </row>
    <row r="213" spans="1:33" x14ac:dyDescent="0.2">
      <c r="A213" s="8">
        <v>2503</v>
      </c>
      <c r="B213" s="16">
        <v>44048</v>
      </c>
      <c r="C213" s="8">
        <v>30012757</v>
      </c>
      <c r="D213" s="8" t="s">
        <v>44</v>
      </c>
      <c r="E213" s="8" t="s">
        <v>341</v>
      </c>
      <c r="F213" s="8" t="s">
        <v>342</v>
      </c>
      <c r="G213" s="8">
        <v>15018413</v>
      </c>
      <c r="H213" s="8">
        <v>802095028</v>
      </c>
      <c r="I213" s="8" t="s">
        <v>343</v>
      </c>
      <c r="J213" s="8" t="s">
        <v>58</v>
      </c>
      <c r="K213" s="8" t="s">
        <v>1300</v>
      </c>
      <c r="L213" s="8" t="s">
        <v>113</v>
      </c>
      <c r="M213" s="8" t="s">
        <v>1727</v>
      </c>
      <c r="N213" s="8" t="s">
        <v>1767</v>
      </c>
      <c r="O213" s="8">
        <v>200</v>
      </c>
      <c r="P213" s="8" t="s">
        <v>303</v>
      </c>
      <c r="Q213" s="8" t="s">
        <v>131</v>
      </c>
      <c r="R213" s="8" t="s">
        <v>185</v>
      </c>
      <c r="S213" s="8">
        <v>0</v>
      </c>
      <c r="T213" s="8" t="s">
        <v>117</v>
      </c>
      <c r="U213" s="8" t="s">
        <v>290</v>
      </c>
      <c r="V213" s="8" t="s">
        <v>118</v>
      </c>
      <c r="W213" s="8"/>
      <c r="X213" s="8"/>
      <c r="Y213" s="8">
        <v>69</v>
      </c>
      <c r="Z213" s="8"/>
      <c r="AA213" s="8" t="s">
        <v>39</v>
      </c>
      <c r="AB213" s="8">
        <v>32</v>
      </c>
      <c r="AC213" s="23" t="str">
        <f t="shared" si="44"/>
        <v>20/08/2020</v>
      </c>
      <c r="AD213" s="23" t="str">
        <f t="shared" si="45"/>
        <v>13/09/2020</v>
      </c>
      <c r="AE213" s="8">
        <v>0</v>
      </c>
      <c r="AF213" s="8">
        <v>0</v>
      </c>
      <c r="AG213" s="8"/>
    </row>
    <row r="214" spans="1:33" x14ac:dyDescent="0.2">
      <c r="A214" s="8">
        <v>2503</v>
      </c>
      <c r="B214" s="16">
        <v>44048</v>
      </c>
      <c r="C214" s="8">
        <v>30012757</v>
      </c>
      <c r="D214" s="8" t="s">
        <v>44</v>
      </c>
      <c r="E214" s="8" t="s">
        <v>341</v>
      </c>
      <c r="F214" s="8" t="s">
        <v>342</v>
      </c>
      <c r="G214" s="8">
        <v>15018414</v>
      </c>
      <c r="H214" s="8">
        <v>802095029</v>
      </c>
      <c r="I214" s="8" t="s">
        <v>344</v>
      </c>
      <c r="J214" s="8" t="s">
        <v>58</v>
      </c>
      <c r="K214" s="8" t="s">
        <v>1300</v>
      </c>
      <c r="L214" s="8" t="s">
        <v>113</v>
      </c>
      <c r="M214" s="8" t="s">
        <v>1727</v>
      </c>
      <c r="N214" s="8" t="s">
        <v>1767</v>
      </c>
      <c r="O214" s="8">
        <v>250</v>
      </c>
      <c r="P214" s="8" t="s">
        <v>303</v>
      </c>
      <c r="Q214" s="8" t="s">
        <v>131</v>
      </c>
      <c r="R214" s="8" t="s">
        <v>185</v>
      </c>
      <c r="S214" s="8">
        <v>0</v>
      </c>
      <c r="T214" s="8" t="s">
        <v>117</v>
      </c>
      <c r="U214" s="8" t="s">
        <v>290</v>
      </c>
      <c r="V214" s="8" t="s">
        <v>118</v>
      </c>
      <c r="W214" s="8"/>
      <c r="X214" s="8"/>
      <c r="Y214" s="8">
        <v>88</v>
      </c>
      <c r="Z214" s="8"/>
      <c r="AA214" s="8" t="s">
        <v>39</v>
      </c>
      <c r="AB214" s="8">
        <v>32</v>
      </c>
      <c r="AC214" s="23" t="str">
        <f t="shared" si="44"/>
        <v>20/08/2020</v>
      </c>
      <c r="AD214" s="23" t="str">
        <f t="shared" si="45"/>
        <v>13/09/2020</v>
      </c>
      <c r="AE214" s="8">
        <v>0</v>
      </c>
      <c r="AF214" s="8">
        <v>0</v>
      </c>
      <c r="AG214" s="8"/>
    </row>
    <row r="215" spans="1:33" x14ac:dyDescent="0.2">
      <c r="A215" s="8">
        <v>2503</v>
      </c>
      <c r="B215" s="16">
        <v>44048</v>
      </c>
      <c r="C215" s="8">
        <v>30012757</v>
      </c>
      <c r="D215" s="8" t="s">
        <v>44</v>
      </c>
      <c r="E215" s="8" t="s">
        <v>341</v>
      </c>
      <c r="F215" s="8" t="s">
        <v>342</v>
      </c>
      <c r="G215" s="8">
        <v>15018415</v>
      </c>
      <c r="H215" s="8">
        <v>802095030</v>
      </c>
      <c r="I215" s="8" t="s">
        <v>345</v>
      </c>
      <c r="J215" s="8" t="s">
        <v>223</v>
      </c>
      <c r="K215" s="8" t="s">
        <v>1300</v>
      </c>
      <c r="L215" s="8" t="s">
        <v>113</v>
      </c>
      <c r="M215" s="8" t="s">
        <v>1727</v>
      </c>
      <c r="N215" s="8" t="s">
        <v>1754</v>
      </c>
      <c r="O215" s="8">
        <v>74.275999999999996</v>
      </c>
      <c r="P215" s="8" t="s">
        <v>303</v>
      </c>
      <c r="Q215" s="8" t="s">
        <v>85</v>
      </c>
      <c r="R215" s="8" t="s">
        <v>194</v>
      </c>
      <c r="S215" s="8">
        <v>0</v>
      </c>
      <c r="T215" s="8" t="s">
        <v>117</v>
      </c>
      <c r="U215" s="8" t="s">
        <v>304</v>
      </c>
      <c r="V215" s="8" t="s">
        <v>118</v>
      </c>
      <c r="W215" s="8"/>
      <c r="X215" s="8"/>
      <c r="Y215" s="8">
        <v>72</v>
      </c>
      <c r="Z215" s="8"/>
      <c r="AA215" s="8" t="s">
        <v>39</v>
      </c>
      <c r="AB215" s="8">
        <v>32</v>
      </c>
      <c r="AC215" s="23" t="str">
        <f t="shared" si="44"/>
        <v>20/08/2020</v>
      </c>
      <c r="AD215" s="23" t="str">
        <f t="shared" si="45"/>
        <v>16/09/2020</v>
      </c>
      <c r="AE215" s="8">
        <v>0</v>
      </c>
      <c r="AF215" s="8">
        <v>0</v>
      </c>
      <c r="AG215" s="8"/>
    </row>
    <row r="216" spans="1:33" x14ac:dyDescent="0.2">
      <c r="A216" s="8">
        <v>2503</v>
      </c>
      <c r="B216" s="16">
        <v>44058</v>
      </c>
      <c r="C216" s="8">
        <v>30012757</v>
      </c>
      <c r="D216" s="8" t="s">
        <v>62</v>
      </c>
      <c r="E216" s="8" t="s">
        <v>212</v>
      </c>
      <c r="F216" s="8" t="s">
        <v>213</v>
      </c>
      <c r="G216" s="8">
        <v>15018429</v>
      </c>
      <c r="H216" s="8">
        <v>802095109</v>
      </c>
      <c r="I216" s="8" t="s">
        <v>337</v>
      </c>
      <c r="J216" s="8" t="s">
        <v>58</v>
      </c>
      <c r="K216" s="8" t="s">
        <v>1300</v>
      </c>
      <c r="L216" s="8" t="s">
        <v>113</v>
      </c>
      <c r="M216" s="8" t="s">
        <v>1727</v>
      </c>
      <c r="N216" s="8" t="s">
        <v>1758</v>
      </c>
      <c r="O216" s="8">
        <v>400</v>
      </c>
      <c r="P216" s="8" t="s">
        <v>303</v>
      </c>
      <c r="Q216" s="8" t="s">
        <v>115</v>
      </c>
      <c r="R216" s="8" t="s">
        <v>338</v>
      </c>
      <c r="S216" s="8">
        <v>0</v>
      </c>
      <c r="T216" s="8" t="s">
        <v>117</v>
      </c>
      <c r="U216" s="8" t="s">
        <v>290</v>
      </c>
      <c r="V216" s="8" t="s">
        <v>118</v>
      </c>
      <c r="W216" s="8"/>
      <c r="X216" s="8"/>
      <c r="Y216" s="8">
        <v>125</v>
      </c>
      <c r="Z216" s="8"/>
      <c r="AA216" s="8" t="s">
        <v>39</v>
      </c>
      <c r="AB216" s="8">
        <v>32</v>
      </c>
      <c r="AC216" s="23" t="str">
        <f t="shared" si="44"/>
        <v>20/08/2020</v>
      </c>
      <c r="AD216" s="23" t="str">
        <f t="shared" si="45"/>
        <v>04/10/2020</v>
      </c>
      <c r="AE216" s="8">
        <v>0</v>
      </c>
      <c r="AF216" s="8">
        <v>0</v>
      </c>
      <c r="AG216" s="8"/>
    </row>
    <row r="217" spans="1:33" x14ac:dyDescent="0.2">
      <c r="A217" s="8">
        <v>2503</v>
      </c>
      <c r="B217" s="16">
        <v>44058</v>
      </c>
      <c r="C217" s="8">
        <v>30012757</v>
      </c>
      <c r="D217" s="8" t="s">
        <v>62</v>
      </c>
      <c r="E217" s="8" t="s">
        <v>212</v>
      </c>
      <c r="F217" s="8" t="s">
        <v>213</v>
      </c>
      <c r="G217" s="8">
        <v>15018430</v>
      </c>
      <c r="H217" s="8">
        <v>802095110</v>
      </c>
      <c r="I217" s="8" t="s">
        <v>339</v>
      </c>
      <c r="J217" s="8" t="s">
        <v>58</v>
      </c>
      <c r="K217" s="8" t="s">
        <v>1300</v>
      </c>
      <c r="L217" s="8" t="s">
        <v>113</v>
      </c>
      <c r="M217" s="8" t="s">
        <v>1727</v>
      </c>
      <c r="N217" s="8" t="s">
        <v>1758</v>
      </c>
      <c r="O217" s="8">
        <v>60</v>
      </c>
      <c r="P217" s="8" t="s">
        <v>303</v>
      </c>
      <c r="Q217" s="8" t="s">
        <v>115</v>
      </c>
      <c r="R217" s="8" t="s">
        <v>338</v>
      </c>
      <c r="S217" s="8">
        <v>0</v>
      </c>
      <c r="T217" s="8" t="s">
        <v>117</v>
      </c>
      <c r="U217" s="8" t="s">
        <v>290</v>
      </c>
      <c r="V217" s="8" t="s">
        <v>118</v>
      </c>
      <c r="W217" s="8"/>
      <c r="X217" s="8"/>
      <c r="Y217" s="8">
        <v>25</v>
      </c>
      <c r="Z217" s="8"/>
      <c r="AA217" s="8" t="s">
        <v>39</v>
      </c>
      <c r="AB217" s="8">
        <v>32</v>
      </c>
      <c r="AC217" s="23" t="str">
        <f t="shared" si="44"/>
        <v>20/08/2020</v>
      </c>
      <c r="AD217" s="23" t="str">
        <f t="shared" si="45"/>
        <v>04/10/2020</v>
      </c>
      <c r="AE217" s="8">
        <v>0</v>
      </c>
      <c r="AF217" s="8">
        <v>0</v>
      </c>
      <c r="AG217" s="8"/>
    </row>
    <row r="218" spans="1:33" x14ac:dyDescent="0.2">
      <c r="A218" s="8">
        <v>2503</v>
      </c>
      <c r="B218" s="16">
        <v>44058</v>
      </c>
      <c r="C218" s="8">
        <v>30012757</v>
      </c>
      <c r="D218" s="8" t="s">
        <v>62</v>
      </c>
      <c r="E218" s="8" t="s">
        <v>212</v>
      </c>
      <c r="F218" s="8" t="s">
        <v>213</v>
      </c>
      <c r="G218" s="8">
        <v>15018431</v>
      </c>
      <c r="H218" s="8">
        <v>802095111</v>
      </c>
      <c r="I218" s="8" t="s">
        <v>340</v>
      </c>
      <c r="J218" s="8" t="s">
        <v>58</v>
      </c>
      <c r="K218" s="8" t="s">
        <v>1300</v>
      </c>
      <c r="L218" s="8" t="s">
        <v>113</v>
      </c>
      <c r="M218" s="8" t="s">
        <v>1727</v>
      </c>
      <c r="N218" s="8" t="s">
        <v>1758</v>
      </c>
      <c r="O218" s="8">
        <v>40</v>
      </c>
      <c r="P218" s="8" t="s">
        <v>303</v>
      </c>
      <c r="Q218" s="8" t="s">
        <v>115</v>
      </c>
      <c r="R218" s="8" t="s">
        <v>338</v>
      </c>
      <c r="S218" s="8">
        <v>0</v>
      </c>
      <c r="T218" s="8" t="s">
        <v>117</v>
      </c>
      <c r="U218" s="8" t="s">
        <v>290</v>
      </c>
      <c r="V218" s="8" t="s">
        <v>118</v>
      </c>
      <c r="W218" s="8"/>
      <c r="X218" s="8"/>
      <c r="Y218" s="8">
        <v>10</v>
      </c>
      <c r="Z218" s="8"/>
      <c r="AA218" s="8" t="s">
        <v>39</v>
      </c>
      <c r="AB218" s="8">
        <v>32</v>
      </c>
      <c r="AC218" s="23" t="str">
        <f t="shared" si="44"/>
        <v>20/08/2020</v>
      </c>
      <c r="AD218" s="23" t="str">
        <f t="shared" si="45"/>
        <v>04/10/2020</v>
      </c>
      <c r="AE218" s="8">
        <v>0</v>
      </c>
      <c r="AF218" s="8">
        <v>0</v>
      </c>
      <c r="AG218" s="8"/>
    </row>
    <row r="219" spans="1:33" x14ac:dyDescent="0.2">
      <c r="A219" s="8">
        <v>2503</v>
      </c>
      <c r="B219" s="16">
        <v>44079</v>
      </c>
      <c r="C219" s="8">
        <v>30012757</v>
      </c>
      <c r="D219" s="8" t="s">
        <v>152</v>
      </c>
      <c r="E219" s="8" t="s">
        <v>138</v>
      </c>
      <c r="F219" s="8" t="s">
        <v>265</v>
      </c>
      <c r="G219" s="8">
        <v>15018437</v>
      </c>
      <c r="H219" s="8">
        <v>802095120</v>
      </c>
      <c r="I219" s="8" t="s">
        <v>1383</v>
      </c>
      <c r="J219" s="8" t="s">
        <v>47</v>
      </c>
      <c r="K219" s="8" t="s">
        <v>1300</v>
      </c>
      <c r="L219" s="8" t="s">
        <v>113</v>
      </c>
      <c r="M219" s="8" t="s">
        <v>1727</v>
      </c>
      <c r="N219" s="8" t="s">
        <v>1766</v>
      </c>
      <c r="O219" s="8">
        <v>113.77200000000001</v>
      </c>
      <c r="P219" s="8" t="s">
        <v>303</v>
      </c>
      <c r="Q219" s="8" t="s">
        <v>206</v>
      </c>
      <c r="R219" s="8" t="s">
        <v>266</v>
      </c>
      <c r="S219" s="8">
        <v>0</v>
      </c>
      <c r="T219" s="8" t="s">
        <v>117</v>
      </c>
      <c r="U219" s="8" t="s">
        <v>290</v>
      </c>
      <c r="V219" s="8" t="s">
        <v>118</v>
      </c>
      <c r="W219" s="8"/>
      <c r="X219" s="8"/>
      <c r="Y219" s="8">
        <v>12</v>
      </c>
      <c r="Z219" s="8"/>
      <c r="AA219" s="8" t="s">
        <v>39</v>
      </c>
      <c r="AB219" s="8">
        <v>32</v>
      </c>
      <c r="AC219" s="23" t="str">
        <f t="shared" si="44"/>
        <v>20/08/2020</v>
      </c>
      <c r="AD219" s="23" t="str">
        <f t="shared" si="45"/>
        <v>27/09/2020</v>
      </c>
      <c r="AE219" s="8">
        <v>0</v>
      </c>
      <c r="AF219" s="8">
        <v>0</v>
      </c>
      <c r="AG219" s="8"/>
    </row>
    <row r="220" spans="1:33" x14ac:dyDescent="0.2">
      <c r="A220" s="8">
        <v>2503</v>
      </c>
      <c r="B220" s="16">
        <v>44079</v>
      </c>
      <c r="C220" s="8">
        <v>30012757</v>
      </c>
      <c r="D220" s="8" t="s">
        <v>152</v>
      </c>
      <c r="E220" s="8" t="s">
        <v>138</v>
      </c>
      <c r="F220" s="8" t="s">
        <v>265</v>
      </c>
      <c r="G220" s="8">
        <v>15018438</v>
      </c>
      <c r="H220" s="8">
        <v>802095121</v>
      </c>
      <c r="I220" s="8" t="s">
        <v>533</v>
      </c>
      <c r="J220" s="8" t="s">
        <v>47</v>
      </c>
      <c r="K220" s="8" t="s">
        <v>1300</v>
      </c>
      <c r="L220" s="8" t="s">
        <v>113</v>
      </c>
      <c r="M220" s="8" t="s">
        <v>1727</v>
      </c>
      <c r="N220" s="8" t="s">
        <v>1766</v>
      </c>
      <c r="O220" s="8">
        <v>199.12200000000001</v>
      </c>
      <c r="P220" s="8" t="s">
        <v>303</v>
      </c>
      <c r="Q220" s="8" t="s">
        <v>206</v>
      </c>
      <c r="R220" s="8" t="s">
        <v>266</v>
      </c>
      <c r="S220" s="8">
        <v>0</v>
      </c>
      <c r="T220" s="8" t="s">
        <v>117</v>
      </c>
      <c r="U220" s="8" t="s">
        <v>290</v>
      </c>
      <c r="V220" s="8" t="s">
        <v>118</v>
      </c>
      <c r="W220" s="8"/>
      <c r="X220" s="8"/>
      <c r="Y220" s="8">
        <v>21</v>
      </c>
      <c r="Z220" s="8"/>
      <c r="AA220" s="8" t="s">
        <v>39</v>
      </c>
      <c r="AB220" s="8">
        <v>32</v>
      </c>
      <c r="AC220" s="23" t="str">
        <f t="shared" si="44"/>
        <v>20/08/2020</v>
      </c>
      <c r="AD220" s="23" t="str">
        <f t="shared" si="45"/>
        <v>27/09/2020</v>
      </c>
      <c r="AE220" s="8">
        <v>0</v>
      </c>
      <c r="AF220" s="8">
        <v>0</v>
      </c>
      <c r="AG220" s="8"/>
    </row>
    <row r="221" spans="1:33" x14ac:dyDescent="0.2">
      <c r="A221" s="8">
        <v>2503</v>
      </c>
      <c r="B221" s="16">
        <v>44048</v>
      </c>
      <c r="C221" s="8">
        <v>30012757</v>
      </c>
      <c r="D221" s="8" t="s">
        <v>152</v>
      </c>
      <c r="E221" s="8" t="s">
        <v>138</v>
      </c>
      <c r="F221" s="8" t="s">
        <v>265</v>
      </c>
      <c r="G221" s="8">
        <v>15018482</v>
      </c>
      <c r="H221" s="8">
        <v>802095173</v>
      </c>
      <c r="I221" s="8" t="s">
        <v>1388</v>
      </c>
      <c r="J221" s="8" t="s">
        <v>47</v>
      </c>
      <c r="K221" s="8" t="s">
        <v>1300</v>
      </c>
      <c r="L221" s="8" t="s">
        <v>113</v>
      </c>
      <c r="M221" s="8" t="s">
        <v>1727</v>
      </c>
      <c r="N221" s="8" t="s">
        <v>1766</v>
      </c>
      <c r="O221" s="8">
        <v>50.77</v>
      </c>
      <c r="P221" s="8" t="s">
        <v>303</v>
      </c>
      <c r="Q221" s="8" t="s">
        <v>206</v>
      </c>
      <c r="R221" s="8" t="s">
        <v>266</v>
      </c>
      <c r="S221" s="8">
        <v>0</v>
      </c>
      <c r="T221" s="8" t="s">
        <v>117</v>
      </c>
      <c r="U221" s="8" t="s">
        <v>304</v>
      </c>
      <c r="V221" s="8" t="s">
        <v>118</v>
      </c>
      <c r="W221" s="8"/>
      <c r="X221" s="8"/>
      <c r="Y221" s="8">
        <v>5</v>
      </c>
      <c r="Z221" s="8"/>
      <c r="AA221" s="8" t="s">
        <v>39</v>
      </c>
      <c r="AB221" s="8">
        <v>32</v>
      </c>
      <c r="AC221" s="23" t="str">
        <f t="shared" si="44"/>
        <v>20/08/2020</v>
      </c>
      <c r="AD221" s="23" t="str">
        <f t="shared" si="45"/>
        <v>27/09/2020</v>
      </c>
      <c r="AE221" s="8">
        <v>0</v>
      </c>
      <c r="AF221" s="8">
        <v>0</v>
      </c>
      <c r="AG221" s="8"/>
    </row>
    <row r="222" spans="1:33" x14ac:dyDescent="0.2">
      <c r="A222" s="8">
        <v>2501</v>
      </c>
      <c r="B222" s="16">
        <v>44073</v>
      </c>
      <c r="C222" s="8">
        <v>30012780</v>
      </c>
      <c r="D222" s="8" t="s">
        <v>28</v>
      </c>
      <c r="E222" s="8" t="s">
        <v>29</v>
      </c>
      <c r="F222" s="8" t="s">
        <v>397</v>
      </c>
      <c r="G222" s="8">
        <v>15018346</v>
      </c>
      <c r="H222" s="8">
        <v>802094909</v>
      </c>
      <c r="I222" s="8" t="s">
        <v>31</v>
      </c>
      <c r="J222" s="8" t="s">
        <v>32</v>
      </c>
      <c r="K222" s="8" t="s">
        <v>1199</v>
      </c>
      <c r="L222" s="8" t="s">
        <v>740</v>
      </c>
      <c r="M222" s="8" t="s">
        <v>1709</v>
      </c>
      <c r="N222" s="8" t="s">
        <v>1734</v>
      </c>
      <c r="O222" s="8">
        <v>501.904</v>
      </c>
      <c r="P222" s="8" t="s">
        <v>33</v>
      </c>
      <c r="Q222" s="8" t="s">
        <v>153</v>
      </c>
      <c r="R222" s="8" t="s">
        <v>154</v>
      </c>
      <c r="S222" s="8">
        <v>19</v>
      </c>
      <c r="T222" s="8" t="s">
        <v>362</v>
      </c>
      <c r="U222" s="8" t="s">
        <v>290</v>
      </c>
      <c r="V222" s="8" t="s">
        <v>155</v>
      </c>
      <c r="W222" s="8" t="s">
        <v>1392</v>
      </c>
      <c r="X222" s="8"/>
      <c r="Y222" s="8">
        <v>494</v>
      </c>
      <c r="Z222" s="8"/>
      <c r="AA222" s="8" t="s">
        <v>39</v>
      </c>
      <c r="AB222" s="8">
        <v>31</v>
      </c>
      <c r="AC222" s="23">
        <v>44071</v>
      </c>
      <c r="AD222" s="23" t="s">
        <v>1747</v>
      </c>
      <c r="AE222" s="8">
        <v>7</v>
      </c>
      <c r="AF222" s="8">
        <v>1</v>
      </c>
      <c r="AG222" s="8" t="s">
        <v>1781</v>
      </c>
    </row>
    <row r="223" spans="1:33" x14ac:dyDescent="0.2">
      <c r="A223" s="8">
        <v>2502</v>
      </c>
      <c r="B223" s="16">
        <v>44073</v>
      </c>
      <c r="C223" s="8">
        <v>30012797</v>
      </c>
      <c r="D223" s="8" t="s">
        <v>54</v>
      </c>
      <c r="E223" s="8" t="s">
        <v>879</v>
      </c>
      <c r="F223" s="8" t="s">
        <v>880</v>
      </c>
      <c r="G223" s="8">
        <v>15018294</v>
      </c>
      <c r="H223" s="8">
        <v>802094855</v>
      </c>
      <c r="I223" s="8" t="s">
        <v>883</v>
      </c>
      <c r="J223" s="8" t="s">
        <v>83</v>
      </c>
      <c r="K223" s="8" t="s">
        <v>209</v>
      </c>
      <c r="L223" s="8" t="s">
        <v>1396</v>
      </c>
      <c r="M223" s="8" t="s">
        <v>1725</v>
      </c>
      <c r="N223" s="8" t="s">
        <v>1735</v>
      </c>
      <c r="O223" s="8">
        <v>161.28</v>
      </c>
      <c r="P223" s="8" t="s">
        <v>492</v>
      </c>
      <c r="Q223" s="8" t="s">
        <v>105</v>
      </c>
      <c r="R223" s="8" t="s">
        <v>106</v>
      </c>
      <c r="S223" s="8">
        <v>7</v>
      </c>
      <c r="T223" s="8" t="s">
        <v>87</v>
      </c>
      <c r="U223" s="8" t="s">
        <v>290</v>
      </c>
      <c r="V223" s="8" t="s">
        <v>1699</v>
      </c>
      <c r="W223" s="8" t="s">
        <v>1397</v>
      </c>
      <c r="X223" s="8"/>
      <c r="Y223" s="8">
        <v>168</v>
      </c>
      <c r="Z223" s="8" t="s">
        <v>1398</v>
      </c>
      <c r="AA223" s="8" t="s">
        <v>39</v>
      </c>
      <c r="AB223" s="8">
        <v>31</v>
      </c>
      <c r="AC223" s="23" t="str">
        <f>M223</f>
        <v>26/08/2020</v>
      </c>
      <c r="AD223" s="23" t="str">
        <f>N223</f>
        <v>05/09/2020</v>
      </c>
      <c r="AE223" s="8">
        <v>0</v>
      </c>
      <c r="AF223" s="8">
        <v>0</v>
      </c>
      <c r="AG223" s="8"/>
    </row>
    <row r="224" spans="1:33" x14ac:dyDescent="0.2">
      <c r="A224" s="8">
        <v>2504</v>
      </c>
      <c r="B224" s="16">
        <v>44073</v>
      </c>
      <c r="C224" s="8">
        <v>30012836</v>
      </c>
      <c r="D224" s="8" t="s">
        <v>74</v>
      </c>
      <c r="E224" s="8" t="s">
        <v>75</v>
      </c>
      <c r="F224" s="8" t="s">
        <v>966</v>
      </c>
      <c r="G224" s="8">
        <v>15018456</v>
      </c>
      <c r="H224" s="8">
        <v>802095135</v>
      </c>
      <c r="I224" s="8" t="s">
        <v>77</v>
      </c>
      <c r="J224" s="8" t="s">
        <v>32</v>
      </c>
      <c r="K224" s="8" t="s">
        <v>1268</v>
      </c>
      <c r="L224" s="8" t="s">
        <v>1269</v>
      </c>
      <c r="M224" s="8" t="s">
        <v>1742</v>
      </c>
      <c r="N224" s="8" t="s">
        <v>1726</v>
      </c>
      <c r="O224" s="8">
        <v>496.8</v>
      </c>
      <c r="P224" s="8" t="s">
        <v>48</v>
      </c>
      <c r="Q224" s="8" t="s">
        <v>149</v>
      </c>
      <c r="R224" s="8" t="s">
        <v>150</v>
      </c>
      <c r="S224" s="8">
        <v>20</v>
      </c>
      <c r="T224" s="8" t="s">
        <v>36</v>
      </c>
      <c r="U224" s="8" t="s">
        <v>1692</v>
      </c>
      <c r="V224" s="8" t="s">
        <v>65</v>
      </c>
      <c r="W224" s="8" t="s">
        <v>1273</v>
      </c>
      <c r="X224" s="8"/>
      <c r="Y224" s="8">
        <v>480</v>
      </c>
      <c r="Z224" s="8"/>
      <c r="AA224" s="8" t="s">
        <v>39</v>
      </c>
      <c r="AB224" s="8">
        <v>31</v>
      </c>
      <c r="AC224" s="21" t="str">
        <f t="shared" ref="AC224:AC225" si="46">M224</f>
        <v>19/08/2020</v>
      </c>
      <c r="AD224" s="21" t="str">
        <f t="shared" ref="AD224:AD225" si="47">N224</f>
        <v>05/10/2020</v>
      </c>
      <c r="AE224" s="8"/>
      <c r="AF224" s="8"/>
      <c r="AG224" s="8"/>
    </row>
    <row r="225" spans="1:33" x14ac:dyDescent="0.2">
      <c r="A225" s="8">
        <v>2504</v>
      </c>
      <c r="B225" s="16">
        <v>44073</v>
      </c>
      <c r="C225" s="8">
        <v>30012834</v>
      </c>
      <c r="D225" s="8" t="s">
        <v>74</v>
      </c>
      <c r="E225" s="8" t="s">
        <v>75</v>
      </c>
      <c r="F225" s="8" t="s">
        <v>966</v>
      </c>
      <c r="G225" s="8">
        <v>15018451</v>
      </c>
      <c r="H225" s="8">
        <v>802095130</v>
      </c>
      <c r="I225" s="8" t="s">
        <v>77</v>
      </c>
      <c r="J225" s="8" t="s">
        <v>32</v>
      </c>
      <c r="K225" s="8" t="s">
        <v>1693</v>
      </c>
      <c r="L225" s="8" t="s">
        <v>1403</v>
      </c>
      <c r="M225" s="8" t="s">
        <v>1709</v>
      </c>
      <c r="N225" s="8" t="s">
        <v>1768</v>
      </c>
      <c r="O225" s="8">
        <v>496.8</v>
      </c>
      <c r="P225" s="8" t="s">
        <v>48</v>
      </c>
      <c r="Q225" s="8" t="s">
        <v>149</v>
      </c>
      <c r="R225" s="8" t="s">
        <v>150</v>
      </c>
      <c r="S225" s="8">
        <v>20</v>
      </c>
      <c r="T225" s="8" t="s">
        <v>36</v>
      </c>
      <c r="U225" s="8" t="s">
        <v>1694</v>
      </c>
      <c r="V225" s="8" t="s">
        <v>1718</v>
      </c>
      <c r="W225" s="8" t="s">
        <v>1404</v>
      </c>
      <c r="X225" s="8"/>
      <c r="Y225" s="8">
        <v>480</v>
      </c>
      <c r="Z225" s="8"/>
      <c r="AA225" s="8" t="s">
        <v>39</v>
      </c>
      <c r="AB225" s="8">
        <v>31</v>
      </c>
      <c r="AC225" s="21" t="str">
        <f t="shared" si="46"/>
        <v>21/08/2020</v>
      </c>
      <c r="AD225" s="21" t="str">
        <f t="shared" si="47"/>
        <v>20/10/2020</v>
      </c>
      <c r="AE225" s="8"/>
      <c r="AF225" s="8"/>
      <c r="AG225" s="8"/>
    </row>
    <row r="226" spans="1:33" x14ac:dyDescent="0.2">
      <c r="A226" s="8">
        <v>2501</v>
      </c>
      <c r="B226" s="16">
        <v>44048</v>
      </c>
      <c r="C226" s="8">
        <v>30012860</v>
      </c>
      <c r="D226" s="8" t="s">
        <v>62</v>
      </c>
      <c r="E226" s="8" t="s">
        <v>324</v>
      </c>
      <c r="F226" s="8" t="s">
        <v>325</v>
      </c>
      <c r="G226" s="8">
        <v>15018214</v>
      </c>
      <c r="H226" s="8">
        <v>802094832</v>
      </c>
      <c r="I226" s="8" t="s">
        <v>31</v>
      </c>
      <c r="J226" s="8" t="s">
        <v>32</v>
      </c>
      <c r="K226" s="8" t="s">
        <v>500</v>
      </c>
      <c r="L226" s="8" t="s">
        <v>1081</v>
      </c>
      <c r="M226" s="8" t="s">
        <v>1720</v>
      </c>
      <c r="N226" s="8" t="s">
        <v>1732</v>
      </c>
      <c r="O226" s="8">
        <v>501.904</v>
      </c>
      <c r="P226" s="8" t="s">
        <v>33</v>
      </c>
      <c r="Q226" s="8" t="s">
        <v>206</v>
      </c>
      <c r="R226" s="8" t="s">
        <v>35</v>
      </c>
      <c r="S226" s="8">
        <v>26</v>
      </c>
      <c r="T226" s="8" t="s">
        <v>140</v>
      </c>
      <c r="U226" s="8" t="s">
        <v>290</v>
      </c>
      <c r="V226" s="8" t="s">
        <v>1702</v>
      </c>
      <c r="W226" s="8" t="s">
        <v>1411</v>
      </c>
      <c r="X226" s="8"/>
      <c r="Y226" s="8">
        <v>494</v>
      </c>
      <c r="Z226" s="8"/>
      <c r="AA226" s="8" t="s">
        <v>39</v>
      </c>
      <c r="AB226" s="8">
        <v>31</v>
      </c>
      <c r="AC226" s="23">
        <v>44065</v>
      </c>
      <c r="AD226" s="23" t="s">
        <v>1711</v>
      </c>
      <c r="AE226" s="8">
        <v>0</v>
      </c>
      <c r="AF226" s="8">
        <v>-1</v>
      </c>
      <c r="AG226" s="8"/>
    </row>
    <row r="227" spans="1:33" x14ac:dyDescent="0.2">
      <c r="A227" s="8">
        <v>2522</v>
      </c>
      <c r="B227" s="16">
        <v>44063</v>
      </c>
      <c r="C227" s="8">
        <v>30012861</v>
      </c>
      <c r="D227" s="8" t="s">
        <v>178</v>
      </c>
      <c r="E227" s="8" t="s">
        <v>186</v>
      </c>
      <c r="F227" s="8" t="s">
        <v>187</v>
      </c>
      <c r="G227" s="8">
        <v>15018353</v>
      </c>
      <c r="H227" s="8">
        <v>802094996</v>
      </c>
      <c r="I227" s="8" t="s">
        <v>188</v>
      </c>
      <c r="J227" s="8" t="s">
        <v>95</v>
      </c>
      <c r="K227" s="8" t="s">
        <v>1415</v>
      </c>
      <c r="L227" s="8" t="s">
        <v>1269</v>
      </c>
      <c r="M227" s="8" t="s">
        <v>1725</v>
      </c>
      <c r="N227" s="8" t="s">
        <v>1753</v>
      </c>
      <c r="O227" s="8">
        <v>167.43299999999999</v>
      </c>
      <c r="P227" s="8" t="s">
        <v>492</v>
      </c>
      <c r="Q227" s="8" t="s">
        <v>131</v>
      </c>
      <c r="R227" s="8" t="s">
        <v>189</v>
      </c>
      <c r="S227" s="8">
        <v>7</v>
      </c>
      <c r="T227" s="8" t="s">
        <v>87</v>
      </c>
      <c r="U227" s="8" t="s">
        <v>290</v>
      </c>
      <c r="V227" s="8" t="s">
        <v>65</v>
      </c>
      <c r="W227" s="8" t="s">
        <v>1416</v>
      </c>
      <c r="X227" s="8"/>
      <c r="Y227" s="8">
        <v>119</v>
      </c>
      <c r="Z227" s="8"/>
      <c r="AA227" s="8" t="s">
        <v>190</v>
      </c>
      <c r="AB227" s="8">
        <v>31</v>
      </c>
      <c r="AC227" s="23" t="s">
        <v>1725</v>
      </c>
      <c r="AD227" s="23" t="str">
        <f t="shared" ref="AD227:AD229" si="48">N227</f>
        <v>14/09/2020</v>
      </c>
      <c r="AE227" s="8">
        <v>0</v>
      </c>
      <c r="AF227" s="8">
        <v>0</v>
      </c>
      <c r="AG227" s="8"/>
    </row>
    <row r="228" spans="1:33" x14ac:dyDescent="0.2">
      <c r="A228" s="8">
        <v>2522</v>
      </c>
      <c r="B228" s="16">
        <v>44058</v>
      </c>
      <c r="C228" s="8">
        <v>30012861</v>
      </c>
      <c r="D228" s="8" t="s">
        <v>178</v>
      </c>
      <c r="E228" s="8" t="s">
        <v>179</v>
      </c>
      <c r="F228" s="8" t="s">
        <v>180</v>
      </c>
      <c r="G228" s="8">
        <v>15018359</v>
      </c>
      <c r="H228" s="8">
        <v>802094919</v>
      </c>
      <c r="I228" s="8" t="s">
        <v>181</v>
      </c>
      <c r="J228" s="8" t="s">
        <v>95</v>
      </c>
      <c r="K228" s="8" t="s">
        <v>1415</v>
      </c>
      <c r="L228" s="8" t="s">
        <v>1269</v>
      </c>
      <c r="M228" s="8" t="s">
        <v>1725</v>
      </c>
      <c r="N228" s="8" t="s">
        <v>1754</v>
      </c>
      <c r="O228" s="8">
        <v>263.72500000000002</v>
      </c>
      <c r="P228" s="8" t="s">
        <v>492</v>
      </c>
      <c r="Q228" s="8" t="s">
        <v>182</v>
      </c>
      <c r="R228" s="8" t="s">
        <v>183</v>
      </c>
      <c r="S228" s="8">
        <v>11</v>
      </c>
      <c r="T228" s="8" t="s">
        <v>87</v>
      </c>
      <c r="U228" s="8" t="s">
        <v>290</v>
      </c>
      <c r="V228" s="8" t="s">
        <v>65</v>
      </c>
      <c r="W228" s="8" t="s">
        <v>1419</v>
      </c>
      <c r="X228" s="8"/>
      <c r="Y228" s="8">
        <v>275</v>
      </c>
      <c r="Z228" s="8"/>
      <c r="AA228" s="8" t="s">
        <v>184</v>
      </c>
      <c r="AB228" s="8">
        <v>31</v>
      </c>
      <c r="AC228" s="23" t="s">
        <v>1725</v>
      </c>
      <c r="AD228" s="23" t="str">
        <f t="shared" si="48"/>
        <v>16/09/2020</v>
      </c>
      <c r="AE228" s="8">
        <v>0</v>
      </c>
      <c r="AF228" s="8">
        <v>0</v>
      </c>
      <c r="AG228" s="8"/>
    </row>
    <row r="229" spans="1:33" x14ac:dyDescent="0.2">
      <c r="A229" s="8">
        <v>2522</v>
      </c>
      <c r="B229" s="16">
        <v>44058</v>
      </c>
      <c r="C229" s="8">
        <v>30012861</v>
      </c>
      <c r="D229" s="8" t="s">
        <v>178</v>
      </c>
      <c r="E229" s="8" t="s">
        <v>179</v>
      </c>
      <c r="F229" s="8" t="s">
        <v>180</v>
      </c>
      <c r="G229" s="8">
        <v>15018360</v>
      </c>
      <c r="H229" s="8">
        <v>802094920</v>
      </c>
      <c r="I229" s="8" t="s">
        <v>181</v>
      </c>
      <c r="J229" s="8" t="s">
        <v>95</v>
      </c>
      <c r="K229" s="8" t="s">
        <v>1415</v>
      </c>
      <c r="L229" s="8" t="s">
        <v>1269</v>
      </c>
      <c r="M229" s="8" t="s">
        <v>1725</v>
      </c>
      <c r="N229" s="8" t="s">
        <v>1753</v>
      </c>
      <c r="O229" s="8">
        <v>119.875</v>
      </c>
      <c r="P229" s="8" t="s">
        <v>492</v>
      </c>
      <c r="Q229" s="8" t="s">
        <v>131</v>
      </c>
      <c r="R229" s="8" t="s">
        <v>185</v>
      </c>
      <c r="S229" s="8">
        <v>5</v>
      </c>
      <c r="T229" s="8" t="s">
        <v>87</v>
      </c>
      <c r="U229" s="8" t="s">
        <v>290</v>
      </c>
      <c r="V229" s="8" t="s">
        <v>65</v>
      </c>
      <c r="W229" s="8" t="s">
        <v>1422</v>
      </c>
      <c r="X229" s="8"/>
      <c r="Y229" s="8">
        <v>125</v>
      </c>
      <c r="Z229" s="8"/>
      <c r="AA229" s="8" t="s">
        <v>184</v>
      </c>
      <c r="AB229" s="8">
        <v>31</v>
      </c>
      <c r="AC229" s="23" t="s">
        <v>1725</v>
      </c>
      <c r="AD229" s="23" t="str">
        <f t="shared" si="48"/>
        <v>14/09/2020</v>
      </c>
      <c r="AE229" s="8">
        <v>0</v>
      </c>
      <c r="AF229" s="8">
        <v>0</v>
      </c>
      <c r="AG229" s="8"/>
    </row>
    <row r="230" spans="1:33" x14ac:dyDescent="0.2">
      <c r="A230" s="8">
        <v>2504</v>
      </c>
      <c r="B230" s="16">
        <v>44073</v>
      </c>
      <c r="C230" s="8">
        <v>30012834</v>
      </c>
      <c r="D230" s="8" t="s">
        <v>74</v>
      </c>
      <c r="E230" s="8" t="s">
        <v>75</v>
      </c>
      <c r="F230" s="8" t="s">
        <v>966</v>
      </c>
      <c r="G230" s="8">
        <v>15018452</v>
      </c>
      <c r="H230" s="8">
        <v>802095131</v>
      </c>
      <c r="I230" s="8" t="s">
        <v>77</v>
      </c>
      <c r="J230" s="8" t="s">
        <v>32</v>
      </c>
      <c r="K230" s="8" t="s">
        <v>1693</v>
      </c>
      <c r="L230" s="8" t="s">
        <v>1403</v>
      </c>
      <c r="M230" s="8" t="s">
        <v>1709</v>
      </c>
      <c r="N230" s="8" t="s">
        <v>1768</v>
      </c>
      <c r="O230" s="8">
        <v>496.8</v>
      </c>
      <c r="P230" s="8" t="s">
        <v>48</v>
      </c>
      <c r="Q230" s="8" t="s">
        <v>149</v>
      </c>
      <c r="R230" s="8" t="s">
        <v>150</v>
      </c>
      <c r="S230" s="8">
        <v>20</v>
      </c>
      <c r="T230" s="8" t="s">
        <v>36</v>
      </c>
      <c r="U230" s="8" t="s">
        <v>1694</v>
      </c>
      <c r="V230" s="8" t="s">
        <v>1718</v>
      </c>
      <c r="W230" s="8" t="s">
        <v>1407</v>
      </c>
      <c r="X230" s="8"/>
      <c r="Y230" s="8">
        <v>480</v>
      </c>
      <c r="Z230" s="8"/>
      <c r="AA230" s="8" t="s">
        <v>39</v>
      </c>
      <c r="AB230" s="8">
        <v>31</v>
      </c>
      <c r="AC230" s="21" t="str">
        <f t="shared" ref="AC230:AC238" si="49">M230</f>
        <v>21/08/2020</v>
      </c>
      <c r="AD230" s="21" t="str">
        <f t="shared" ref="AD230:AD238" si="50">N230</f>
        <v>20/10/2020</v>
      </c>
      <c r="AE230" s="8"/>
      <c r="AF230" s="8"/>
      <c r="AG230" s="8"/>
    </row>
    <row r="231" spans="1:33" x14ac:dyDescent="0.2">
      <c r="A231" s="8">
        <v>2504</v>
      </c>
      <c r="B231" s="16">
        <v>44058</v>
      </c>
      <c r="C231" s="8">
        <v>30012811</v>
      </c>
      <c r="D231" s="8" t="s">
        <v>28</v>
      </c>
      <c r="E231" s="8" t="s">
        <v>280</v>
      </c>
      <c r="F231" s="8" t="s">
        <v>352</v>
      </c>
      <c r="G231" s="8">
        <v>15018238</v>
      </c>
      <c r="H231" s="8">
        <v>802094751</v>
      </c>
      <c r="I231" s="8" t="s">
        <v>77</v>
      </c>
      <c r="J231" s="8" t="s">
        <v>32</v>
      </c>
      <c r="K231" s="8" t="s">
        <v>1426</v>
      </c>
      <c r="L231" s="8" t="s">
        <v>1269</v>
      </c>
      <c r="M231" s="8" t="s">
        <v>1720</v>
      </c>
      <c r="N231" s="8" t="s">
        <v>1755</v>
      </c>
      <c r="O231" s="8">
        <v>496.8</v>
      </c>
      <c r="P231" s="8" t="s">
        <v>48</v>
      </c>
      <c r="Q231" s="8" t="s">
        <v>353</v>
      </c>
      <c r="R231" s="8" t="s">
        <v>354</v>
      </c>
      <c r="S231" s="8">
        <v>20</v>
      </c>
      <c r="T231" s="8" t="s">
        <v>36</v>
      </c>
      <c r="U231" s="8" t="s">
        <v>290</v>
      </c>
      <c r="V231" s="8" t="s">
        <v>1699</v>
      </c>
      <c r="W231" s="8" t="s">
        <v>1427</v>
      </c>
      <c r="X231" s="8"/>
      <c r="Y231" s="8">
        <v>480</v>
      </c>
      <c r="Z231" s="8"/>
      <c r="AA231" s="8" t="s">
        <v>39</v>
      </c>
      <c r="AB231" s="8">
        <v>31</v>
      </c>
      <c r="AC231" s="21" t="str">
        <f t="shared" si="49"/>
        <v>22/08/2020</v>
      </c>
      <c r="AD231" s="21" t="str">
        <f t="shared" si="50"/>
        <v>23/09/2020</v>
      </c>
      <c r="AE231" s="8"/>
      <c r="AF231" s="8"/>
      <c r="AG231" s="8"/>
    </row>
    <row r="232" spans="1:33" x14ac:dyDescent="0.2">
      <c r="A232" s="8">
        <v>2504</v>
      </c>
      <c r="B232" s="16">
        <v>44058</v>
      </c>
      <c r="C232" s="8">
        <v>30012811</v>
      </c>
      <c r="D232" s="8" t="s">
        <v>28</v>
      </c>
      <c r="E232" s="8" t="s">
        <v>280</v>
      </c>
      <c r="F232" s="8" t="s">
        <v>352</v>
      </c>
      <c r="G232" s="8">
        <v>15018239</v>
      </c>
      <c r="H232" s="8">
        <v>802094752</v>
      </c>
      <c r="I232" s="8" t="s">
        <v>77</v>
      </c>
      <c r="J232" s="8" t="s">
        <v>32</v>
      </c>
      <c r="K232" s="8" t="s">
        <v>1426</v>
      </c>
      <c r="L232" s="8" t="s">
        <v>1269</v>
      </c>
      <c r="M232" s="8" t="s">
        <v>1720</v>
      </c>
      <c r="N232" s="8" t="s">
        <v>1755</v>
      </c>
      <c r="O232" s="8">
        <v>496.8</v>
      </c>
      <c r="P232" s="8" t="s">
        <v>48</v>
      </c>
      <c r="Q232" s="8" t="s">
        <v>353</v>
      </c>
      <c r="R232" s="8" t="s">
        <v>354</v>
      </c>
      <c r="S232" s="8">
        <v>20</v>
      </c>
      <c r="T232" s="8" t="s">
        <v>36</v>
      </c>
      <c r="U232" s="8" t="s">
        <v>290</v>
      </c>
      <c r="V232" s="8" t="s">
        <v>1699</v>
      </c>
      <c r="W232" s="8" t="s">
        <v>1430</v>
      </c>
      <c r="X232" s="8"/>
      <c r="Y232" s="8">
        <v>480</v>
      </c>
      <c r="Z232" s="8"/>
      <c r="AA232" s="8" t="s">
        <v>39</v>
      </c>
      <c r="AB232" s="8">
        <v>31</v>
      </c>
      <c r="AC232" s="21" t="str">
        <f t="shared" si="49"/>
        <v>22/08/2020</v>
      </c>
      <c r="AD232" s="21" t="str">
        <f t="shared" si="50"/>
        <v>23/09/2020</v>
      </c>
      <c r="AE232" s="8"/>
      <c r="AF232" s="8"/>
      <c r="AG232" s="8"/>
    </row>
    <row r="233" spans="1:33" x14ac:dyDescent="0.2">
      <c r="A233" s="8">
        <v>2504</v>
      </c>
      <c r="B233" s="16">
        <v>44063</v>
      </c>
      <c r="C233" s="8">
        <v>30012819</v>
      </c>
      <c r="D233" s="8" t="s">
        <v>62</v>
      </c>
      <c r="E233" s="8" t="s">
        <v>217</v>
      </c>
      <c r="F233" s="8" t="s">
        <v>218</v>
      </c>
      <c r="G233" s="8">
        <v>15018225</v>
      </c>
      <c r="H233" s="8">
        <v>802094746</v>
      </c>
      <c r="I233" s="8" t="s">
        <v>77</v>
      </c>
      <c r="J233" s="8" t="s">
        <v>32</v>
      </c>
      <c r="K233" s="8" t="s">
        <v>430</v>
      </c>
      <c r="L233" s="8" t="s">
        <v>1434</v>
      </c>
      <c r="M233" s="8" t="s">
        <v>1720</v>
      </c>
      <c r="N233" s="8" t="s">
        <v>1755</v>
      </c>
      <c r="O233" s="8">
        <v>496.8</v>
      </c>
      <c r="P233" s="8" t="s">
        <v>48</v>
      </c>
      <c r="Q233" s="8" t="s">
        <v>206</v>
      </c>
      <c r="R233" s="8" t="s">
        <v>35</v>
      </c>
      <c r="S233" s="8">
        <v>20</v>
      </c>
      <c r="T233" s="8" t="s">
        <v>36</v>
      </c>
      <c r="U233" s="8" t="s">
        <v>290</v>
      </c>
      <c r="V233" s="8" t="s">
        <v>1706</v>
      </c>
      <c r="W233" s="8" t="s">
        <v>1435</v>
      </c>
      <c r="X233" s="8"/>
      <c r="Y233" s="8">
        <v>480</v>
      </c>
      <c r="Z233" s="8"/>
      <c r="AA233" s="8" t="s">
        <v>39</v>
      </c>
      <c r="AB233" s="8">
        <v>31</v>
      </c>
      <c r="AC233" s="21" t="str">
        <f t="shared" si="49"/>
        <v>22/08/2020</v>
      </c>
      <c r="AD233" s="21" t="str">
        <f t="shared" si="50"/>
        <v>23/09/2020</v>
      </c>
      <c r="AE233" s="8"/>
      <c r="AF233" s="8"/>
      <c r="AG233" s="8"/>
    </row>
    <row r="234" spans="1:33" x14ac:dyDescent="0.2">
      <c r="A234" s="8">
        <v>2504</v>
      </c>
      <c r="B234" s="16">
        <v>44063</v>
      </c>
      <c r="C234" s="8">
        <v>30012819</v>
      </c>
      <c r="D234" s="8" t="s">
        <v>62</v>
      </c>
      <c r="E234" s="8" t="s">
        <v>217</v>
      </c>
      <c r="F234" s="8" t="s">
        <v>218</v>
      </c>
      <c r="G234" s="8">
        <v>15018226</v>
      </c>
      <c r="H234" s="8">
        <v>802094747</v>
      </c>
      <c r="I234" s="8" t="s">
        <v>77</v>
      </c>
      <c r="J234" s="8" t="s">
        <v>32</v>
      </c>
      <c r="K234" s="8" t="s">
        <v>430</v>
      </c>
      <c r="L234" s="8" t="s">
        <v>1434</v>
      </c>
      <c r="M234" s="8" t="s">
        <v>1720</v>
      </c>
      <c r="N234" s="8" t="s">
        <v>1755</v>
      </c>
      <c r="O234" s="8">
        <v>496.8</v>
      </c>
      <c r="P234" s="8" t="s">
        <v>48</v>
      </c>
      <c r="Q234" s="8" t="s">
        <v>206</v>
      </c>
      <c r="R234" s="8" t="s">
        <v>35</v>
      </c>
      <c r="S234" s="8">
        <v>20</v>
      </c>
      <c r="T234" s="8" t="s">
        <v>36</v>
      </c>
      <c r="U234" s="8" t="s">
        <v>290</v>
      </c>
      <c r="V234" s="8" t="s">
        <v>1706</v>
      </c>
      <c r="W234" s="8" t="s">
        <v>1438</v>
      </c>
      <c r="X234" s="8"/>
      <c r="Y234" s="8">
        <v>480</v>
      </c>
      <c r="Z234" s="8"/>
      <c r="AA234" s="8" t="s">
        <v>39</v>
      </c>
      <c r="AB234" s="8">
        <v>31</v>
      </c>
      <c r="AC234" s="21" t="str">
        <f t="shared" si="49"/>
        <v>22/08/2020</v>
      </c>
      <c r="AD234" s="21" t="str">
        <f t="shared" si="50"/>
        <v>23/09/2020</v>
      </c>
      <c r="AE234" s="8"/>
      <c r="AF234" s="8"/>
      <c r="AG234" s="8"/>
    </row>
    <row r="235" spans="1:33" x14ac:dyDescent="0.2">
      <c r="A235" s="8">
        <v>2504</v>
      </c>
      <c r="B235" s="16">
        <v>44048</v>
      </c>
      <c r="C235" s="8">
        <v>30012819</v>
      </c>
      <c r="D235" s="8" t="s">
        <v>44</v>
      </c>
      <c r="E235" s="8" t="s">
        <v>45</v>
      </c>
      <c r="F235" s="8" t="s">
        <v>299</v>
      </c>
      <c r="G235" s="8">
        <v>15018264</v>
      </c>
      <c r="H235" s="8">
        <v>802094845</v>
      </c>
      <c r="I235" s="8" t="s">
        <v>567</v>
      </c>
      <c r="J235" s="8" t="s">
        <v>58</v>
      </c>
      <c r="K235" s="8" t="s">
        <v>430</v>
      </c>
      <c r="L235" s="8" t="s">
        <v>1434</v>
      </c>
      <c r="M235" s="8" t="s">
        <v>1720</v>
      </c>
      <c r="N235" s="8" t="s">
        <v>1769</v>
      </c>
      <c r="O235" s="8">
        <v>80.72</v>
      </c>
      <c r="P235" s="8" t="s">
        <v>48</v>
      </c>
      <c r="Q235" s="8" t="s">
        <v>85</v>
      </c>
      <c r="R235" s="8" t="s">
        <v>301</v>
      </c>
      <c r="S235" s="8">
        <v>4</v>
      </c>
      <c r="T235" s="8" t="s">
        <v>42</v>
      </c>
      <c r="U235" s="8" t="s">
        <v>290</v>
      </c>
      <c r="V235" s="8" t="s">
        <v>1706</v>
      </c>
      <c r="W235" s="8" t="s">
        <v>1441</v>
      </c>
      <c r="X235" s="8"/>
      <c r="Y235" s="8">
        <v>40</v>
      </c>
      <c r="Z235" s="8" t="s">
        <v>53</v>
      </c>
      <c r="AA235" s="8" t="s">
        <v>39</v>
      </c>
      <c r="AB235" s="8">
        <v>31</v>
      </c>
      <c r="AC235" s="21" t="str">
        <f t="shared" si="49"/>
        <v>22/08/2020</v>
      </c>
      <c r="AD235" s="21" t="str">
        <f t="shared" si="50"/>
        <v>22/09/2020</v>
      </c>
      <c r="AE235" s="8"/>
      <c r="AF235" s="8"/>
      <c r="AG235" s="8"/>
    </row>
    <row r="236" spans="1:33" x14ac:dyDescent="0.2">
      <c r="A236" s="8">
        <v>2504</v>
      </c>
      <c r="B236" s="16">
        <v>44074</v>
      </c>
      <c r="C236" s="8">
        <v>30012825</v>
      </c>
      <c r="D236" s="8" t="s">
        <v>91</v>
      </c>
      <c r="E236" s="8" t="s">
        <v>569</v>
      </c>
      <c r="F236" s="8" t="s">
        <v>570</v>
      </c>
      <c r="G236" s="8">
        <v>15018263</v>
      </c>
      <c r="H236" s="8">
        <v>802094844</v>
      </c>
      <c r="I236" s="8" t="s">
        <v>571</v>
      </c>
      <c r="J236" s="8" t="s">
        <v>58</v>
      </c>
      <c r="K236" s="8" t="s">
        <v>515</v>
      </c>
      <c r="L236" s="8" t="s">
        <v>753</v>
      </c>
      <c r="M236" s="8" t="s">
        <v>1720</v>
      </c>
      <c r="N236" s="8" t="s">
        <v>1735</v>
      </c>
      <c r="O236" s="8">
        <v>122.4</v>
      </c>
      <c r="P236" s="8" t="s">
        <v>48</v>
      </c>
      <c r="Q236" s="8" t="s">
        <v>131</v>
      </c>
      <c r="R236" s="8" t="s">
        <v>132</v>
      </c>
      <c r="S236" s="8">
        <v>5</v>
      </c>
      <c r="T236" s="8" t="s">
        <v>36</v>
      </c>
      <c r="U236" s="8" t="s">
        <v>290</v>
      </c>
      <c r="V236" s="8" t="s">
        <v>155</v>
      </c>
      <c r="W236" s="8" t="s">
        <v>1445</v>
      </c>
      <c r="X236" s="8"/>
      <c r="Y236" s="8">
        <v>60</v>
      </c>
      <c r="Z236" s="8" t="s">
        <v>53</v>
      </c>
      <c r="AA236" s="8" t="s">
        <v>39</v>
      </c>
      <c r="AB236" s="8">
        <v>31</v>
      </c>
      <c r="AC236" s="21" t="str">
        <f t="shared" si="49"/>
        <v>22/08/2020</v>
      </c>
      <c r="AD236" s="21" t="str">
        <f t="shared" si="50"/>
        <v>05/09/2020</v>
      </c>
      <c r="AE236" s="8"/>
      <c r="AF236" s="8"/>
      <c r="AG236" s="8"/>
    </row>
    <row r="237" spans="1:33" x14ac:dyDescent="0.2">
      <c r="A237" s="8">
        <v>2524</v>
      </c>
      <c r="B237" s="16">
        <v>44063</v>
      </c>
      <c r="C237" s="8">
        <v>30012825</v>
      </c>
      <c r="D237" s="8" t="s">
        <v>178</v>
      </c>
      <c r="E237" s="8" t="s">
        <v>186</v>
      </c>
      <c r="F237" s="8" t="s">
        <v>187</v>
      </c>
      <c r="G237" s="8">
        <v>15018354</v>
      </c>
      <c r="H237" s="8">
        <v>802094914</v>
      </c>
      <c r="I237" s="8" t="s">
        <v>389</v>
      </c>
      <c r="J237" s="8" t="s">
        <v>47</v>
      </c>
      <c r="K237" s="8" t="s">
        <v>515</v>
      </c>
      <c r="L237" s="8" t="s">
        <v>753</v>
      </c>
      <c r="M237" s="8" t="s">
        <v>1720</v>
      </c>
      <c r="N237" s="8" t="s">
        <v>1751</v>
      </c>
      <c r="O237" s="8">
        <v>147.24</v>
      </c>
      <c r="P237" s="8" t="s">
        <v>48</v>
      </c>
      <c r="Q237" s="8" t="s">
        <v>182</v>
      </c>
      <c r="R237" s="8" t="s">
        <v>391</v>
      </c>
      <c r="S237" s="8">
        <v>6</v>
      </c>
      <c r="T237" s="8" t="s">
        <v>36</v>
      </c>
      <c r="U237" s="8" t="s">
        <v>290</v>
      </c>
      <c r="V237" s="8" t="s">
        <v>155</v>
      </c>
      <c r="W237" s="8" t="s">
        <v>1448</v>
      </c>
      <c r="X237" s="8"/>
      <c r="Y237" s="8">
        <v>120</v>
      </c>
      <c r="Z237" s="8" t="s">
        <v>53</v>
      </c>
      <c r="AA237" s="8" t="s">
        <v>190</v>
      </c>
      <c r="AB237" s="8">
        <v>31</v>
      </c>
      <c r="AC237" s="21" t="str">
        <f t="shared" si="49"/>
        <v>22/08/2020</v>
      </c>
      <c r="AD237" s="21" t="str">
        <f t="shared" si="50"/>
        <v>07/09/2020</v>
      </c>
      <c r="AE237" s="8"/>
      <c r="AF237" s="8"/>
      <c r="AG237" s="8"/>
    </row>
    <row r="238" spans="1:33" x14ac:dyDescent="0.2">
      <c r="A238" s="8">
        <v>2504</v>
      </c>
      <c r="B238" s="16">
        <v>44073</v>
      </c>
      <c r="C238" s="8">
        <v>30012832</v>
      </c>
      <c r="D238" s="8" t="s">
        <v>91</v>
      </c>
      <c r="E238" s="8" t="s">
        <v>347</v>
      </c>
      <c r="F238" s="8" t="s">
        <v>348</v>
      </c>
      <c r="G238" s="8">
        <v>15017737</v>
      </c>
      <c r="H238" s="8">
        <v>802094723</v>
      </c>
      <c r="I238" s="8" t="s">
        <v>349</v>
      </c>
      <c r="J238" s="8" t="s">
        <v>58</v>
      </c>
      <c r="K238" s="8" t="s">
        <v>430</v>
      </c>
      <c r="L238" s="8" t="s">
        <v>1434</v>
      </c>
      <c r="M238" s="8" t="s">
        <v>1720</v>
      </c>
      <c r="N238" s="8" t="s">
        <v>1717</v>
      </c>
      <c r="O238" s="8">
        <v>102.124</v>
      </c>
      <c r="P238" s="8" t="s">
        <v>48</v>
      </c>
      <c r="Q238" s="8" t="s">
        <v>100</v>
      </c>
      <c r="R238" s="8" t="s">
        <v>101</v>
      </c>
      <c r="S238" s="8">
        <v>4</v>
      </c>
      <c r="T238" s="8" t="s">
        <v>72</v>
      </c>
      <c r="U238" s="8" t="s">
        <v>290</v>
      </c>
      <c r="V238" s="8" t="s">
        <v>155</v>
      </c>
      <c r="W238" s="8" t="s">
        <v>1452</v>
      </c>
      <c r="X238" s="8"/>
      <c r="Y238" s="8">
        <v>44</v>
      </c>
      <c r="Z238" s="8" t="s">
        <v>1453</v>
      </c>
      <c r="AA238" s="8" t="s">
        <v>39</v>
      </c>
      <c r="AB238" s="8">
        <v>31</v>
      </c>
      <c r="AC238" s="21" t="str">
        <f t="shared" si="49"/>
        <v>22/08/2020</v>
      </c>
      <c r="AD238" s="21" t="str">
        <f t="shared" si="50"/>
        <v>11/09/2020</v>
      </c>
      <c r="AE238" s="8"/>
      <c r="AF238" s="8"/>
      <c r="AG238" s="8"/>
    </row>
    <row r="239" spans="1:33" x14ac:dyDescent="0.2">
      <c r="A239" s="8">
        <v>2501</v>
      </c>
      <c r="B239" s="16">
        <v>44073</v>
      </c>
      <c r="C239" s="8">
        <v>30012760</v>
      </c>
      <c r="D239" s="8" t="s">
        <v>91</v>
      </c>
      <c r="E239" s="8" t="s">
        <v>107</v>
      </c>
      <c r="F239" s="8" t="s">
        <v>537</v>
      </c>
      <c r="G239" s="8">
        <v>15018297</v>
      </c>
      <c r="H239" s="8">
        <v>802094858</v>
      </c>
      <c r="I239" s="8" t="s">
        <v>580</v>
      </c>
      <c r="J239" s="8" t="s">
        <v>58</v>
      </c>
      <c r="K239" s="8" t="s">
        <v>727</v>
      </c>
      <c r="L239" s="8" t="s">
        <v>1269</v>
      </c>
      <c r="M239" s="8" t="s">
        <v>1721</v>
      </c>
      <c r="N239" s="8" t="s">
        <v>1749</v>
      </c>
      <c r="O239" s="8">
        <v>104.985</v>
      </c>
      <c r="P239" s="8" t="s">
        <v>33</v>
      </c>
      <c r="Q239" s="8" t="s">
        <v>105</v>
      </c>
      <c r="R239" s="8" t="s">
        <v>106</v>
      </c>
      <c r="S239" s="8">
        <v>5</v>
      </c>
      <c r="T239" s="8" t="s">
        <v>42</v>
      </c>
      <c r="U239" s="8" t="s">
        <v>290</v>
      </c>
      <c r="V239" s="8" t="s">
        <v>1699</v>
      </c>
      <c r="W239" s="8" t="s">
        <v>1461</v>
      </c>
      <c r="X239" s="8"/>
      <c r="Y239" s="8">
        <v>45</v>
      </c>
      <c r="Z239" s="8" t="s">
        <v>996</v>
      </c>
      <c r="AA239" s="8" t="s">
        <v>109</v>
      </c>
      <c r="AB239" s="8">
        <v>31</v>
      </c>
      <c r="AC239" s="23">
        <v>44069</v>
      </c>
      <c r="AD239" s="23" t="s">
        <v>1749</v>
      </c>
      <c r="AE239" s="8">
        <v>1</v>
      </c>
      <c r="AF239" s="8">
        <v>0</v>
      </c>
      <c r="AG239" s="8" t="s">
        <v>1684</v>
      </c>
    </row>
    <row r="240" spans="1:33" x14ac:dyDescent="0.2">
      <c r="A240" s="8">
        <v>2501</v>
      </c>
      <c r="B240" s="16">
        <v>44073</v>
      </c>
      <c r="C240" s="8">
        <v>30012766</v>
      </c>
      <c r="D240" s="8" t="s">
        <v>74</v>
      </c>
      <c r="E240" s="8" t="s">
        <v>207</v>
      </c>
      <c r="F240" s="8" t="s">
        <v>208</v>
      </c>
      <c r="G240" s="8">
        <v>15018186</v>
      </c>
      <c r="H240" s="8">
        <v>802094827</v>
      </c>
      <c r="I240" s="8" t="s">
        <v>211</v>
      </c>
      <c r="J240" s="8" t="s">
        <v>58</v>
      </c>
      <c r="K240" s="8" t="s">
        <v>727</v>
      </c>
      <c r="L240" s="8" t="s">
        <v>1269</v>
      </c>
      <c r="M240" s="8" t="s">
        <v>1721</v>
      </c>
      <c r="N240" s="8" t="s">
        <v>1765</v>
      </c>
      <c r="O240" s="8">
        <v>51.326000000000001</v>
      </c>
      <c r="P240" s="8" t="s">
        <v>33</v>
      </c>
      <c r="Q240" s="8" t="s">
        <v>210</v>
      </c>
      <c r="R240" s="8" t="s">
        <v>364</v>
      </c>
      <c r="S240" s="8">
        <v>2</v>
      </c>
      <c r="T240" s="8" t="s">
        <v>72</v>
      </c>
      <c r="U240" s="8" t="s">
        <v>290</v>
      </c>
      <c r="V240" s="8" t="s">
        <v>65</v>
      </c>
      <c r="W240" s="8" t="s">
        <v>1465</v>
      </c>
      <c r="X240" s="8"/>
      <c r="Y240" s="8">
        <v>22</v>
      </c>
      <c r="Z240" s="8" t="s">
        <v>1466</v>
      </c>
      <c r="AA240" s="8" t="s">
        <v>39</v>
      </c>
      <c r="AB240" s="8">
        <v>31</v>
      </c>
      <c r="AC240" s="23" t="s">
        <v>1721</v>
      </c>
      <c r="AD240" s="23" t="s">
        <v>1765</v>
      </c>
      <c r="AE240" s="8">
        <v>0</v>
      </c>
      <c r="AF240" s="8">
        <v>0</v>
      </c>
      <c r="AG240" s="8"/>
    </row>
    <row r="241" spans="1:33" x14ac:dyDescent="0.2">
      <c r="A241" s="8">
        <v>2501</v>
      </c>
      <c r="B241" s="16">
        <v>44073</v>
      </c>
      <c r="C241" s="8">
        <v>30012766</v>
      </c>
      <c r="D241" s="8" t="s">
        <v>74</v>
      </c>
      <c r="E241" s="8" t="s">
        <v>207</v>
      </c>
      <c r="F241" s="8" t="s">
        <v>208</v>
      </c>
      <c r="G241" s="8">
        <v>15018492</v>
      </c>
      <c r="H241" s="8">
        <v>802095179</v>
      </c>
      <c r="I241" s="8" t="s">
        <v>1469</v>
      </c>
      <c r="J241" s="8" t="s">
        <v>58</v>
      </c>
      <c r="K241" s="8" t="s">
        <v>727</v>
      </c>
      <c r="L241" s="8" t="s">
        <v>1269</v>
      </c>
      <c r="M241" s="8" t="s">
        <v>1721</v>
      </c>
      <c r="N241" s="8" t="s">
        <v>1765</v>
      </c>
      <c r="O241" s="8">
        <v>51.34</v>
      </c>
      <c r="P241" s="8" t="s">
        <v>33</v>
      </c>
      <c r="Q241" s="8" t="s">
        <v>210</v>
      </c>
      <c r="R241" s="8" t="s">
        <v>364</v>
      </c>
      <c r="S241" s="8">
        <v>2</v>
      </c>
      <c r="T241" s="8" t="s">
        <v>72</v>
      </c>
      <c r="U241" s="8" t="s">
        <v>290</v>
      </c>
      <c r="V241" s="8" t="s">
        <v>65</v>
      </c>
      <c r="W241" s="8" t="s">
        <v>1470</v>
      </c>
      <c r="X241" s="8"/>
      <c r="Y241" s="8">
        <v>20</v>
      </c>
      <c r="Z241" s="8" t="s">
        <v>1471</v>
      </c>
      <c r="AA241" s="8" t="s">
        <v>39</v>
      </c>
      <c r="AB241" s="8">
        <v>31</v>
      </c>
      <c r="AC241" s="23" t="s">
        <v>1721</v>
      </c>
      <c r="AD241" s="23" t="s">
        <v>1765</v>
      </c>
      <c r="AE241" s="8">
        <v>0</v>
      </c>
      <c r="AF241" s="8">
        <v>0</v>
      </c>
      <c r="AG241" s="8"/>
    </row>
    <row r="242" spans="1:33" x14ac:dyDescent="0.2">
      <c r="A242" s="8">
        <v>2501</v>
      </c>
      <c r="B242" s="16">
        <v>44048</v>
      </c>
      <c r="C242" s="8">
        <v>30012770</v>
      </c>
      <c r="D242" s="8" t="s">
        <v>62</v>
      </c>
      <c r="E242" s="8" t="s">
        <v>324</v>
      </c>
      <c r="F242" s="8" t="s">
        <v>325</v>
      </c>
      <c r="G242" s="8">
        <v>15018213</v>
      </c>
      <c r="H242" s="8">
        <v>802094831</v>
      </c>
      <c r="I242" s="8" t="s">
        <v>31</v>
      </c>
      <c r="J242" s="8" t="s">
        <v>32</v>
      </c>
      <c r="K242" s="8" t="s">
        <v>494</v>
      </c>
      <c r="L242" s="8" t="s">
        <v>1152</v>
      </c>
      <c r="M242" s="8" t="s">
        <v>1770</v>
      </c>
      <c r="N242" s="8" t="s">
        <v>1717</v>
      </c>
      <c r="O242" s="8">
        <v>501.904</v>
      </c>
      <c r="P242" s="8" t="s">
        <v>33</v>
      </c>
      <c r="Q242" s="8" t="s">
        <v>206</v>
      </c>
      <c r="R242" s="8" t="s">
        <v>35</v>
      </c>
      <c r="S242" s="8">
        <v>26</v>
      </c>
      <c r="T242" s="8" t="s">
        <v>140</v>
      </c>
      <c r="U242" s="8" t="s">
        <v>290</v>
      </c>
      <c r="V242" s="8" t="s">
        <v>65</v>
      </c>
      <c r="W242" s="8" t="s">
        <v>1475</v>
      </c>
      <c r="X242" s="8"/>
      <c r="Y242" s="8">
        <v>494</v>
      </c>
      <c r="Z242" s="8"/>
      <c r="AA242" s="8" t="s">
        <v>39</v>
      </c>
      <c r="AB242" s="8">
        <v>31</v>
      </c>
      <c r="AC242" s="23">
        <v>44066</v>
      </c>
      <c r="AD242" s="23" t="s">
        <v>1748</v>
      </c>
      <c r="AE242" s="8">
        <v>0</v>
      </c>
      <c r="AF242" s="8">
        <v>1</v>
      </c>
      <c r="AG242" s="8"/>
    </row>
    <row r="243" spans="1:33" x14ac:dyDescent="0.2">
      <c r="A243" s="8">
        <v>2501</v>
      </c>
      <c r="B243" s="16">
        <v>44060</v>
      </c>
      <c r="C243" s="8">
        <v>30012770</v>
      </c>
      <c r="D243" s="8" t="s">
        <v>28</v>
      </c>
      <c r="E243" s="8" t="s">
        <v>40</v>
      </c>
      <c r="F243" s="8" t="s">
        <v>41</v>
      </c>
      <c r="G243" s="8">
        <v>15018216</v>
      </c>
      <c r="H243" s="8">
        <v>802094834</v>
      </c>
      <c r="I243" s="8" t="s">
        <v>31</v>
      </c>
      <c r="J243" s="8" t="s">
        <v>32</v>
      </c>
      <c r="K243" s="8" t="s">
        <v>494</v>
      </c>
      <c r="L243" s="8" t="s">
        <v>1152</v>
      </c>
      <c r="M243" s="8" t="s">
        <v>1770</v>
      </c>
      <c r="N243" s="8" t="s">
        <v>1717</v>
      </c>
      <c r="O243" s="8">
        <v>304.8</v>
      </c>
      <c r="P243" s="8" t="s">
        <v>33</v>
      </c>
      <c r="Q243" s="8" t="s">
        <v>206</v>
      </c>
      <c r="R243" s="8" t="s">
        <v>35</v>
      </c>
      <c r="S243" s="8">
        <v>15</v>
      </c>
      <c r="T243" s="8" t="s">
        <v>42</v>
      </c>
      <c r="U243" s="8" t="s">
        <v>290</v>
      </c>
      <c r="V243" s="8" t="s">
        <v>65</v>
      </c>
      <c r="W243" s="8" t="s">
        <v>1478</v>
      </c>
      <c r="X243" s="8"/>
      <c r="Y243" s="8">
        <v>300</v>
      </c>
      <c r="Z243" s="8"/>
      <c r="AA243" s="8" t="s">
        <v>39</v>
      </c>
      <c r="AB243" s="8">
        <v>31</v>
      </c>
      <c r="AC243" s="23">
        <v>44066</v>
      </c>
      <c r="AD243" s="23" t="s">
        <v>1748</v>
      </c>
      <c r="AE243" s="8">
        <v>0</v>
      </c>
      <c r="AF243" s="8">
        <v>1</v>
      </c>
      <c r="AG243" s="8"/>
    </row>
    <row r="244" spans="1:33" x14ac:dyDescent="0.2">
      <c r="A244" s="8">
        <v>2501</v>
      </c>
      <c r="B244" s="16">
        <v>44068</v>
      </c>
      <c r="C244" s="8">
        <v>30012770</v>
      </c>
      <c r="D244" s="8" t="s">
        <v>62</v>
      </c>
      <c r="E244" s="8" t="s">
        <v>217</v>
      </c>
      <c r="F244" s="8" t="s">
        <v>218</v>
      </c>
      <c r="G244" s="8">
        <v>15018221</v>
      </c>
      <c r="H244" s="8">
        <v>802094838</v>
      </c>
      <c r="I244" s="8" t="s">
        <v>31</v>
      </c>
      <c r="J244" s="8" t="s">
        <v>32</v>
      </c>
      <c r="K244" s="8" t="s">
        <v>494</v>
      </c>
      <c r="L244" s="8" t="s">
        <v>1152</v>
      </c>
      <c r="M244" s="8" t="s">
        <v>1770</v>
      </c>
      <c r="N244" s="8" t="s">
        <v>1717</v>
      </c>
      <c r="O244" s="8">
        <v>487.68</v>
      </c>
      <c r="P244" s="8" t="s">
        <v>33</v>
      </c>
      <c r="Q244" s="8" t="s">
        <v>206</v>
      </c>
      <c r="R244" s="8" t="s">
        <v>35</v>
      </c>
      <c r="S244" s="8">
        <v>20</v>
      </c>
      <c r="T244" s="8" t="s">
        <v>36</v>
      </c>
      <c r="U244" s="8" t="s">
        <v>290</v>
      </c>
      <c r="V244" s="8" t="s">
        <v>65</v>
      </c>
      <c r="W244" s="8" t="s">
        <v>1481</v>
      </c>
      <c r="X244" s="8"/>
      <c r="Y244" s="8">
        <v>480</v>
      </c>
      <c r="Z244" s="8"/>
      <c r="AA244" s="8" t="s">
        <v>39</v>
      </c>
      <c r="AB244" s="8">
        <v>31</v>
      </c>
      <c r="AC244" s="23">
        <v>44066</v>
      </c>
      <c r="AD244" s="23" t="s">
        <v>1748</v>
      </c>
      <c r="AE244" s="8">
        <v>0</v>
      </c>
      <c r="AF244" s="8">
        <v>1</v>
      </c>
      <c r="AG244" s="8"/>
    </row>
    <row r="245" spans="1:33" x14ac:dyDescent="0.2">
      <c r="A245" s="8">
        <v>2501</v>
      </c>
      <c r="B245" s="16">
        <v>44074</v>
      </c>
      <c r="C245" s="8">
        <v>30012782</v>
      </c>
      <c r="D245" s="8" t="s">
        <v>365</v>
      </c>
      <c r="E245" s="8" t="s">
        <v>366</v>
      </c>
      <c r="F245" s="8" t="s">
        <v>367</v>
      </c>
      <c r="G245" s="8">
        <v>15018273</v>
      </c>
      <c r="H245" s="8">
        <v>802094846</v>
      </c>
      <c r="I245" s="8" t="s">
        <v>520</v>
      </c>
      <c r="J245" s="8" t="s">
        <v>58</v>
      </c>
      <c r="K245" s="8" t="s">
        <v>247</v>
      </c>
      <c r="L245" s="8" t="s">
        <v>1485</v>
      </c>
      <c r="M245" s="8" t="s">
        <v>1770</v>
      </c>
      <c r="N245" s="8" t="s">
        <v>1747</v>
      </c>
      <c r="O245" s="8">
        <v>95.48</v>
      </c>
      <c r="P245" s="8" t="s">
        <v>33</v>
      </c>
      <c r="Q245" s="8" t="s">
        <v>1705</v>
      </c>
      <c r="R245" s="8" t="s">
        <v>368</v>
      </c>
      <c r="S245" s="8">
        <v>4</v>
      </c>
      <c r="T245" s="8" t="s">
        <v>61</v>
      </c>
      <c r="U245" s="8" t="s">
        <v>290</v>
      </c>
      <c r="V245" s="8" t="s">
        <v>1706</v>
      </c>
      <c r="W245" s="8" t="s">
        <v>1486</v>
      </c>
      <c r="X245" s="8"/>
      <c r="Y245" s="8">
        <v>40</v>
      </c>
      <c r="Z245" s="8" t="s">
        <v>1487</v>
      </c>
      <c r="AA245" s="8" t="s">
        <v>39</v>
      </c>
      <c r="AB245" s="8">
        <v>31</v>
      </c>
      <c r="AC245" s="23" t="s">
        <v>1770</v>
      </c>
      <c r="AD245" s="23" t="s">
        <v>1747</v>
      </c>
      <c r="AE245" s="8">
        <v>0</v>
      </c>
      <c r="AF245" s="8">
        <v>0</v>
      </c>
      <c r="AG245" s="8"/>
    </row>
    <row r="246" spans="1:33" x14ac:dyDescent="0.2">
      <c r="A246" s="8">
        <v>2501</v>
      </c>
      <c r="B246" s="16">
        <v>44074</v>
      </c>
      <c r="C246" s="8">
        <v>30012782</v>
      </c>
      <c r="D246" s="8" t="s">
        <v>54</v>
      </c>
      <c r="E246" s="8" t="s">
        <v>55</v>
      </c>
      <c r="F246" s="8" t="s">
        <v>56</v>
      </c>
      <c r="G246" s="8">
        <v>15018296</v>
      </c>
      <c r="H246" s="8">
        <v>802094857</v>
      </c>
      <c r="I246" s="8" t="s">
        <v>57</v>
      </c>
      <c r="J246" s="8" t="s">
        <v>58</v>
      </c>
      <c r="K246" s="8" t="s">
        <v>247</v>
      </c>
      <c r="L246" s="8" t="s">
        <v>1485</v>
      </c>
      <c r="M246" s="8" t="s">
        <v>1770</v>
      </c>
      <c r="N246" s="8" t="s">
        <v>1747</v>
      </c>
      <c r="O246" s="8">
        <v>186.8</v>
      </c>
      <c r="P246" s="8" t="s">
        <v>33</v>
      </c>
      <c r="Q246" s="8" t="s">
        <v>1705</v>
      </c>
      <c r="R246" s="8" t="s">
        <v>60</v>
      </c>
      <c r="S246" s="8">
        <v>8</v>
      </c>
      <c r="T246" s="8" t="s">
        <v>61</v>
      </c>
      <c r="U246" s="8" t="s">
        <v>290</v>
      </c>
      <c r="V246" s="8" t="s">
        <v>1706</v>
      </c>
      <c r="W246" s="8" t="s">
        <v>1490</v>
      </c>
      <c r="X246" s="8"/>
      <c r="Y246" s="8">
        <v>80</v>
      </c>
      <c r="Z246" s="8" t="s">
        <v>1492</v>
      </c>
      <c r="AA246" s="8" t="s">
        <v>39</v>
      </c>
      <c r="AB246" s="8">
        <v>31</v>
      </c>
      <c r="AC246" s="23" t="s">
        <v>1770</v>
      </c>
      <c r="AD246" s="23" t="s">
        <v>1747</v>
      </c>
      <c r="AE246" s="8">
        <v>0</v>
      </c>
      <c r="AF246" s="8">
        <v>0</v>
      </c>
      <c r="AG246" s="8"/>
    </row>
    <row r="247" spans="1:33" x14ac:dyDescent="0.2">
      <c r="A247" s="8">
        <v>2504</v>
      </c>
      <c r="B247" s="16">
        <v>44063</v>
      </c>
      <c r="C247" s="8">
        <v>30012832</v>
      </c>
      <c r="D247" s="8" t="s">
        <v>102</v>
      </c>
      <c r="E247" s="8" t="s">
        <v>398</v>
      </c>
      <c r="F247" s="8" t="s">
        <v>399</v>
      </c>
      <c r="G247" s="8">
        <v>15018261</v>
      </c>
      <c r="H247" s="8">
        <v>802094843</v>
      </c>
      <c r="I247" s="8" t="s">
        <v>400</v>
      </c>
      <c r="J247" s="8" t="s">
        <v>58</v>
      </c>
      <c r="K247" s="8" t="s">
        <v>430</v>
      </c>
      <c r="L247" s="8" t="s">
        <v>1434</v>
      </c>
      <c r="M247" s="8" t="s">
        <v>1720</v>
      </c>
      <c r="N247" s="8" t="s">
        <v>1767</v>
      </c>
      <c r="O247" s="8">
        <v>76.88</v>
      </c>
      <c r="P247" s="8" t="s">
        <v>48</v>
      </c>
      <c r="Q247" s="8" t="s">
        <v>401</v>
      </c>
      <c r="R247" s="8" t="s">
        <v>402</v>
      </c>
      <c r="S247" s="8">
        <v>4</v>
      </c>
      <c r="T247" s="8" t="s">
        <v>140</v>
      </c>
      <c r="U247" s="8" t="s">
        <v>290</v>
      </c>
      <c r="V247" s="8" t="s">
        <v>155</v>
      </c>
      <c r="W247" s="8" t="s">
        <v>1456</v>
      </c>
      <c r="X247" s="8"/>
      <c r="Y247" s="8">
        <v>40</v>
      </c>
      <c r="Z247" s="8" t="s">
        <v>1457</v>
      </c>
      <c r="AA247" s="8" t="s">
        <v>39</v>
      </c>
      <c r="AB247" s="8">
        <v>31</v>
      </c>
      <c r="AC247" s="21" t="str">
        <f t="shared" ref="AC247" si="51">M247</f>
        <v>22/08/2020</v>
      </c>
      <c r="AD247" s="21" t="str">
        <f t="shared" ref="AD247" si="52">N247</f>
        <v>13/09/2020</v>
      </c>
      <c r="AE247" s="8"/>
      <c r="AF247" s="8"/>
      <c r="AG247" s="8"/>
    </row>
    <row r="248" spans="1:33" x14ac:dyDescent="0.2">
      <c r="A248" s="8">
        <v>2504</v>
      </c>
      <c r="B248" s="16">
        <v>44058</v>
      </c>
      <c r="C248" s="8">
        <v>30012826</v>
      </c>
      <c r="D248" s="8" t="s">
        <v>66</v>
      </c>
      <c r="E248" s="8" t="s">
        <v>67</v>
      </c>
      <c r="F248" s="8" t="s">
        <v>68</v>
      </c>
      <c r="G248" s="8">
        <v>15018366</v>
      </c>
      <c r="H248" s="8">
        <v>802094926</v>
      </c>
      <c r="I248" s="8" t="s">
        <v>69</v>
      </c>
      <c r="J248" s="8" t="s">
        <v>58</v>
      </c>
      <c r="K248" s="8" t="s">
        <v>1496</v>
      </c>
      <c r="L248" s="8" t="s">
        <v>1497</v>
      </c>
      <c r="M248" s="8" t="s">
        <v>1770</v>
      </c>
      <c r="N248" s="8" t="s">
        <v>1759</v>
      </c>
      <c r="O248" s="8">
        <v>52</v>
      </c>
      <c r="P248" s="8" t="s">
        <v>48</v>
      </c>
      <c r="Q248" s="8" t="s">
        <v>70</v>
      </c>
      <c r="R248" s="8" t="s">
        <v>71</v>
      </c>
      <c r="S248" s="8">
        <v>2</v>
      </c>
      <c r="T248" s="8" t="s">
        <v>72</v>
      </c>
      <c r="U248" s="8" t="s">
        <v>290</v>
      </c>
      <c r="V248" s="8" t="s">
        <v>1718</v>
      </c>
      <c r="W248" s="8" t="s">
        <v>1498</v>
      </c>
      <c r="X248" s="8"/>
      <c r="Y248" s="8">
        <v>23</v>
      </c>
      <c r="Z248" s="8" t="s">
        <v>53</v>
      </c>
      <c r="AA248" s="8" t="s">
        <v>39</v>
      </c>
      <c r="AB248" s="8">
        <v>31</v>
      </c>
      <c r="AC248" s="21" t="str">
        <f t="shared" ref="AC248:AC249" si="53">M248</f>
        <v>23/08/2020</v>
      </c>
      <c r="AD248" s="21" t="str">
        <f t="shared" ref="AD248:AD249" si="54">N248</f>
        <v>09/10/2020</v>
      </c>
      <c r="AE248" s="8"/>
      <c r="AF248" s="8"/>
      <c r="AG248" s="8"/>
    </row>
    <row r="249" spans="1:33" x14ac:dyDescent="0.2">
      <c r="A249" s="8">
        <v>2504</v>
      </c>
      <c r="B249" s="16">
        <v>44068</v>
      </c>
      <c r="C249" s="8">
        <v>30012833</v>
      </c>
      <c r="D249" s="8" t="s">
        <v>91</v>
      </c>
      <c r="E249" s="8" t="s">
        <v>350</v>
      </c>
      <c r="F249" s="8" t="s">
        <v>351</v>
      </c>
      <c r="G249" s="8">
        <v>15018162</v>
      </c>
      <c r="H249" s="8">
        <v>802094726</v>
      </c>
      <c r="I249" s="8" t="s">
        <v>1502</v>
      </c>
      <c r="J249" s="8" t="s">
        <v>58</v>
      </c>
      <c r="K249" s="8" t="s">
        <v>1415</v>
      </c>
      <c r="L249" s="8" t="s">
        <v>1269</v>
      </c>
      <c r="M249" s="8" t="s">
        <v>1770</v>
      </c>
      <c r="N249" s="8" t="s">
        <v>1769</v>
      </c>
      <c r="O249" s="8">
        <v>50.74</v>
      </c>
      <c r="P249" s="8" t="s">
        <v>48</v>
      </c>
      <c r="Q249" s="8" t="s">
        <v>100</v>
      </c>
      <c r="R249" s="8" t="s">
        <v>101</v>
      </c>
      <c r="S249" s="8">
        <v>2</v>
      </c>
      <c r="T249" s="8" t="s">
        <v>72</v>
      </c>
      <c r="U249" s="8" t="s">
        <v>290</v>
      </c>
      <c r="V249" s="8" t="s">
        <v>65</v>
      </c>
      <c r="W249" s="8" t="s">
        <v>1503</v>
      </c>
      <c r="X249" s="8"/>
      <c r="Y249" s="8">
        <v>20</v>
      </c>
      <c r="Z249" s="8" t="s">
        <v>53</v>
      </c>
      <c r="AA249" s="8" t="s">
        <v>39</v>
      </c>
      <c r="AB249" s="8">
        <v>31</v>
      </c>
      <c r="AC249" s="21" t="str">
        <f t="shared" si="53"/>
        <v>23/08/2020</v>
      </c>
      <c r="AD249" s="21" t="str">
        <f t="shared" si="54"/>
        <v>22/09/2020</v>
      </c>
      <c r="AE249" s="8"/>
      <c r="AF249" s="8"/>
      <c r="AG249" s="8"/>
    </row>
    <row r="250" spans="1:33" x14ac:dyDescent="0.2">
      <c r="A250" s="8">
        <v>2502</v>
      </c>
      <c r="B250" s="16">
        <v>44073</v>
      </c>
      <c r="C250" s="8">
        <v>30012784</v>
      </c>
      <c r="D250" s="8" t="s">
        <v>54</v>
      </c>
      <c r="E250" s="8" t="s">
        <v>879</v>
      </c>
      <c r="F250" s="8" t="s">
        <v>880</v>
      </c>
      <c r="G250" s="8">
        <v>15018295</v>
      </c>
      <c r="H250" s="8">
        <v>802094856</v>
      </c>
      <c r="I250" s="8" t="s">
        <v>883</v>
      </c>
      <c r="J250" s="8" t="s">
        <v>83</v>
      </c>
      <c r="K250" s="8" t="s">
        <v>727</v>
      </c>
      <c r="L250" s="8" t="s">
        <v>1269</v>
      </c>
      <c r="M250" s="8" t="s">
        <v>1737</v>
      </c>
      <c r="N250" s="8" t="s">
        <v>1749</v>
      </c>
      <c r="O250" s="8">
        <v>161.28</v>
      </c>
      <c r="P250" s="8" t="s">
        <v>492</v>
      </c>
      <c r="Q250" s="8" t="s">
        <v>105</v>
      </c>
      <c r="R250" s="8" t="s">
        <v>106</v>
      </c>
      <c r="S250" s="8">
        <v>7</v>
      </c>
      <c r="T250" s="8" t="s">
        <v>87</v>
      </c>
      <c r="U250" s="8" t="s">
        <v>290</v>
      </c>
      <c r="V250" s="8" t="s">
        <v>1699</v>
      </c>
      <c r="W250" s="8" t="s">
        <v>1511</v>
      </c>
      <c r="X250" s="8"/>
      <c r="Y250" s="8">
        <v>168</v>
      </c>
      <c r="Z250" s="8" t="s">
        <v>1512</v>
      </c>
      <c r="AA250" s="8" t="s">
        <v>39</v>
      </c>
      <c r="AB250" s="8">
        <v>31</v>
      </c>
      <c r="AC250" s="23" t="s">
        <v>1737</v>
      </c>
      <c r="AD250" s="23" t="str">
        <f>N250</f>
        <v>15/09/2020</v>
      </c>
      <c r="AE250" s="8">
        <v>0</v>
      </c>
      <c r="AF250" s="8">
        <v>0</v>
      </c>
      <c r="AG250" s="8"/>
    </row>
    <row r="251" spans="1:33" x14ac:dyDescent="0.2">
      <c r="A251" s="8">
        <v>2504</v>
      </c>
      <c r="B251" s="16">
        <v>44068</v>
      </c>
      <c r="C251" s="8">
        <v>30012833</v>
      </c>
      <c r="D251" s="8" t="s">
        <v>91</v>
      </c>
      <c r="E251" s="8" t="s">
        <v>350</v>
      </c>
      <c r="F251" s="8" t="s">
        <v>351</v>
      </c>
      <c r="G251" s="8">
        <v>15018163</v>
      </c>
      <c r="H251" s="8">
        <v>802094727</v>
      </c>
      <c r="I251" s="8" t="s">
        <v>1506</v>
      </c>
      <c r="J251" s="8" t="s">
        <v>58</v>
      </c>
      <c r="K251" s="8" t="s">
        <v>1415</v>
      </c>
      <c r="L251" s="8" t="s">
        <v>1269</v>
      </c>
      <c r="M251" s="8" t="s">
        <v>1770</v>
      </c>
      <c r="N251" s="8" t="s">
        <v>1769</v>
      </c>
      <c r="O251" s="8">
        <v>51.061999999999998</v>
      </c>
      <c r="P251" s="8" t="s">
        <v>48</v>
      </c>
      <c r="Q251" s="8" t="s">
        <v>100</v>
      </c>
      <c r="R251" s="8" t="s">
        <v>101</v>
      </c>
      <c r="S251" s="8">
        <v>2</v>
      </c>
      <c r="T251" s="8" t="s">
        <v>72</v>
      </c>
      <c r="U251" s="8" t="s">
        <v>290</v>
      </c>
      <c r="V251" s="8" t="s">
        <v>65</v>
      </c>
      <c r="W251" s="8" t="s">
        <v>1507</v>
      </c>
      <c r="X251" s="8"/>
      <c r="Y251" s="8">
        <v>22</v>
      </c>
      <c r="Z251" s="8" t="s">
        <v>53</v>
      </c>
      <c r="AA251" s="8" t="s">
        <v>39</v>
      </c>
      <c r="AB251" s="8">
        <v>31</v>
      </c>
      <c r="AC251" s="21" t="str">
        <f t="shared" ref="AC251" si="55">M251</f>
        <v>23/08/2020</v>
      </c>
      <c r="AD251" s="21" t="str">
        <f t="shared" ref="AD251" si="56">N251</f>
        <v>22/09/2020</v>
      </c>
      <c r="AE251" s="8"/>
      <c r="AF251" s="8"/>
      <c r="AG251" s="8"/>
    </row>
    <row r="252" spans="1:33" x14ac:dyDescent="0.2">
      <c r="A252" s="8">
        <v>2501</v>
      </c>
      <c r="B252" s="16">
        <v>44063</v>
      </c>
      <c r="C252" s="8">
        <v>30012776</v>
      </c>
      <c r="D252" s="8" t="s">
        <v>62</v>
      </c>
      <c r="E252" s="8" t="s">
        <v>217</v>
      </c>
      <c r="F252" s="8" t="s">
        <v>218</v>
      </c>
      <c r="G252" s="8">
        <v>15018220</v>
      </c>
      <c r="H252" s="8">
        <v>802094837</v>
      </c>
      <c r="I252" s="8" t="s">
        <v>31</v>
      </c>
      <c r="J252" s="8" t="s">
        <v>32</v>
      </c>
      <c r="K252" s="8" t="s">
        <v>1521</v>
      </c>
      <c r="L252" s="8" t="s">
        <v>1522</v>
      </c>
      <c r="M252" s="8" t="s">
        <v>1737</v>
      </c>
      <c r="N252" s="8" t="s">
        <v>1751</v>
      </c>
      <c r="O252" s="8">
        <v>487.68</v>
      </c>
      <c r="P252" s="8" t="s">
        <v>33</v>
      </c>
      <c r="Q252" s="8" t="s">
        <v>206</v>
      </c>
      <c r="R252" s="8" t="s">
        <v>35</v>
      </c>
      <c r="S252" s="8">
        <v>20</v>
      </c>
      <c r="T252" s="8" t="s">
        <v>36</v>
      </c>
      <c r="U252" s="8" t="s">
        <v>290</v>
      </c>
      <c r="V252" s="8" t="s">
        <v>1699</v>
      </c>
      <c r="W252" s="8" t="s">
        <v>1523</v>
      </c>
      <c r="X252" s="8"/>
      <c r="Y252" s="8">
        <v>480</v>
      </c>
      <c r="Z252" s="8"/>
      <c r="AA252" s="8" t="s">
        <v>39</v>
      </c>
      <c r="AB252" s="8">
        <v>31</v>
      </c>
      <c r="AC252" s="23">
        <v>44072</v>
      </c>
      <c r="AD252" s="23" t="s">
        <v>1751</v>
      </c>
      <c r="AE252" s="8">
        <v>0</v>
      </c>
      <c r="AF252" s="8">
        <v>0</v>
      </c>
      <c r="AG252" s="8"/>
    </row>
    <row r="253" spans="1:33" x14ac:dyDescent="0.2">
      <c r="A253" s="8">
        <v>2504</v>
      </c>
      <c r="B253" s="16">
        <v>44068</v>
      </c>
      <c r="C253" s="8">
        <v>30012820</v>
      </c>
      <c r="D253" s="8" t="s">
        <v>62</v>
      </c>
      <c r="E253" s="8" t="s">
        <v>217</v>
      </c>
      <c r="F253" s="8" t="s">
        <v>218</v>
      </c>
      <c r="G253" s="8">
        <v>15018229</v>
      </c>
      <c r="H253" s="8">
        <v>802094750</v>
      </c>
      <c r="I253" s="8" t="s">
        <v>77</v>
      </c>
      <c r="J253" s="8" t="s">
        <v>32</v>
      </c>
      <c r="K253" s="8" t="s">
        <v>574</v>
      </c>
      <c r="L253" s="8" t="s">
        <v>1516</v>
      </c>
      <c r="M253" s="8" t="s">
        <v>1741</v>
      </c>
      <c r="N253" s="8" t="s">
        <v>1766</v>
      </c>
      <c r="O253" s="8">
        <v>496.8</v>
      </c>
      <c r="P253" s="8" t="s">
        <v>48</v>
      </c>
      <c r="Q253" s="8" t="s">
        <v>206</v>
      </c>
      <c r="R253" s="8" t="s">
        <v>35</v>
      </c>
      <c r="S253" s="8">
        <v>20</v>
      </c>
      <c r="T253" s="8" t="s">
        <v>36</v>
      </c>
      <c r="U253" s="8" t="s">
        <v>290</v>
      </c>
      <c r="V253" s="8" t="s">
        <v>1706</v>
      </c>
      <c r="W253" s="8" t="s">
        <v>1517</v>
      </c>
      <c r="X253" s="8"/>
      <c r="Y253" s="8">
        <v>480</v>
      </c>
      <c r="Z253" s="8"/>
      <c r="AA253" s="8" t="s">
        <v>39</v>
      </c>
      <c r="AB253" s="8">
        <v>31</v>
      </c>
      <c r="AC253" s="21" t="str">
        <f t="shared" ref="AC253:AC254" si="57">M253</f>
        <v>24/08/2020</v>
      </c>
      <c r="AD253" s="21" t="str">
        <f t="shared" ref="AD253:AD254" si="58">N253</f>
        <v>27/09/2020</v>
      </c>
      <c r="AE253" s="8"/>
      <c r="AF253" s="8"/>
      <c r="AG253" s="8"/>
    </row>
    <row r="254" spans="1:33" x14ac:dyDescent="0.2">
      <c r="A254" s="8">
        <v>2504</v>
      </c>
      <c r="B254" s="16">
        <v>44073</v>
      </c>
      <c r="C254" s="8">
        <v>30012842</v>
      </c>
      <c r="D254" s="8" t="s">
        <v>91</v>
      </c>
      <c r="E254" s="8" t="s">
        <v>728</v>
      </c>
      <c r="F254" s="8" t="s">
        <v>729</v>
      </c>
      <c r="G254" s="8">
        <v>15018472</v>
      </c>
      <c r="H254" s="8">
        <v>802095162</v>
      </c>
      <c r="I254" s="8" t="s">
        <v>730</v>
      </c>
      <c r="J254" s="8" t="s">
        <v>58</v>
      </c>
      <c r="K254" s="8" t="s">
        <v>133</v>
      </c>
      <c r="L254" s="8" t="s">
        <v>954</v>
      </c>
      <c r="M254" s="8" t="s">
        <v>1721</v>
      </c>
      <c r="N254" s="8" t="s">
        <v>1730</v>
      </c>
      <c r="O254" s="8">
        <v>257.18</v>
      </c>
      <c r="P254" s="8" t="s">
        <v>48</v>
      </c>
      <c r="Q254" s="8" t="s">
        <v>731</v>
      </c>
      <c r="R254" s="8" t="s">
        <v>732</v>
      </c>
      <c r="S254" s="8">
        <v>10</v>
      </c>
      <c r="T254" s="8" t="s">
        <v>72</v>
      </c>
      <c r="U254" s="8" t="s">
        <v>290</v>
      </c>
      <c r="V254" s="8" t="s">
        <v>65</v>
      </c>
      <c r="W254" s="8" t="s">
        <v>1548</v>
      </c>
      <c r="X254" s="8"/>
      <c r="Y254" s="8">
        <v>110</v>
      </c>
      <c r="Z254" s="8"/>
      <c r="AA254" s="8" t="s">
        <v>733</v>
      </c>
      <c r="AB254" s="8">
        <v>31</v>
      </c>
      <c r="AC254" s="21" t="str">
        <f t="shared" si="57"/>
        <v>25/08/2020</v>
      </c>
      <c r="AD254" s="21" t="str">
        <f t="shared" si="58"/>
        <v>13/10/2020</v>
      </c>
      <c r="AE254" s="8"/>
      <c r="AF254" s="8"/>
      <c r="AG254" s="8"/>
    </row>
    <row r="255" spans="1:33" x14ac:dyDescent="0.2">
      <c r="A255" s="8">
        <v>2501</v>
      </c>
      <c r="B255" s="16">
        <v>44073</v>
      </c>
      <c r="C255" s="8">
        <v>30012858</v>
      </c>
      <c r="D255" s="8" t="s">
        <v>28</v>
      </c>
      <c r="E255" s="8" t="s">
        <v>129</v>
      </c>
      <c r="F255" s="8" t="s">
        <v>358</v>
      </c>
      <c r="G255" s="8">
        <v>15018331</v>
      </c>
      <c r="H255" s="8">
        <v>802094896</v>
      </c>
      <c r="I255" s="8" t="s">
        <v>359</v>
      </c>
      <c r="J255" s="8" t="s">
        <v>58</v>
      </c>
      <c r="K255" s="8" t="s">
        <v>1556</v>
      </c>
      <c r="L255" s="8" t="s">
        <v>1557</v>
      </c>
      <c r="M255" s="8" t="s">
        <v>1721</v>
      </c>
      <c r="N255" s="8" t="s">
        <v>1733</v>
      </c>
      <c r="O255" s="8">
        <v>153.714</v>
      </c>
      <c r="P255" s="8" t="s">
        <v>33</v>
      </c>
      <c r="Q255" s="8" t="s">
        <v>263</v>
      </c>
      <c r="R255" s="8" t="s">
        <v>360</v>
      </c>
      <c r="S255" s="8">
        <v>6</v>
      </c>
      <c r="T255" s="8" t="s">
        <v>72</v>
      </c>
      <c r="U255" s="8" t="s">
        <v>290</v>
      </c>
      <c r="V255" s="8" t="s">
        <v>88</v>
      </c>
      <c r="W255" s="8" t="s">
        <v>1558</v>
      </c>
      <c r="X255" s="8"/>
      <c r="Y255" s="8">
        <v>66</v>
      </c>
      <c r="Z255" s="8" t="s">
        <v>1559</v>
      </c>
      <c r="AA255" s="8" t="s">
        <v>39</v>
      </c>
      <c r="AB255" s="8">
        <v>31</v>
      </c>
      <c r="AC255" s="23" t="s">
        <v>1721</v>
      </c>
      <c r="AD255" s="23" t="s">
        <v>1743</v>
      </c>
      <c r="AE255" s="8">
        <v>0</v>
      </c>
      <c r="AF255" s="8">
        <v>1</v>
      </c>
      <c r="AG255" s="8"/>
    </row>
    <row r="256" spans="1:33" x14ac:dyDescent="0.2">
      <c r="A256" s="8">
        <v>2501</v>
      </c>
      <c r="B256" s="16">
        <v>44073</v>
      </c>
      <c r="C256" s="8">
        <v>30012858</v>
      </c>
      <c r="D256" s="8" t="s">
        <v>28</v>
      </c>
      <c r="E256" s="8" t="s">
        <v>129</v>
      </c>
      <c r="F256" s="8" t="s">
        <v>358</v>
      </c>
      <c r="G256" s="8">
        <v>15018333</v>
      </c>
      <c r="H256" s="8">
        <v>802094898</v>
      </c>
      <c r="I256" s="8" t="s">
        <v>361</v>
      </c>
      <c r="J256" s="8" t="s">
        <v>58</v>
      </c>
      <c r="K256" s="8" t="s">
        <v>1556</v>
      </c>
      <c r="L256" s="8" t="s">
        <v>1557</v>
      </c>
      <c r="M256" s="8" t="s">
        <v>1721</v>
      </c>
      <c r="N256" s="8" t="s">
        <v>1733</v>
      </c>
      <c r="O256" s="8">
        <v>104.72</v>
      </c>
      <c r="P256" s="8" t="s">
        <v>33</v>
      </c>
      <c r="Q256" s="8" t="s">
        <v>263</v>
      </c>
      <c r="R256" s="8" t="s">
        <v>360</v>
      </c>
      <c r="S256" s="8">
        <v>4</v>
      </c>
      <c r="T256" s="8" t="s">
        <v>362</v>
      </c>
      <c r="U256" s="8" t="s">
        <v>290</v>
      </c>
      <c r="V256" s="8" t="s">
        <v>88</v>
      </c>
      <c r="W256" s="8" t="s">
        <v>1562</v>
      </c>
      <c r="X256" s="8"/>
      <c r="Y256" s="8">
        <v>44</v>
      </c>
      <c r="Z256" s="8" t="s">
        <v>1559</v>
      </c>
      <c r="AA256" s="8" t="s">
        <v>39</v>
      </c>
      <c r="AB256" s="8">
        <v>31</v>
      </c>
      <c r="AC256" s="23" t="s">
        <v>1721</v>
      </c>
      <c r="AD256" s="23" t="s">
        <v>1743</v>
      </c>
      <c r="AE256" s="8">
        <v>0</v>
      </c>
      <c r="AF256" s="8">
        <v>1</v>
      </c>
      <c r="AG256" s="8"/>
    </row>
    <row r="257" spans="1:33" x14ac:dyDescent="0.2">
      <c r="A257" s="8">
        <v>2501</v>
      </c>
      <c r="B257" s="16">
        <v>44073</v>
      </c>
      <c r="C257" s="8">
        <v>30012858</v>
      </c>
      <c r="D257" s="8" t="s">
        <v>66</v>
      </c>
      <c r="E257" s="8" t="s">
        <v>261</v>
      </c>
      <c r="F257" s="8" t="s">
        <v>262</v>
      </c>
      <c r="G257" s="8">
        <v>15018503</v>
      </c>
      <c r="H257" s="8">
        <v>802095188</v>
      </c>
      <c r="I257" s="8" t="s">
        <v>520</v>
      </c>
      <c r="J257" s="8" t="s">
        <v>58</v>
      </c>
      <c r="K257" s="8" t="s">
        <v>1556</v>
      </c>
      <c r="L257" s="8" t="s">
        <v>1557</v>
      </c>
      <c r="M257" s="8" t="s">
        <v>1721</v>
      </c>
      <c r="N257" s="8" t="s">
        <v>1733</v>
      </c>
      <c r="O257" s="8">
        <v>52.514000000000003</v>
      </c>
      <c r="P257" s="8" t="s">
        <v>33</v>
      </c>
      <c r="Q257" s="8" t="s">
        <v>263</v>
      </c>
      <c r="R257" s="8" t="s">
        <v>264</v>
      </c>
      <c r="S257" s="8">
        <v>2</v>
      </c>
      <c r="T257" s="8" t="s">
        <v>362</v>
      </c>
      <c r="U257" s="8" t="s">
        <v>290</v>
      </c>
      <c r="V257" s="8" t="s">
        <v>88</v>
      </c>
      <c r="W257" s="8" t="s">
        <v>1565</v>
      </c>
      <c r="X257" s="8"/>
      <c r="Y257" s="8">
        <v>22</v>
      </c>
      <c r="Z257" s="8" t="s">
        <v>1566</v>
      </c>
      <c r="AA257" s="8" t="s">
        <v>39</v>
      </c>
      <c r="AB257" s="8">
        <v>31</v>
      </c>
      <c r="AC257" s="23" t="s">
        <v>1721</v>
      </c>
      <c r="AD257" s="23" t="s">
        <v>1743</v>
      </c>
      <c r="AE257" s="8">
        <v>0</v>
      </c>
      <c r="AF257" s="8">
        <v>1</v>
      </c>
      <c r="AG257" s="8"/>
    </row>
    <row r="258" spans="1:33" x14ac:dyDescent="0.2">
      <c r="A258" s="8">
        <v>2503</v>
      </c>
      <c r="B258" s="16">
        <v>44073</v>
      </c>
      <c r="C258" s="8">
        <v>30012759</v>
      </c>
      <c r="D258" s="8" t="s">
        <v>137</v>
      </c>
      <c r="E258" s="8" t="s">
        <v>138</v>
      </c>
      <c r="F258" s="8" t="s">
        <v>139</v>
      </c>
      <c r="G258" s="8">
        <v>15018235</v>
      </c>
      <c r="H258" s="8">
        <v>802094779</v>
      </c>
      <c r="I258" s="8" t="s">
        <v>846</v>
      </c>
      <c r="J258" s="8" t="s">
        <v>32</v>
      </c>
      <c r="K258" s="8" t="s">
        <v>409</v>
      </c>
      <c r="L258" s="8" t="s">
        <v>1570</v>
      </c>
      <c r="M258" s="8" t="s">
        <v>1725</v>
      </c>
      <c r="N258" s="8" t="s">
        <v>1771</v>
      </c>
      <c r="O258" s="8">
        <v>489.25</v>
      </c>
      <c r="P258" s="8" t="s">
        <v>224</v>
      </c>
      <c r="Q258" s="8" t="s">
        <v>206</v>
      </c>
      <c r="R258" s="8" t="s">
        <v>35</v>
      </c>
      <c r="S258" s="8">
        <v>25</v>
      </c>
      <c r="T258" s="8" t="s">
        <v>87</v>
      </c>
      <c r="U258" s="8" t="s">
        <v>290</v>
      </c>
      <c r="V258" s="8" t="s">
        <v>88</v>
      </c>
      <c r="W258" s="8" t="s">
        <v>1571</v>
      </c>
      <c r="X258" s="8"/>
      <c r="Y258" s="8">
        <v>475</v>
      </c>
      <c r="Z258" s="8"/>
      <c r="AA258" s="8" t="s">
        <v>39</v>
      </c>
      <c r="AB258" s="8">
        <v>31</v>
      </c>
      <c r="AC258" s="23" t="s">
        <v>1725</v>
      </c>
      <c r="AD258" s="23" t="s">
        <v>1771</v>
      </c>
      <c r="AE258" s="8">
        <v>0</v>
      </c>
      <c r="AF258" s="8">
        <v>0</v>
      </c>
      <c r="AG258" s="8"/>
    </row>
    <row r="259" spans="1:33" x14ac:dyDescent="0.2">
      <c r="A259" s="8">
        <v>2503</v>
      </c>
      <c r="B259" s="16">
        <v>44073</v>
      </c>
      <c r="C259" s="8">
        <v>30012759</v>
      </c>
      <c r="D259" s="8" t="s">
        <v>137</v>
      </c>
      <c r="E259" s="8" t="s">
        <v>138</v>
      </c>
      <c r="F259" s="8" t="s">
        <v>139</v>
      </c>
      <c r="G259" s="8">
        <v>15018236</v>
      </c>
      <c r="H259" s="8">
        <v>802094780</v>
      </c>
      <c r="I259" s="8" t="s">
        <v>846</v>
      </c>
      <c r="J259" s="8" t="s">
        <v>32</v>
      </c>
      <c r="K259" s="8" t="s">
        <v>409</v>
      </c>
      <c r="L259" s="8" t="s">
        <v>1570</v>
      </c>
      <c r="M259" s="8" t="s">
        <v>1725</v>
      </c>
      <c r="N259" s="8" t="s">
        <v>1771</v>
      </c>
      <c r="O259" s="8">
        <v>508.82</v>
      </c>
      <c r="P259" s="8" t="s">
        <v>224</v>
      </c>
      <c r="Q259" s="8" t="s">
        <v>206</v>
      </c>
      <c r="R259" s="8" t="s">
        <v>35</v>
      </c>
      <c r="S259" s="8">
        <v>26</v>
      </c>
      <c r="T259" s="8" t="s">
        <v>87</v>
      </c>
      <c r="U259" s="8" t="s">
        <v>290</v>
      </c>
      <c r="V259" s="8" t="s">
        <v>88</v>
      </c>
      <c r="W259" s="8" t="s">
        <v>1574</v>
      </c>
      <c r="X259" s="8"/>
      <c r="Y259" s="8">
        <v>494</v>
      </c>
      <c r="Z259" s="8"/>
      <c r="AA259" s="8" t="s">
        <v>39</v>
      </c>
      <c r="AB259" s="8">
        <v>31</v>
      </c>
      <c r="AC259" s="23" t="s">
        <v>1725</v>
      </c>
      <c r="AD259" s="23" t="s">
        <v>1771</v>
      </c>
      <c r="AE259" s="8">
        <v>0</v>
      </c>
      <c r="AF259" s="8">
        <v>0</v>
      </c>
      <c r="AG259" s="8"/>
    </row>
    <row r="260" spans="1:33" x14ac:dyDescent="0.2">
      <c r="A260" s="8">
        <v>2503</v>
      </c>
      <c r="B260" s="16">
        <v>44079</v>
      </c>
      <c r="C260" s="8">
        <v>30012759</v>
      </c>
      <c r="D260" s="8" t="s">
        <v>152</v>
      </c>
      <c r="E260" s="8" t="s">
        <v>138</v>
      </c>
      <c r="F260" s="8" t="s">
        <v>265</v>
      </c>
      <c r="G260" s="8">
        <v>15018436</v>
      </c>
      <c r="H260" s="8">
        <v>802095119</v>
      </c>
      <c r="I260" s="8" t="s">
        <v>501</v>
      </c>
      <c r="J260" s="8" t="s">
        <v>47</v>
      </c>
      <c r="K260" s="8" t="s">
        <v>409</v>
      </c>
      <c r="L260" s="8" t="s">
        <v>1570</v>
      </c>
      <c r="M260" s="8" t="s">
        <v>1725</v>
      </c>
      <c r="N260" s="8" t="s">
        <v>1771</v>
      </c>
      <c r="O260" s="8">
        <v>113.712</v>
      </c>
      <c r="P260" s="8" t="s">
        <v>224</v>
      </c>
      <c r="Q260" s="8" t="s">
        <v>206</v>
      </c>
      <c r="R260" s="8" t="s">
        <v>266</v>
      </c>
      <c r="S260" s="8">
        <v>6</v>
      </c>
      <c r="T260" s="8" t="s">
        <v>87</v>
      </c>
      <c r="U260" s="8" t="s">
        <v>290</v>
      </c>
      <c r="V260" s="8" t="s">
        <v>88</v>
      </c>
      <c r="W260" s="8" t="s">
        <v>1577</v>
      </c>
      <c r="X260" s="8"/>
      <c r="Y260" s="8">
        <v>12</v>
      </c>
      <c r="Z260" s="8"/>
      <c r="AA260" s="8" t="s">
        <v>39</v>
      </c>
      <c r="AB260" s="8">
        <v>31</v>
      </c>
      <c r="AC260" s="23" t="s">
        <v>1725</v>
      </c>
      <c r="AD260" s="23" t="s">
        <v>1771</v>
      </c>
      <c r="AE260" s="8">
        <v>0</v>
      </c>
      <c r="AF260" s="8">
        <v>0</v>
      </c>
      <c r="AG260" s="8"/>
    </row>
    <row r="261" spans="1:33" x14ac:dyDescent="0.2">
      <c r="A261" s="8">
        <v>2503</v>
      </c>
      <c r="B261" s="16">
        <v>44073</v>
      </c>
      <c r="C261" s="8">
        <v>30012759</v>
      </c>
      <c r="D261" s="8" t="s">
        <v>28</v>
      </c>
      <c r="E261" s="8" t="s">
        <v>110</v>
      </c>
      <c r="F261" s="8" t="s">
        <v>111</v>
      </c>
      <c r="G261" s="8">
        <v>15018474</v>
      </c>
      <c r="H261" s="8">
        <v>802095166</v>
      </c>
      <c r="I261" s="8" t="s">
        <v>31</v>
      </c>
      <c r="J261" s="8" t="s">
        <v>32</v>
      </c>
      <c r="K261" s="8" t="s">
        <v>409</v>
      </c>
      <c r="L261" s="8" t="s">
        <v>1570</v>
      </c>
      <c r="M261" s="8" t="s">
        <v>1725</v>
      </c>
      <c r="N261" s="8" t="s">
        <v>1771</v>
      </c>
      <c r="O261" s="8">
        <v>508.82</v>
      </c>
      <c r="P261" s="8" t="s">
        <v>224</v>
      </c>
      <c r="Q261" s="8" t="s">
        <v>206</v>
      </c>
      <c r="R261" s="8" t="s">
        <v>35</v>
      </c>
      <c r="S261" s="8">
        <v>26</v>
      </c>
      <c r="T261" s="8" t="s">
        <v>87</v>
      </c>
      <c r="U261" s="8" t="s">
        <v>290</v>
      </c>
      <c r="V261" s="8" t="s">
        <v>88</v>
      </c>
      <c r="W261" s="8" t="s">
        <v>1580</v>
      </c>
      <c r="X261" s="8"/>
      <c r="Y261" s="8">
        <v>494</v>
      </c>
      <c r="Z261" s="8" t="s">
        <v>996</v>
      </c>
      <c r="AA261" s="8" t="s">
        <v>39</v>
      </c>
      <c r="AB261" s="8">
        <v>31</v>
      </c>
      <c r="AC261" s="23" t="s">
        <v>1725</v>
      </c>
      <c r="AD261" s="23" t="s">
        <v>1771</v>
      </c>
      <c r="AE261" s="8">
        <v>0</v>
      </c>
      <c r="AF261" s="8">
        <v>0</v>
      </c>
      <c r="AG261" s="8"/>
    </row>
    <row r="262" spans="1:33" x14ac:dyDescent="0.2">
      <c r="A262" s="8">
        <v>2503</v>
      </c>
      <c r="B262" s="16">
        <v>44073</v>
      </c>
      <c r="C262" s="8">
        <v>30012759</v>
      </c>
      <c r="D262" s="8" t="s">
        <v>28</v>
      </c>
      <c r="E262" s="8" t="s">
        <v>110</v>
      </c>
      <c r="F262" s="8" t="s">
        <v>111</v>
      </c>
      <c r="G262" s="8">
        <v>15018475</v>
      </c>
      <c r="H262" s="8">
        <v>802095167</v>
      </c>
      <c r="I262" s="8" t="s">
        <v>31</v>
      </c>
      <c r="J262" s="8" t="s">
        <v>32</v>
      </c>
      <c r="K262" s="8" t="s">
        <v>409</v>
      </c>
      <c r="L262" s="8" t="s">
        <v>1570</v>
      </c>
      <c r="M262" s="8" t="s">
        <v>1725</v>
      </c>
      <c r="N262" s="8" t="s">
        <v>1771</v>
      </c>
      <c r="O262" s="8">
        <v>508.82</v>
      </c>
      <c r="P262" s="8" t="s">
        <v>224</v>
      </c>
      <c r="Q262" s="8" t="s">
        <v>206</v>
      </c>
      <c r="R262" s="8" t="s">
        <v>35</v>
      </c>
      <c r="S262" s="8">
        <v>26</v>
      </c>
      <c r="T262" s="8" t="s">
        <v>87</v>
      </c>
      <c r="U262" s="8" t="s">
        <v>290</v>
      </c>
      <c r="V262" s="8" t="s">
        <v>88</v>
      </c>
      <c r="W262" s="8" t="s">
        <v>1583</v>
      </c>
      <c r="X262" s="8"/>
      <c r="Y262" s="8">
        <v>494</v>
      </c>
      <c r="Z262" s="8" t="s">
        <v>996</v>
      </c>
      <c r="AA262" s="8" t="s">
        <v>39</v>
      </c>
      <c r="AB262" s="8">
        <v>31</v>
      </c>
      <c r="AC262" s="23" t="s">
        <v>1725</v>
      </c>
      <c r="AD262" s="23" t="s">
        <v>1771</v>
      </c>
      <c r="AE262" s="8">
        <v>0</v>
      </c>
      <c r="AF262" s="8">
        <v>0</v>
      </c>
      <c r="AG262" s="8"/>
    </row>
    <row r="263" spans="1:33" x14ac:dyDescent="0.2">
      <c r="A263" s="8">
        <v>2504</v>
      </c>
      <c r="B263" s="16">
        <v>44073</v>
      </c>
      <c r="C263" s="8">
        <v>30012842</v>
      </c>
      <c r="D263" s="8" t="s">
        <v>91</v>
      </c>
      <c r="E263" s="8" t="s">
        <v>728</v>
      </c>
      <c r="F263" s="8" t="s">
        <v>729</v>
      </c>
      <c r="G263" s="8">
        <v>15018473</v>
      </c>
      <c r="H263" s="8">
        <v>802095163</v>
      </c>
      <c r="I263" s="8" t="s">
        <v>1551</v>
      </c>
      <c r="J263" s="8" t="s">
        <v>58</v>
      </c>
      <c r="K263" s="8" t="s">
        <v>133</v>
      </c>
      <c r="L263" s="8" t="s">
        <v>954</v>
      </c>
      <c r="M263" s="8" t="s">
        <v>1721</v>
      </c>
      <c r="N263" s="8" t="s">
        <v>1730</v>
      </c>
      <c r="O263" s="8">
        <v>152.22</v>
      </c>
      <c r="P263" s="8" t="s">
        <v>48</v>
      </c>
      <c r="Q263" s="8" t="s">
        <v>731</v>
      </c>
      <c r="R263" s="8" t="s">
        <v>732</v>
      </c>
      <c r="S263" s="8">
        <v>6</v>
      </c>
      <c r="T263" s="8" t="s">
        <v>72</v>
      </c>
      <c r="U263" s="8" t="s">
        <v>290</v>
      </c>
      <c r="V263" s="8" t="s">
        <v>65</v>
      </c>
      <c r="W263" s="8" t="s">
        <v>1552</v>
      </c>
      <c r="X263" s="8"/>
      <c r="Y263" s="8">
        <v>60</v>
      </c>
      <c r="Z263" s="8"/>
      <c r="AA263" s="8" t="s">
        <v>733</v>
      </c>
      <c r="AB263" s="8">
        <v>31</v>
      </c>
      <c r="AC263" s="21" t="str">
        <f t="shared" ref="AC263:AC264" si="59">M263</f>
        <v>25/08/2020</v>
      </c>
      <c r="AD263" s="21" t="str">
        <f t="shared" ref="AD263:AD264" si="60">N263</f>
        <v>13/10/2020</v>
      </c>
      <c r="AE263" s="8"/>
      <c r="AF263" s="8"/>
      <c r="AG263" s="8"/>
    </row>
    <row r="264" spans="1:33" x14ac:dyDescent="0.2">
      <c r="A264" s="8">
        <v>2504</v>
      </c>
      <c r="B264" s="16">
        <v>44073</v>
      </c>
      <c r="C264" s="8">
        <v>30012835</v>
      </c>
      <c r="D264" s="8" t="s">
        <v>74</v>
      </c>
      <c r="E264" s="8" t="s">
        <v>75</v>
      </c>
      <c r="F264" s="8" t="s">
        <v>966</v>
      </c>
      <c r="G264" s="8">
        <v>15018457</v>
      </c>
      <c r="H264" s="8">
        <v>802095136</v>
      </c>
      <c r="I264" s="8" t="s">
        <v>77</v>
      </c>
      <c r="J264" s="8" t="s">
        <v>32</v>
      </c>
      <c r="K264" s="8" t="s">
        <v>1587</v>
      </c>
      <c r="L264" s="8" t="s">
        <v>1588</v>
      </c>
      <c r="M264" s="8" t="s">
        <v>1725</v>
      </c>
      <c r="N264" s="8" t="s">
        <v>1772</v>
      </c>
      <c r="O264" s="8">
        <v>496.8</v>
      </c>
      <c r="P264" s="8" t="s">
        <v>48</v>
      </c>
      <c r="Q264" s="8" t="s">
        <v>149</v>
      </c>
      <c r="R264" s="8" t="s">
        <v>150</v>
      </c>
      <c r="S264" s="8">
        <v>20</v>
      </c>
      <c r="T264" s="8" t="s">
        <v>36</v>
      </c>
      <c r="U264" s="8" t="s">
        <v>290</v>
      </c>
      <c r="V264" s="8" t="s">
        <v>88</v>
      </c>
      <c r="W264" s="8" t="s">
        <v>1589</v>
      </c>
      <c r="X264" s="8"/>
      <c r="Y264" s="8">
        <v>480</v>
      </c>
      <c r="Z264" s="8"/>
      <c r="AA264" s="8" t="s">
        <v>39</v>
      </c>
      <c r="AB264" s="8">
        <v>31</v>
      </c>
      <c r="AC264" s="21" t="str">
        <f t="shared" si="59"/>
        <v>26/08/2020</v>
      </c>
      <c r="AD264" s="21" t="str">
        <f t="shared" si="60"/>
        <v>12/10/2020</v>
      </c>
      <c r="AE264" s="8"/>
      <c r="AF264" s="8"/>
      <c r="AG264" s="8"/>
    </row>
    <row r="265" spans="1:33" x14ac:dyDescent="0.2">
      <c r="A265" s="8">
        <v>2501</v>
      </c>
      <c r="B265" s="16">
        <v>44073</v>
      </c>
      <c r="C265" s="8">
        <v>30012763</v>
      </c>
      <c r="D265" s="8" t="s">
        <v>28</v>
      </c>
      <c r="E265" s="8" t="s">
        <v>29</v>
      </c>
      <c r="F265" s="8" t="s">
        <v>41</v>
      </c>
      <c r="G265" s="8">
        <v>15018340</v>
      </c>
      <c r="H265" s="8">
        <v>802094904</v>
      </c>
      <c r="I265" s="8" t="s">
        <v>112</v>
      </c>
      <c r="J265" s="8" t="s">
        <v>32</v>
      </c>
      <c r="K265" s="8" t="s">
        <v>1300</v>
      </c>
      <c r="L265" s="8" t="s">
        <v>113</v>
      </c>
      <c r="M265" s="8" t="s">
        <v>1715</v>
      </c>
      <c r="N265" s="8" t="s">
        <v>1758</v>
      </c>
      <c r="O265" s="8">
        <v>500</v>
      </c>
      <c r="P265" s="8" t="s">
        <v>114</v>
      </c>
      <c r="Q265" s="8" t="s">
        <v>115</v>
      </c>
      <c r="R265" s="8" t="s">
        <v>116</v>
      </c>
      <c r="S265" s="8">
        <v>0</v>
      </c>
      <c r="T265" s="8" t="s">
        <v>117</v>
      </c>
      <c r="U265" s="8" t="s">
        <v>290</v>
      </c>
      <c r="V265" s="8" t="s">
        <v>118</v>
      </c>
      <c r="W265" s="8"/>
      <c r="X265" s="8"/>
      <c r="Y265" s="8">
        <v>493</v>
      </c>
      <c r="Z265" s="8"/>
      <c r="AA265" s="8" t="s">
        <v>39</v>
      </c>
      <c r="AB265" s="8">
        <v>32</v>
      </c>
      <c r="AC265" s="23" t="str">
        <f t="shared" ref="AC265:AC276" si="61">M265</f>
        <v>28/08/2020</v>
      </c>
      <c r="AD265" s="23" t="str">
        <f t="shared" ref="AD265:AD276" si="62">N265</f>
        <v>04/10/2020</v>
      </c>
      <c r="AE265" s="8">
        <v>0</v>
      </c>
      <c r="AF265" s="8"/>
      <c r="AG265" s="8"/>
    </row>
    <row r="266" spans="1:33" x14ac:dyDescent="0.2">
      <c r="A266" s="8">
        <v>2501</v>
      </c>
      <c r="B266" s="16">
        <v>44048</v>
      </c>
      <c r="C266" s="8">
        <v>30012763</v>
      </c>
      <c r="D266" s="8" t="s">
        <v>91</v>
      </c>
      <c r="E266" s="8" t="s">
        <v>191</v>
      </c>
      <c r="F266" s="8" t="s">
        <v>192</v>
      </c>
      <c r="G266" s="8">
        <v>15018376</v>
      </c>
      <c r="H266" s="8">
        <v>802095014</v>
      </c>
      <c r="I266" s="8" t="s">
        <v>112</v>
      </c>
      <c r="J266" s="8" t="s">
        <v>32</v>
      </c>
      <c r="K266" s="8" t="s">
        <v>1300</v>
      </c>
      <c r="L266" s="8" t="s">
        <v>113</v>
      </c>
      <c r="M266" s="8" t="s">
        <v>1715</v>
      </c>
      <c r="N266" s="8" t="s">
        <v>1764</v>
      </c>
      <c r="O266" s="8">
        <v>250</v>
      </c>
      <c r="P266" s="8" t="s">
        <v>114</v>
      </c>
      <c r="Q266" s="8" t="s">
        <v>182</v>
      </c>
      <c r="R266" s="8" t="s">
        <v>183</v>
      </c>
      <c r="S266" s="8">
        <v>0</v>
      </c>
      <c r="T266" s="8" t="s">
        <v>117</v>
      </c>
      <c r="U266" s="8" t="s">
        <v>290</v>
      </c>
      <c r="V266" s="8" t="s">
        <v>118</v>
      </c>
      <c r="W266" s="8"/>
      <c r="X266" s="8"/>
      <c r="Y266" s="8">
        <v>247</v>
      </c>
      <c r="Z266" s="8"/>
      <c r="AA266" s="8" t="s">
        <v>39</v>
      </c>
      <c r="AB266" s="8">
        <v>32</v>
      </c>
      <c r="AC266" s="23" t="str">
        <f t="shared" si="61"/>
        <v>28/08/2020</v>
      </c>
      <c r="AD266" s="23" t="str">
        <f t="shared" si="62"/>
        <v>19/09/2020</v>
      </c>
      <c r="AE266" s="8">
        <v>0</v>
      </c>
      <c r="AF266" s="8"/>
      <c r="AG266" s="8"/>
    </row>
    <row r="267" spans="1:33" x14ac:dyDescent="0.2">
      <c r="A267" s="8">
        <v>2501</v>
      </c>
      <c r="B267" s="16">
        <v>44073</v>
      </c>
      <c r="C267" s="8">
        <v>30012763</v>
      </c>
      <c r="D267" s="8" t="s">
        <v>28</v>
      </c>
      <c r="E267" s="8" t="s">
        <v>129</v>
      </c>
      <c r="F267" s="8" t="s">
        <v>346</v>
      </c>
      <c r="G267" s="8">
        <v>15018407</v>
      </c>
      <c r="H267" s="8">
        <v>802095024</v>
      </c>
      <c r="I267" s="8" t="s">
        <v>112</v>
      </c>
      <c r="J267" s="8" t="s">
        <v>32</v>
      </c>
      <c r="K267" s="8" t="s">
        <v>1300</v>
      </c>
      <c r="L267" s="8" t="s">
        <v>113</v>
      </c>
      <c r="M267" s="8" t="s">
        <v>1715</v>
      </c>
      <c r="N267" s="8" t="s">
        <v>1754</v>
      </c>
      <c r="O267" s="8">
        <v>500</v>
      </c>
      <c r="P267" s="8" t="s">
        <v>114</v>
      </c>
      <c r="Q267" s="8" t="s">
        <v>85</v>
      </c>
      <c r="R267" s="8" t="s">
        <v>86</v>
      </c>
      <c r="S267" s="8">
        <v>0</v>
      </c>
      <c r="T267" s="8" t="s">
        <v>117</v>
      </c>
      <c r="U267" s="8" t="s">
        <v>290</v>
      </c>
      <c r="V267" s="8" t="s">
        <v>118</v>
      </c>
      <c r="W267" s="8"/>
      <c r="X267" s="8"/>
      <c r="Y267" s="8">
        <v>493</v>
      </c>
      <c r="Z267" s="8"/>
      <c r="AA267" s="8" t="s">
        <v>39</v>
      </c>
      <c r="AB267" s="8">
        <v>32</v>
      </c>
      <c r="AC267" s="23" t="str">
        <f t="shared" si="61"/>
        <v>28/08/2020</v>
      </c>
      <c r="AD267" s="23" t="str">
        <f t="shared" si="62"/>
        <v>16/09/2020</v>
      </c>
      <c r="AE267" s="8">
        <v>0</v>
      </c>
      <c r="AF267" s="8"/>
      <c r="AG267" s="8"/>
    </row>
    <row r="268" spans="1:33" x14ac:dyDescent="0.2">
      <c r="A268" s="8">
        <v>2501</v>
      </c>
      <c r="B268" s="16">
        <v>44073</v>
      </c>
      <c r="C268" s="8">
        <v>30012763</v>
      </c>
      <c r="D268" s="8" t="s">
        <v>28</v>
      </c>
      <c r="E268" s="8" t="s">
        <v>129</v>
      </c>
      <c r="F268" s="8" t="s">
        <v>346</v>
      </c>
      <c r="G268" s="8">
        <v>15018408</v>
      </c>
      <c r="H268" s="8">
        <v>802095025</v>
      </c>
      <c r="I268" s="8" t="s">
        <v>112</v>
      </c>
      <c r="J268" s="8" t="s">
        <v>32</v>
      </c>
      <c r="K268" s="8" t="s">
        <v>1300</v>
      </c>
      <c r="L268" s="8" t="s">
        <v>113</v>
      </c>
      <c r="M268" s="8" t="s">
        <v>1715</v>
      </c>
      <c r="N268" s="8" t="s">
        <v>1754</v>
      </c>
      <c r="O268" s="8">
        <v>500</v>
      </c>
      <c r="P268" s="8" t="s">
        <v>114</v>
      </c>
      <c r="Q268" s="8" t="s">
        <v>85</v>
      </c>
      <c r="R268" s="8" t="s">
        <v>86</v>
      </c>
      <c r="S268" s="8">
        <v>0</v>
      </c>
      <c r="T268" s="8" t="s">
        <v>117</v>
      </c>
      <c r="U268" s="8" t="s">
        <v>290</v>
      </c>
      <c r="V268" s="8" t="s">
        <v>118</v>
      </c>
      <c r="W268" s="8"/>
      <c r="X268" s="8"/>
      <c r="Y268" s="8">
        <v>493</v>
      </c>
      <c r="Z268" s="8"/>
      <c r="AA268" s="8" t="s">
        <v>39</v>
      </c>
      <c r="AB268" s="8">
        <v>32</v>
      </c>
      <c r="AC268" s="23" t="str">
        <f t="shared" si="61"/>
        <v>28/08/2020</v>
      </c>
      <c r="AD268" s="23" t="str">
        <f t="shared" si="62"/>
        <v>16/09/2020</v>
      </c>
      <c r="AE268" s="8">
        <v>0</v>
      </c>
      <c r="AF268" s="8"/>
      <c r="AG268" s="8"/>
    </row>
    <row r="269" spans="1:33" x14ac:dyDescent="0.2">
      <c r="A269" s="8">
        <v>2501</v>
      </c>
      <c r="B269" s="16">
        <v>44073</v>
      </c>
      <c r="C269" s="8">
        <v>30012763</v>
      </c>
      <c r="D269" s="8" t="s">
        <v>28</v>
      </c>
      <c r="E269" s="8" t="s">
        <v>129</v>
      </c>
      <c r="F269" s="8" t="s">
        <v>346</v>
      </c>
      <c r="G269" s="8">
        <v>15018409</v>
      </c>
      <c r="H269" s="8">
        <v>802095026</v>
      </c>
      <c r="I269" s="8" t="s">
        <v>112</v>
      </c>
      <c r="J269" s="8" t="s">
        <v>32</v>
      </c>
      <c r="K269" s="8" t="s">
        <v>1300</v>
      </c>
      <c r="L269" s="8" t="s">
        <v>113</v>
      </c>
      <c r="M269" s="8" t="s">
        <v>1715</v>
      </c>
      <c r="N269" s="8" t="s">
        <v>1754</v>
      </c>
      <c r="O269" s="8">
        <v>500</v>
      </c>
      <c r="P269" s="8" t="s">
        <v>114</v>
      </c>
      <c r="Q269" s="8" t="s">
        <v>85</v>
      </c>
      <c r="R269" s="8" t="s">
        <v>86</v>
      </c>
      <c r="S269" s="8">
        <v>0</v>
      </c>
      <c r="T269" s="8" t="s">
        <v>117</v>
      </c>
      <c r="U269" s="8" t="s">
        <v>290</v>
      </c>
      <c r="V269" s="8" t="s">
        <v>118</v>
      </c>
      <c r="W269" s="8"/>
      <c r="X269" s="8"/>
      <c r="Y269" s="8">
        <v>493</v>
      </c>
      <c r="Z269" s="8"/>
      <c r="AA269" s="8" t="s">
        <v>39</v>
      </c>
      <c r="AB269" s="8">
        <v>32</v>
      </c>
      <c r="AC269" s="23" t="str">
        <f t="shared" si="61"/>
        <v>28/08/2020</v>
      </c>
      <c r="AD269" s="23" t="str">
        <f t="shared" si="62"/>
        <v>16/09/2020</v>
      </c>
      <c r="AE269" s="8">
        <v>0</v>
      </c>
      <c r="AF269" s="8"/>
      <c r="AG269" s="8"/>
    </row>
    <row r="270" spans="1:33" x14ac:dyDescent="0.2">
      <c r="A270" s="8">
        <v>2501</v>
      </c>
      <c r="B270" s="16">
        <v>44073</v>
      </c>
      <c r="C270" s="8">
        <v>30012763</v>
      </c>
      <c r="D270" s="8" t="s">
        <v>28</v>
      </c>
      <c r="E270" s="8" t="s">
        <v>129</v>
      </c>
      <c r="F270" s="8" t="s">
        <v>130</v>
      </c>
      <c r="G270" s="8">
        <v>15018411</v>
      </c>
      <c r="H270" s="8">
        <v>802095027</v>
      </c>
      <c r="I270" s="8" t="s">
        <v>112</v>
      </c>
      <c r="J270" s="8" t="s">
        <v>32</v>
      </c>
      <c r="K270" s="8" t="s">
        <v>1300</v>
      </c>
      <c r="L270" s="8" t="s">
        <v>113</v>
      </c>
      <c r="M270" s="8" t="s">
        <v>1715</v>
      </c>
      <c r="N270" s="8" t="s">
        <v>1754</v>
      </c>
      <c r="O270" s="8">
        <v>500</v>
      </c>
      <c r="P270" s="8" t="s">
        <v>114</v>
      </c>
      <c r="Q270" s="8" t="s">
        <v>85</v>
      </c>
      <c r="R270" s="8" t="s">
        <v>86</v>
      </c>
      <c r="S270" s="8">
        <v>0</v>
      </c>
      <c r="T270" s="8" t="s">
        <v>117</v>
      </c>
      <c r="U270" s="8" t="s">
        <v>290</v>
      </c>
      <c r="V270" s="8" t="s">
        <v>118</v>
      </c>
      <c r="W270" s="8"/>
      <c r="X270" s="8"/>
      <c r="Y270" s="8">
        <v>493</v>
      </c>
      <c r="Z270" s="8"/>
      <c r="AA270" s="8" t="s">
        <v>39</v>
      </c>
      <c r="AB270" s="8">
        <v>32</v>
      </c>
      <c r="AC270" s="23" t="str">
        <f t="shared" si="61"/>
        <v>28/08/2020</v>
      </c>
      <c r="AD270" s="23" t="str">
        <f t="shared" si="62"/>
        <v>16/09/2020</v>
      </c>
      <c r="AE270" s="8">
        <v>0</v>
      </c>
      <c r="AF270" s="8"/>
      <c r="AG270" s="8"/>
    </row>
    <row r="271" spans="1:33" x14ac:dyDescent="0.2">
      <c r="A271" s="8">
        <v>2501</v>
      </c>
      <c r="B271" s="16">
        <v>44073</v>
      </c>
      <c r="C271" s="8">
        <v>30012763</v>
      </c>
      <c r="D271" s="8" t="s">
        <v>28</v>
      </c>
      <c r="E271" s="8" t="s">
        <v>129</v>
      </c>
      <c r="F271" s="8" t="s">
        <v>130</v>
      </c>
      <c r="G271" s="8">
        <v>15018416</v>
      </c>
      <c r="H271" s="8">
        <v>802095051</v>
      </c>
      <c r="I271" s="8" t="s">
        <v>112</v>
      </c>
      <c r="J271" s="8" t="s">
        <v>32</v>
      </c>
      <c r="K271" s="8" t="s">
        <v>1300</v>
      </c>
      <c r="L271" s="8" t="s">
        <v>113</v>
      </c>
      <c r="M271" s="8" t="s">
        <v>1715</v>
      </c>
      <c r="N271" s="8" t="s">
        <v>1754</v>
      </c>
      <c r="O271" s="8">
        <v>500</v>
      </c>
      <c r="P271" s="8" t="s">
        <v>114</v>
      </c>
      <c r="Q271" s="8" t="s">
        <v>85</v>
      </c>
      <c r="R271" s="8" t="s">
        <v>86</v>
      </c>
      <c r="S271" s="8">
        <v>0</v>
      </c>
      <c r="T271" s="8" t="s">
        <v>117</v>
      </c>
      <c r="U271" s="8" t="s">
        <v>290</v>
      </c>
      <c r="V271" s="8" t="s">
        <v>118</v>
      </c>
      <c r="W271" s="8"/>
      <c r="X271" s="8"/>
      <c r="Y271" s="8">
        <v>493</v>
      </c>
      <c r="Z271" s="8"/>
      <c r="AA271" s="8" t="s">
        <v>39</v>
      </c>
      <c r="AB271" s="8">
        <v>32</v>
      </c>
      <c r="AC271" s="23" t="str">
        <f t="shared" si="61"/>
        <v>28/08/2020</v>
      </c>
      <c r="AD271" s="23" t="str">
        <f t="shared" si="62"/>
        <v>16/09/2020</v>
      </c>
      <c r="AE271" s="8">
        <v>0</v>
      </c>
      <c r="AF271" s="8"/>
      <c r="AG271" s="8"/>
    </row>
    <row r="272" spans="1:33" x14ac:dyDescent="0.2">
      <c r="A272" s="8">
        <v>2501</v>
      </c>
      <c r="B272" s="16">
        <v>44073</v>
      </c>
      <c r="C272" s="8">
        <v>30012763</v>
      </c>
      <c r="D272" s="8" t="s">
        <v>28</v>
      </c>
      <c r="E272" s="8" t="s">
        <v>129</v>
      </c>
      <c r="F272" s="8" t="s">
        <v>130</v>
      </c>
      <c r="G272" s="8">
        <v>15018417</v>
      </c>
      <c r="H272" s="8">
        <v>802095054</v>
      </c>
      <c r="I272" s="8" t="s">
        <v>112</v>
      </c>
      <c r="J272" s="8" t="s">
        <v>32</v>
      </c>
      <c r="K272" s="8" t="s">
        <v>1300</v>
      </c>
      <c r="L272" s="8" t="s">
        <v>113</v>
      </c>
      <c r="M272" s="8" t="s">
        <v>1715</v>
      </c>
      <c r="N272" s="8" t="s">
        <v>1767</v>
      </c>
      <c r="O272" s="8">
        <v>500</v>
      </c>
      <c r="P272" s="8" t="s">
        <v>114</v>
      </c>
      <c r="Q272" s="8" t="s">
        <v>131</v>
      </c>
      <c r="R272" s="8" t="s">
        <v>132</v>
      </c>
      <c r="S272" s="8">
        <v>0</v>
      </c>
      <c r="T272" s="8" t="s">
        <v>117</v>
      </c>
      <c r="U272" s="8" t="s">
        <v>290</v>
      </c>
      <c r="V272" s="8" t="s">
        <v>118</v>
      </c>
      <c r="W272" s="8"/>
      <c r="X272" s="8"/>
      <c r="Y272" s="8">
        <v>493</v>
      </c>
      <c r="Z272" s="8"/>
      <c r="AA272" s="8" t="s">
        <v>39</v>
      </c>
      <c r="AB272" s="8">
        <v>32</v>
      </c>
      <c r="AC272" s="23" t="str">
        <f t="shared" si="61"/>
        <v>28/08/2020</v>
      </c>
      <c r="AD272" s="23" t="str">
        <f t="shared" si="62"/>
        <v>13/09/2020</v>
      </c>
      <c r="AE272" s="8">
        <v>0</v>
      </c>
      <c r="AF272" s="8"/>
      <c r="AG272" s="8"/>
    </row>
    <row r="273" spans="1:33" x14ac:dyDescent="0.2">
      <c r="A273" s="8">
        <v>2501</v>
      </c>
      <c r="B273" s="16">
        <v>44073</v>
      </c>
      <c r="C273" s="8">
        <v>30012763</v>
      </c>
      <c r="D273" s="8" t="s">
        <v>28</v>
      </c>
      <c r="E273" s="8" t="s">
        <v>129</v>
      </c>
      <c r="F273" s="8" t="s">
        <v>130</v>
      </c>
      <c r="G273" s="8">
        <v>15018418</v>
      </c>
      <c r="H273" s="8">
        <v>802095055</v>
      </c>
      <c r="I273" s="8" t="s">
        <v>112</v>
      </c>
      <c r="J273" s="8" t="s">
        <v>32</v>
      </c>
      <c r="K273" s="8" t="s">
        <v>1300</v>
      </c>
      <c r="L273" s="8" t="s">
        <v>113</v>
      </c>
      <c r="M273" s="8" t="s">
        <v>1715</v>
      </c>
      <c r="N273" s="8" t="s">
        <v>1767</v>
      </c>
      <c r="O273" s="8">
        <v>500</v>
      </c>
      <c r="P273" s="8" t="s">
        <v>114</v>
      </c>
      <c r="Q273" s="8" t="s">
        <v>131</v>
      </c>
      <c r="R273" s="8" t="s">
        <v>132</v>
      </c>
      <c r="S273" s="8">
        <v>0</v>
      </c>
      <c r="T273" s="8" t="s">
        <v>117</v>
      </c>
      <c r="U273" s="8" t="s">
        <v>290</v>
      </c>
      <c r="V273" s="8" t="s">
        <v>118</v>
      </c>
      <c r="W273" s="8"/>
      <c r="X273" s="8"/>
      <c r="Y273" s="8">
        <v>493</v>
      </c>
      <c r="Z273" s="8"/>
      <c r="AA273" s="8" t="s">
        <v>39</v>
      </c>
      <c r="AB273" s="8">
        <v>32</v>
      </c>
      <c r="AC273" s="23" t="str">
        <f t="shared" si="61"/>
        <v>28/08/2020</v>
      </c>
      <c r="AD273" s="23" t="str">
        <f t="shared" si="62"/>
        <v>13/09/2020</v>
      </c>
      <c r="AE273" s="8">
        <v>0</v>
      </c>
      <c r="AF273" s="8"/>
      <c r="AG273" s="8"/>
    </row>
    <row r="274" spans="1:33" x14ac:dyDescent="0.2">
      <c r="A274" s="8">
        <v>2501</v>
      </c>
      <c r="B274" s="16">
        <v>44073</v>
      </c>
      <c r="C274" s="8">
        <v>30012763</v>
      </c>
      <c r="D274" s="8" t="s">
        <v>28</v>
      </c>
      <c r="E274" s="8" t="s">
        <v>129</v>
      </c>
      <c r="F274" s="8" t="s">
        <v>130</v>
      </c>
      <c r="G274" s="8">
        <v>15018419</v>
      </c>
      <c r="H274" s="8">
        <v>802095056</v>
      </c>
      <c r="I274" s="8" t="s">
        <v>112</v>
      </c>
      <c r="J274" s="8" t="s">
        <v>32</v>
      </c>
      <c r="K274" s="8" t="s">
        <v>1300</v>
      </c>
      <c r="L274" s="8" t="s">
        <v>113</v>
      </c>
      <c r="M274" s="8" t="s">
        <v>1715</v>
      </c>
      <c r="N274" s="8" t="s">
        <v>1767</v>
      </c>
      <c r="O274" s="8">
        <v>500</v>
      </c>
      <c r="P274" s="8" t="s">
        <v>114</v>
      </c>
      <c r="Q274" s="8" t="s">
        <v>131</v>
      </c>
      <c r="R274" s="8" t="s">
        <v>132</v>
      </c>
      <c r="S274" s="8">
        <v>0</v>
      </c>
      <c r="T274" s="8" t="s">
        <v>117</v>
      </c>
      <c r="U274" s="8" t="s">
        <v>290</v>
      </c>
      <c r="V274" s="8" t="s">
        <v>118</v>
      </c>
      <c r="W274" s="8"/>
      <c r="X274" s="8"/>
      <c r="Y274" s="8">
        <v>493</v>
      </c>
      <c r="Z274" s="8"/>
      <c r="AA274" s="8" t="s">
        <v>39</v>
      </c>
      <c r="AB274" s="8">
        <v>32</v>
      </c>
      <c r="AC274" s="23" t="str">
        <f t="shared" si="61"/>
        <v>28/08/2020</v>
      </c>
      <c r="AD274" s="23" t="str">
        <f t="shared" si="62"/>
        <v>13/09/2020</v>
      </c>
      <c r="AE274" s="8">
        <v>0</v>
      </c>
      <c r="AF274" s="8"/>
      <c r="AG274" s="8"/>
    </row>
    <row r="275" spans="1:33" x14ac:dyDescent="0.2">
      <c r="A275" s="8">
        <v>2501</v>
      </c>
      <c r="B275" s="16">
        <v>44073</v>
      </c>
      <c r="C275" s="8">
        <v>30012763</v>
      </c>
      <c r="D275" s="8" t="s">
        <v>28</v>
      </c>
      <c r="E275" s="8" t="s">
        <v>129</v>
      </c>
      <c r="F275" s="8" t="s">
        <v>130</v>
      </c>
      <c r="G275" s="8">
        <v>15018420</v>
      </c>
      <c r="H275" s="8">
        <v>802095057</v>
      </c>
      <c r="I275" s="8" t="s">
        <v>112</v>
      </c>
      <c r="J275" s="8" t="s">
        <v>32</v>
      </c>
      <c r="K275" s="8" t="s">
        <v>1300</v>
      </c>
      <c r="L275" s="8" t="s">
        <v>113</v>
      </c>
      <c r="M275" s="8" t="s">
        <v>1715</v>
      </c>
      <c r="N275" s="8" t="s">
        <v>1767</v>
      </c>
      <c r="O275" s="8">
        <v>500</v>
      </c>
      <c r="P275" s="8" t="s">
        <v>114</v>
      </c>
      <c r="Q275" s="8" t="s">
        <v>131</v>
      </c>
      <c r="R275" s="8" t="s">
        <v>132</v>
      </c>
      <c r="S275" s="8">
        <v>0</v>
      </c>
      <c r="T275" s="8" t="s">
        <v>117</v>
      </c>
      <c r="U275" s="8" t="s">
        <v>290</v>
      </c>
      <c r="V275" s="8" t="s">
        <v>118</v>
      </c>
      <c r="W275" s="8"/>
      <c r="X275" s="8"/>
      <c r="Y275" s="8">
        <v>493</v>
      </c>
      <c r="Z275" s="8"/>
      <c r="AA275" s="8" t="s">
        <v>39</v>
      </c>
      <c r="AB275" s="8">
        <v>32</v>
      </c>
      <c r="AC275" s="23" t="str">
        <f t="shared" si="61"/>
        <v>28/08/2020</v>
      </c>
      <c r="AD275" s="23" t="str">
        <f t="shared" si="62"/>
        <v>13/09/2020</v>
      </c>
      <c r="AE275" s="8">
        <v>0</v>
      </c>
      <c r="AF275" s="8"/>
      <c r="AG275" s="8"/>
    </row>
    <row r="276" spans="1:33" x14ac:dyDescent="0.2">
      <c r="A276" s="8">
        <v>2501</v>
      </c>
      <c r="B276" s="16">
        <v>44073</v>
      </c>
      <c r="C276" s="8">
        <v>30012763</v>
      </c>
      <c r="D276" s="8" t="s">
        <v>28</v>
      </c>
      <c r="E276" s="8" t="s">
        <v>129</v>
      </c>
      <c r="F276" s="8" t="s">
        <v>130</v>
      </c>
      <c r="G276" s="8">
        <v>15018421</v>
      </c>
      <c r="H276" s="8">
        <v>802095058</v>
      </c>
      <c r="I276" s="8" t="s">
        <v>112</v>
      </c>
      <c r="J276" s="8" t="s">
        <v>32</v>
      </c>
      <c r="K276" s="8" t="s">
        <v>1300</v>
      </c>
      <c r="L276" s="8" t="s">
        <v>113</v>
      </c>
      <c r="M276" s="8" t="s">
        <v>1715</v>
      </c>
      <c r="N276" s="8" t="s">
        <v>1767</v>
      </c>
      <c r="O276" s="8">
        <v>500</v>
      </c>
      <c r="P276" s="8" t="s">
        <v>114</v>
      </c>
      <c r="Q276" s="8" t="s">
        <v>131</v>
      </c>
      <c r="R276" s="8" t="s">
        <v>132</v>
      </c>
      <c r="S276" s="8">
        <v>0</v>
      </c>
      <c r="T276" s="8" t="s">
        <v>117</v>
      </c>
      <c r="U276" s="8" t="s">
        <v>290</v>
      </c>
      <c r="V276" s="8" t="s">
        <v>118</v>
      </c>
      <c r="W276" s="8"/>
      <c r="X276" s="8"/>
      <c r="Y276" s="8">
        <v>493</v>
      </c>
      <c r="Z276" s="8"/>
      <c r="AA276" s="8" t="s">
        <v>39</v>
      </c>
      <c r="AB276" s="8">
        <v>32</v>
      </c>
      <c r="AC276" s="23" t="str">
        <f t="shared" si="61"/>
        <v>28/08/2020</v>
      </c>
      <c r="AD276" s="23" t="str">
        <f t="shared" si="62"/>
        <v>13/09/2020</v>
      </c>
      <c r="AE276" s="8">
        <v>0</v>
      </c>
      <c r="AF276" s="8"/>
      <c r="AG276" s="8"/>
    </row>
    <row r="277" spans="1:33" x14ac:dyDescent="0.2">
      <c r="A277" s="8">
        <v>2501</v>
      </c>
      <c r="B277" s="16">
        <v>44073</v>
      </c>
      <c r="C277" s="8">
        <v>30012781</v>
      </c>
      <c r="D277" s="8" t="s">
        <v>28</v>
      </c>
      <c r="E277" s="8" t="s">
        <v>29</v>
      </c>
      <c r="F277" s="8" t="s">
        <v>397</v>
      </c>
      <c r="G277" s="8">
        <v>15018383</v>
      </c>
      <c r="H277" s="8">
        <v>802095015</v>
      </c>
      <c r="I277" s="8" t="s">
        <v>31</v>
      </c>
      <c r="J277" s="8" t="s">
        <v>32</v>
      </c>
      <c r="K277" s="8" t="s">
        <v>133</v>
      </c>
      <c r="L277" s="8" t="s">
        <v>954</v>
      </c>
      <c r="M277" s="8" t="s">
        <v>1715</v>
      </c>
      <c r="N277" s="8" t="s">
        <v>1749</v>
      </c>
      <c r="O277" s="8">
        <v>501.904</v>
      </c>
      <c r="P277" s="8" t="s">
        <v>33</v>
      </c>
      <c r="Q277" s="8" t="s">
        <v>153</v>
      </c>
      <c r="R277" s="8" t="s">
        <v>154</v>
      </c>
      <c r="S277" s="8">
        <v>19</v>
      </c>
      <c r="T277" s="8" t="s">
        <v>362</v>
      </c>
      <c r="U277" s="8" t="s">
        <v>290</v>
      </c>
      <c r="V277" s="8" t="s">
        <v>155</v>
      </c>
      <c r="W277" s="8" t="s">
        <v>1621</v>
      </c>
      <c r="X277" s="8"/>
      <c r="Y277" s="8">
        <v>494</v>
      </c>
      <c r="Z277" s="8"/>
      <c r="AA277" s="8" t="s">
        <v>39</v>
      </c>
      <c r="AB277" s="8">
        <v>31</v>
      </c>
      <c r="AC277" s="23" t="s">
        <v>1715</v>
      </c>
      <c r="AD277" s="23" t="s">
        <v>1767</v>
      </c>
      <c r="AE277" s="8">
        <v>0</v>
      </c>
      <c r="AF277" s="8">
        <v>-2</v>
      </c>
      <c r="AG277" s="8"/>
    </row>
    <row r="278" spans="1:33" x14ac:dyDescent="0.2">
      <c r="A278" s="8">
        <v>2502</v>
      </c>
      <c r="B278" s="16">
        <v>44073</v>
      </c>
      <c r="C278" s="8">
        <v>30012786</v>
      </c>
      <c r="D278" s="8" t="s">
        <v>91</v>
      </c>
      <c r="E278" s="8" t="s">
        <v>107</v>
      </c>
      <c r="F278" s="8" t="s">
        <v>108</v>
      </c>
      <c r="G278" s="8">
        <v>15018318</v>
      </c>
      <c r="H278" s="8">
        <v>802094878</v>
      </c>
      <c r="I278" s="8" t="s">
        <v>31</v>
      </c>
      <c r="J278" s="8" t="s">
        <v>32</v>
      </c>
      <c r="K278" s="8" t="s">
        <v>177</v>
      </c>
      <c r="L278" s="8" t="s">
        <v>1527</v>
      </c>
      <c r="M278" s="8" t="s">
        <v>1715</v>
      </c>
      <c r="N278" s="8" t="s">
        <v>1733</v>
      </c>
      <c r="O278" s="8">
        <v>202.86</v>
      </c>
      <c r="P278" s="8" t="s">
        <v>84</v>
      </c>
      <c r="Q278" s="8" t="s">
        <v>105</v>
      </c>
      <c r="R278" s="8" t="s">
        <v>106</v>
      </c>
      <c r="S278" s="8">
        <v>9</v>
      </c>
      <c r="T278" s="8" t="s">
        <v>87</v>
      </c>
      <c r="U278" s="8" t="s">
        <v>290</v>
      </c>
      <c r="V278" s="8" t="s">
        <v>88</v>
      </c>
      <c r="W278" s="8" t="s">
        <v>1528</v>
      </c>
      <c r="X278" s="8"/>
      <c r="Y278" s="8">
        <v>207</v>
      </c>
      <c r="Z278" s="8" t="s">
        <v>1529</v>
      </c>
      <c r="AA278" s="8" t="s">
        <v>109</v>
      </c>
      <c r="AB278" s="8">
        <v>31</v>
      </c>
      <c r="AC278" s="23" t="str">
        <f>M278</f>
        <v>28/08/2020</v>
      </c>
      <c r="AD278" s="23" t="str">
        <f>N278</f>
        <v>24/09/2020</v>
      </c>
      <c r="AE278" s="8">
        <v>0</v>
      </c>
      <c r="AF278" s="8">
        <v>0</v>
      </c>
      <c r="AG278" s="8"/>
    </row>
    <row r="279" spans="1:33" x14ac:dyDescent="0.2">
      <c r="A279" s="8">
        <v>2502</v>
      </c>
      <c r="B279" s="16">
        <v>44073</v>
      </c>
      <c r="C279" s="8">
        <v>30012786</v>
      </c>
      <c r="D279" s="8" t="s">
        <v>28</v>
      </c>
      <c r="E279" s="8" t="s">
        <v>98</v>
      </c>
      <c r="F279" s="8" t="s">
        <v>205</v>
      </c>
      <c r="G279" s="8">
        <v>15018323</v>
      </c>
      <c r="H279" s="8">
        <v>802094881</v>
      </c>
      <c r="I279" s="8" t="s">
        <v>99</v>
      </c>
      <c r="J279" s="8" t="s">
        <v>32</v>
      </c>
      <c r="K279" s="8" t="s">
        <v>177</v>
      </c>
      <c r="L279" s="8" t="s">
        <v>1527</v>
      </c>
      <c r="M279" s="8" t="s">
        <v>1715</v>
      </c>
      <c r="N279" s="8" t="s">
        <v>1752</v>
      </c>
      <c r="O279" s="8">
        <v>502.12799999999999</v>
      </c>
      <c r="P279" s="8" t="s">
        <v>84</v>
      </c>
      <c r="Q279" s="8" t="s">
        <v>206</v>
      </c>
      <c r="R279" s="8" t="s">
        <v>35</v>
      </c>
      <c r="S279" s="8">
        <v>22</v>
      </c>
      <c r="T279" s="8" t="s">
        <v>87</v>
      </c>
      <c r="U279" s="8" t="s">
        <v>290</v>
      </c>
      <c r="V279" s="8" t="s">
        <v>88</v>
      </c>
      <c r="W279" s="8" t="s">
        <v>1532</v>
      </c>
      <c r="X279" s="8"/>
      <c r="Y279" s="8">
        <v>528</v>
      </c>
      <c r="Z279" s="8"/>
      <c r="AA279" s="8" t="s">
        <v>39</v>
      </c>
      <c r="AB279" s="8">
        <v>31</v>
      </c>
      <c r="AC279" s="23" t="str">
        <f t="shared" ref="AC279:AC283" si="63">M279</f>
        <v>28/08/2020</v>
      </c>
      <c r="AD279" s="23" t="str">
        <f t="shared" ref="AD279:AD283" si="64">N279</f>
        <v>28/09/2020</v>
      </c>
      <c r="AE279" s="8">
        <v>0</v>
      </c>
      <c r="AF279" s="8">
        <v>0</v>
      </c>
      <c r="AG279" s="8"/>
    </row>
    <row r="280" spans="1:33" x14ac:dyDescent="0.2">
      <c r="A280" s="8">
        <v>2502</v>
      </c>
      <c r="B280" s="16">
        <v>44073</v>
      </c>
      <c r="C280" s="8">
        <v>30012786</v>
      </c>
      <c r="D280" s="8" t="s">
        <v>28</v>
      </c>
      <c r="E280" s="8" t="s">
        <v>29</v>
      </c>
      <c r="F280" s="8" t="s">
        <v>41</v>
      </c>
      <c r="G280" s="8">
        <v>15018343</v>
      </c>
      <c r="H280" s="8">
        <v>802094906</v>
      </c>
      <c r="I280" s="8" t="s">
        <v>31</v>
      </c>
      <c r="J280" s="8" t="s">
        <v>32</v>
      </c>
      <c r="K280" s="8" t="s">
        <v>177</v>
      </c>
      <c r="L280" s="8" t="s">
        <v>1527</v>
      </c>
      <c r="M280" s="8" t="s">
        <v>1715</v>
      </c>
      <c r="N280" s="8" t="s">
        <v>1752</v>
      </c>
      <c r="O280" s="8">
        <v>493.92</v>
      </c>
      <c r="P280" s="8" t="s">
        <v>84</v>
      </c>
      <c r="Q280" s="8" t="s">
        <v>206</v>
      </c>
      <c r="R280" s="8" t="s">
        <v>35</v>
      </c>
      <c r="S280" s="8">
        <v>21</v>
      </c>
      <c r="T280" s="8" t="s">
        <v>87</v>
      </c>
      <c r="U280" s="8" t="s">
        <v>290</v>
      </c>
      <c r="V280" s="8" t="s">
        <v>88</v>
      </c>
      <c r="W280" s="8" t="s">
        <v>1535</v>
      </c>
      <c r="X280" s="8"/>
      <c r="Y280" s="8">
        <v>504</v>
      </c>
      <c r="Z280" s="8"/>
      <c r="AA280" s="8" t="s">
        <v>39</v>
      </c>
      <c r="AB280" s="8">
        <v>31</v>
      </c>
      <c r="AC280" s="23" t="str">
        <f t="shared" si="63"/>
        <v>28/08/2020</v>
      </c>
      <c r="AD280" s="23" t="str">
        <f t="shared" si="64"/>
        <v>28/09/2020</v>
      </c>
      <c r="AE280" s="8">
        <v>0</v>
      </c>
      <c r="AF280" s="8">
        <v>0</v>
      </c>
      <c r="AG280" s="8"/>
    </row>
    <row r="281" spans="1:33" x14ac:dyDescent="0.2">
      <c r="A281" s="8">
        <v>2502</v>
      </c>
      <c r="B281" s="16">
        <v>44073</v>
      </c>
      <c r="C281" s="8">
        <v>30012786</v>
      </c>
      <c r="D281" s="8" t="s">
        <v>152</v>
      </c>
      <c r="E281" s="8" t="s">
        <v>508</v>
      </c>
      <c r="F281" s="8" t="s">
        <v>509</v>
      </c>
      <c r="G281" s="8">
        <v>15018461</v>
      </c>
      <c r="H281" s="8">
        <v>802095154</v>
      </c>
      <c r="I281" s="8" t="s">
        <v>94</v>
      </c>
      <c r="J281" s="8" t="s">
        <v>95</v>
      </c>
      <c r="K281" s="8" t="s">
        <v>177</v>
      </c>
      <c r="L281" s="8" t="s">
        <v>1527</v>
      </c>
      <c r="M281" s="8" t="s">
        <v>1715</v>
      </c>
      <c r="N281" s="8" t="s">
        <v>1766</v>
      </c>
      <c r="O281" s="8">
        <v>191.21600000000001</v>
      </c>
      <c r="P281" s="8" t="s">
        <v>84</v>
      </c>
      <c r="Q281" s="8" t="s">
        <v>49</v>
      </c>
      <c r="R281" s="8" t="s">
        <v>50</v>
      </c>
      <c r="S281" s="8">
        <v>8</v>
      </c>
      <c r="T281" s="8" t="s">
        <v>87</v>
      </c>
      <c r="U281" s="8" t="s">
        <v>290</v>
      </c>
      <c r="V281" s="8" t="s">
        <v>88</v>
      </c>
      <c r="W281" s="8" t="s">
        <v>1538</v>
      </c>
      <c r="X281" s="8"/>
      <c r="Y281" s="8">
        <v>136</v>
      </c>
      <c r="Z281" s="8" t="s">
        <v>996</v>
      </c>
      <c r="AA281" s="8" t="s">
        <v>39</v>
      </c>
      <c r="AB281" s="8">
        <v>31</v>
      </c>
      <c r="AC281" s="23" t="str">
        <f t="shared" si="63"/>
        <v>28/08/2020</v>
      </c>
      <c r="AD281" s="23" t="str">
        <f t="shared" si="64"/>
        <v>27/09/2020</v>
      </c>
      <c r="AE281" s="8">
        <v>0</v>
      </c>
      <c r="AF281" s="8">
        <v>0</v>
      </c>
      <c r="AG281" s="8"/>
    </row>
    <row r="282" spans="1:33" x14ac:dyDescent="0.2">
      <c r="A282" s="8">
        <v>2502</v>
      </c>
      <c r="B282" s="16">
        <v>44073</v>
      </c>
      <c r="C282" s="8">
        <v>30012786</v>
      </c>
      <c r="D282" s="8" t="s">
        <v>91</v>
      </c>
      <c r="E282" s="8" t="s">
        <v>92</v>
      </c>
      <c r="F282" s="8" t="s">
        <v>93</v>
      </c>
      <c r="G282" s="8">
        <v>15018478</v>
      </c>
      <c r="H282" s="8">
        <v>802095171</v>
      </c>
      <c r="I282" s="8" t="s">
        <v>714</v>
      </c>
      <c r="J282" s="8" t="s">
        <v>95</v>
      </c>
      <c r="K282" s="8" t="s">
        <v>177</v>
      </c>
      <c r="L282" s="8" t="s">
        <v>1527</v>
      </c>
      <c r="M282" s="8" t="s">
        <v>1715</v>
      </c>
      <c r="N282" s="8" t="s">
        <v>1743</v>
      </c>
      <c r="O282" s="8">
        <v>196</v>
      </c>
      <c r="P282" s="8" t="s">
        <v>84</v>
      </c>
      <c r="Q282" s="8" t="s">
        <v>96</v>
      </c>
      <c r="R282" s="8" t="s">
        <v>97</v>
      </c>
      <c r="S282" s="8">
        <v>8</v>
      </c>
      <c r="T282" s="8" t="s">
        <v>87</v>
      </c>
      <c r="U282" s="8" t="s">
        <v>290</v>
      </c>
      <c r="V282" s="8" t="s">
        <v>88</v>
      </c>
      <c r="W282" s="8" t="s">
        <v>1541</v>
      </c>
      <c r="X282" s="8"/>
      <c r="Y282" s="8">
        <v>280</v>
      </c>
      <c r="Z282" s="8"/>
      <c r="AA282" s="8" t="s">
        <v>39</v>
      </c>
      <c r="AB282" s="8">
        <v>31</v>
      </c>
      <c r="AC282" s="23" t="str">
        <f t="shared" si="63"/>
        <v>28/08/2020</v>
      </c>
      <c r="AD282" s="23" t="str">
        <f t="shared" si="64"/>
        <v>25/09/2020</v>
      </c>
      <c r="AE282" s="8">
        <v>0</v>
      </c>
      <c r="AF282" s="8">
        <v>0</v>
      </c>
      <c r="AG282" s="8"/>
    </row>
    <row r="283" spans="1:33" x14ac:dyDescent="0.2">
      <c r="A283" s="8">
        <v>2502</v>
      </c>
      <c r="B283" s="16">
        <v>44073</v>
      </c>
      <c r="C283" s="8">
        <v>30012786</v>
      </c>
      <c r="D283" s="8" t="s">
        <v>91</v>
      </c>
      <c r="E283" s="8" t="s">
        <v>92</v>
      </c>
      <c r="F283" s="8" t="s">
        <v>93</v>
      </c>
      <c r="G283" s="8">
        <v>15018479</v>
      </c>
      <c r="H283" s="8">
        <v>802095172</v>
      </c>
      <c r="I283" s="8" t="s">
        <v>714</v>
      </c>
      <c r="J283" s="8" t="s">
        <v>95</v>
      </c>
      <c r="K283" s="8" t="s">
        <v>177</v>
      </c>
      <c r="L283" s="8" t="s">
        <v>1527</v>
      </c>
      <c r="M283" s="8" t="s">
        <v>1715</v>
      </c>
      <c r="N283" s="8" t="s">
        <v>1743</v>
      </c>
      <c r="O283" s="8">
        <v>196</v>
      </c>
      <c r="P283" s="8" t="s">
        <v>84</v>
      </c>
      <c r="Q283" s="8" t="s">
        <v>96</v>
      </c>
      <c r="R283" s="8" t="s">
        <v>97</v>
      </c>
      <c r="S283" s="8">
        <v>8</v>
      </c>
      <c r="T283" s="8" t="s">
        <v>87</v>
      </c>
      <c r="U283" s="8" t="s">
        <v>290</v>
      </c>
      <c r="V283" s="8" t="s">
        <v>88</v>
      </c>
      <c r="W283" s="8" t="s">
        <v>1544</v>
      </c>
      <c r="X283" s="8"/>
      <c r="Y283" s="8">
        <v>280</v>
      </c>
      <c r="Z283" s="8"/>
      <c r="AA283" s="8" t="s">
        <v>39</v>
      </c>
      <c r="AB283" s="8">
        <v>31</v>
      </c>
      <c r="AC283" s="23" t="str">
        <f t="shared" si="63"/>
        <v>28/08/2020</v>
      </c>
      <c r="AD283" s="23" t="str">
        <f t="shared" si="64"/>
        <v>25/09/2020</v>
      </c>
      <c r="AE283" s="8">
        <v>0</v>
      </c>
      <c r="AF283" s="8">
        <v>0</v>
      </c>
      <c r="AG283" s="8"/>
    </row>
    <row r="284" spans="1:33" x14ac:dyDescent="0.2">
      <c r="A284" s="8">
        <v>2504</v>
      </c>
      <c r="B284" s="16">
        <v>44073</v>
      </c>
      <c r="C284" s="8">
        <v>30012835</v>
      </c>
      <c r="D284" s="8" t="s">
        <v>74</v>
      </c>
      <c r="E284" s="8" t="s">
        <v>75</v>
      </c>
      <c r="F284" s="8" t="s">
        <v>966</v>
      </c>
      <c r="G284" s="8">
        <v>15018458</v>
      </c>
      <c r="H284" s="8">
        <v>802095137</v>
      </c>
      <c r="I284" s="8" t="s">
        <v>77</v>
      </c>
      <c r="J284" s="8" t="s">
        <v>32</v>
      </c>
      <c r="K284" s="8" t="s">
        <v>1587</v>
      </c>
      <c r="L284" s="8" t="s">
        <v>1588</v>
      </c>
      <c r="M284" s="8" t="s">
        <v>1725</v>
      </c>
      <c r="N284" s="8" t="s">
        <v>1772</v>
      </c>
      <c r="O284" s="8">
        <v>496.8</v>
      </c>
      <c r="P284" s="8" t="s">
        <v>48</v>
      </c>
      <c r="Q284" s="8" t="s">
        <v>149</v>
      </c>
      <c r="R284" s="8" t="s">
        <v>150</v>
      </c>
      <c r="S284" s="8">
        <v>20</v>
      </c>
      <c r="T284" s="8" t="s">
        <v>36</v>
      </c>
      <c r="U284" s="8" t="s">
        <v>290</v>
      </c>
      <c r="V284" s="8" t="s">
        <v>88</v>
      </c>
      <c r="W284" s="8" t="s">
        <v>1592</v>
      </c>
      <c r="X284" s="8"/>
      <c r="Y284" s="8">
        <v>480</v>
      </c>
      <c r="Z284" s="8"/>
      <c r="AA284" s="8" t="s">
        <v>39</v>
      </c>
      <c r="AB284" s="8">
        <v>31</v>
      </c>
      <c r="AC284" s="21" t="str">
        <f t="shared" ref="AC284:AC288" si="65">M284</f>
        <v>26/08/2020</v>
      </c>
      <c r="AD284" s="21" t="str">
        <f t="shared" ref="AD284:AD288" si="66">N284</f>
        <v>12/10/2020</v>
      </c>
      <c r="AE284" s="8"/>
      <c r="AF284" s="8"/>
      <c r="AG284" s="8"/>
    </row>
    <row r="285" spans="1:33" x14ac:dyDescent="0.2">
      <c r="A285" s="8">
        <v>2504</v>
      </c>
      <c r="B285" s="16">
        <v>44074</v>
      </c>
      <c r="C285" s="8">
        <v>30012827</v>
      </c>
      <c r="D285" s="8" t="s">
        <v>62</v>
      </c>
      <c r="E285" s="8" t="s">
        <v>296</v>
      </c>
      <c r="F285" s="8" t="s">
        <v>297</v>
      </c>
      <c r="G285" s="8">
        <v>15018274</v>
      </c>
      <c r="H285" s="8">
        <v>802094847</v>
      </c>
      <c r="I285" s="8" t="s">
        <v>298</v>
      </c>
      <c r="J285" s="8" t="s">
        <v>58</v>
      </c>
      <c r="K285" s="8" t="s">
        <v>1625</v>
      </c>
      <c r="L285" s="8" t="s">
        <v>547</v>
      </c>
      <c r="M285" s="8" t="s">
        <v>1715</v>
      </c>
      <c r="N285" s="8" t="s">
        <v>1764</v>
      </c>
      <c r="O285" s="8">
        <v>70.334999999999994</v>
      </c>
      <c r="P285" s="8" t="s">
        <v>48</v>
      </c>
      <c r="Q285" s="8" t="s">
        <v>1705</v>
      </c>
      <c r="R285" s="8" t="s">
        <v>60</v>
      </c>
      <c r="S285" s="8">
        <v>3</v>
      </c>
      <c r="T285" s="8" t="s">
        <v>61</v>
      </c>
      <c r="U285" s="8" t="s">
        <v>290</v>
      </c>
      <c r="V285" s="8" t="s">
        <v>1706</v>
      </c>
      <c r="W285" s="8" t="s">
        <v>1626</v>
      </c>
      <c r="X285" s="8"/>
      <c r="Y285" s="8">
        <v>27</v>
      </c>
      <c r="Z285" s="8" t="s">
        <v>1627</v>
      </c>
      <c r="AA285" s="8" t="s">
        <v>39</v>
      </c>
      <c r="AB285" s="8">
        <v>31</v>
      </c>
      <c r="AC285" s="21" t="str">
        <f t="shared" si="65"/>
        <v>28/08/2020</v>
      </c>
      <c r="AD285" s="21" t="str">
        <f t="shared" si="66"/>
        <v>19/09/2020</v>
      </c>
      <c r="AE285" s="8"/>
      <c r="AF285" s="8"/>
      <c r="AG285" s="8"/>
    </row>
    <row r="286" spans="1:33" x14ac:dyDescent="0.2">
      <c r="A286" s="8">
        <v>2504</v>
      </c>
      <c r="B286" s="16">
        <v>44074</v>
      </c>
      <c r="C286" s="8">
        <v>30012827</v>
      </c>
      <c r="D286" s="8" t="s">
        <v>62</v>
      </c>
      <c r="E286" s="8" t="s">
        <v>294</v>
      </c>
      <c r="F286" s="8" t="s">
        <v>295</v>
      </c>
      <c r="G286" s="8">
        <v>15018275</v>
      </c>
      <c r="H286" s="8">
        <v>802094848</v>
      </c>
      <c r="I286" s="8" t="s">
        <v>77</v>
      </c>
      <c r="J286" s="8" t="s">
        <v>32</v>
      </c>
      <c r="K286" s="8" t="s">
        <v>1625</v>
      </c>
      <c r="L286" s="8" t="s">
        <v>547</v>
      </c>
      <c r="M286" s="8" t="s">
        <v>1715</v>
      </c>
      <c r="N286" s="8" t="s">
        <v>1764</v>
      </c>
      <c r="O286" s="8">
        <v>99.36</v>
      </c>
      <c r="P286" s="8" t="s">
        <v>48</v>
      </c>
      <c r="Q286" s="8" t="s">
        <v>1705</v>
      </c>
      <c r="R286" s="8" t="s">
        <v>60</v>
      </c>
      <c r="S286" s="8">
        <v>4</v>
      </c>
      <c r="T286" s="8" t="s">
        <v>36</v>
      </c>
      <c r="U286" s="8" t="s">
        <v>290</v>
      </c>
      <c r="V286" s="8" t="s">
        <v>1706</v>
      </c>
      <c r="W286" s="8" t="s">
        <v>1630</v>
      </c>
      <c r="X286" s="8"/>
      <c r="Y286" s="8">
        <v>96</v>
      </c>
      <c r="Z286" s="8" t="s">
        <v>1492</v>
      </c>
      <c r="AA286" s="8" t="s">
        <v>39</v>
      </c>
      <c r="AB286" s="8">
        <v>31</v>
      </c>
      <c r="AC286" s="21" t="str">
        <f t="shared" si="65"/>
        <v>28/08/2020</v>
      </c>
      <c r="AD286" s="21" t="str">
        <f t="shared" si="66"/>
        <v>19/09/2020</v>
      </c>
      <c r="AE286" s="8"/>
      <c r="AF286" s="8"/>
      <c r="AG286" s="8"/>
    </row>
    <row r="287" spans="1:33" x14ac:dyDescent="0.2">
      <c r="A287" s="8">
        <v>2504</v>
      </c>
      <c r="B287" s="16">
        <v>44068</v>
      </c>
      <c r="C287" s="8">
        <v>30012854</v>
      </c>
      <c r="D287" s="8" t="s">
        <v>91</v>
      </c>
      <c r="E287" s="8" t="s">
        <v>258</v>
      </c>
      <c r="F287" s="8" t="s">
        <v>259</v>
      </c>
      <c r="G287" s="8">
        <v>15018486</v>
      </c>
      <c r="H287" s="8">
        <v>802095176</v>
      </c>
      <c r="I287" s="8" t="s">
        <v>77</v>
      </c>
      <c r="J287" s="8" t="s">
        <v>32</v>
      </c>
      <c r="K287" s="8" t="s">
        <v>581</v>
      </c>
      <c r="L287" s="8" t="s">
        <v>1634</v>
      </c>
      <c r="M287" s="8" t="s">
        <v>1715</v>
      </c>
      <c r="N287" s="8" t="s">
        <v>1773</v>
      </c>
      <c r="O287" s="8">
        <v>198.72</v>
      </c>
      <c r="P287" s="8" t="s">
        <v>48</v>
      </c>
      <c r="Q287" s="8" t="s">
        <v>134</v>
      </c>
      <c r="R287" s="8" t="s">
        <v>135</v>
      </c>
      <c r="S287" s="8">
        <v>8</v>
      </c>
      <c r="T287" s="8" t="s">
        <v>36</v>
      </c>
      <c r="U287" s="8" t="s">
        <v>290</v>
      </c>
      <c r="V287" s="8" t="s">
        <v>1706</v>
      </c>
      <c r="W287" s="8" t="s">
        <v>1635</v>
      </c>
      <c r="X287" s="8"/>
      <c r="Y287" s="8">
        <v>192</v>
      </c>
      <c r="Z287" s="8"/>
      <c r="AA287" s="8" t="s">
        <v>39</v>
      </c>
      <c r="AB287" s="8">
        <v>31</v>
      </c>
      <c r="AC287" s="21" t="str">
        <f t="shared" si="65"/>
        <v>28/08/2020</v>
      </c>
      <c r="AD287" s="21" t="str">
        <f t="shared" si="66"/>
        <v>20/09/2020</v>
      </c>
      <c r="AE287" s="8"/>
      <c r="AF287" s="8"/>
      <c r="AG287" s="8"/>
    </row>
    <row r="288" spans="1:33" x14ac:dyDescent="0.2">
      <c r="A288" s="8">
        <v>2504</v>
      </c>
      <c r="B288" s="16">
        <v>44073</v>
      </c>
      <c r="C288" s="8">
        <v>30012864</v>
      </c>
      <c r="D288" s="8" t="s">
        <v>74</v>
      </c>
      <c r="E288" s="8" t="s">
        <v>75</v>
      </c>
      <c r="F288" s="8" t="s">
        <v>966</v>
      </c>
      <c r="G288" s="8">
        <v>15018453</v>
      </c>
      <c r="H288" s="8">
        <v>802095132</v>
      </c>
      <c r="I288" s="8" t="s">
        <v>77</v>
      </c>
      <c r="J288" s="8" t="s">
        <v>32</v>
      </c>
      <c r="K288" s="8" t="s">
        <v>1695</v>
      </c>
      <c r="L288" s="8" t="s">
        <v>1640</v>
      </c>
      <c r="M288" s="8" t="s">
        <v>1715</v>
      </c>
      <c r="N288" s="8" t="s">
        <v>1774</v>
      </c>
      <c r="O288" s="8">
        <v>496.8</v>
      </c>
      <c r="P288" s="8" t="s">
        <v>48</v>
      </c>
      <c r="Q288" s="8" t="s">
        <v>149</v>
      </c>
      <c r="R288" s="8" t="s">
        <v>150</v>
      </c>
      <c r="S288" s="8">
        <v>20</v>
      </c>
      <c r="T288" s="8" t="s">
        <v>36</v>
      </c>
      <c r="U288" s="8" t="s">
        <v>290</v>
      </c>
      <c r="V288" s="8" t="s">
        <v>1718</v>
      </c>
      <c r="W288" s="8" t="s">
        <v>1641</v>
      </c>
      <c r="X288" s="8"/>
      <c r="Y288" s="8">
        <v>480</v>
      </c>
      <c r="Z288" s="8"/>
      <c r="AA288" s="8" t="s">
        <v>39</v>
      </c>
      <c r="AB288" s="8">
        <v>31</v>
      </c>
      <c r="AC288" s="21" t="str">
        <f t="shared" si="65"/>
        <v>28/08/2020</v>
      </c>
      <c r="AD288" s="21" t="str">
        <f t="shared" si="66"/>
        <v>27/10/2020</v>
      </c>
      <c r="AE288" s="8"/>
      <c r="AF288" s="8"/>
      <c r="AG288" s="8"/>
    </row>
    <row r="289" spans="1:33" x14ac:dyDescent="0.2">
      <c r="A289" s="8">
        <v>2501</v>
      </c>
      <c r="B289" s="16">
        <v>44073</v>
      </c>
      <c r="C289" s="8">
        <v>30012767</v>
      </c>
      <c r="D289" s="8" t="s">
        <v>74</v>
      </c>
      <c r="E289" s="8" t="s">
        <v>207</v>
      </c>
      <c r="F289" s="8" t="s">
        <v>208</v>
      </c>
      <c r="G289" s="8">
        <v>15018187</v>
      </c>
      <c r="H289" s="8">
        <v>802094828</v>
      </c>
      <c r="I289" s="8" t="s">
        <v>291</v>
      </c>
      <c r="J289" s="8" t="s">
        <v>58</v>
      </c>
      <c r="K289" s="8" t="s">
        <v>573</v>
      </c>
      <c r="L289" s="8" t="s">
        <v>1588</v>
      </c>
      <c r="M289" s="8" t="s">
        <v>1711</v>
      </c>
      <c r="N289" s="8" t="s">
        <v>1775</v>
      </c>
      <c r="O289" s="8">
        <v>51.28</v>
      </c>
      <c r="P289" s="8" t="s">
        <v>33</v>
      </c>
      <c r="Q289" s="8" t="s">
        <v>210</v>
      </c>
      <c r="R289" s="8" t="s">
        <v>364</v>
      </c>
      <c r="S289" s="8">
        <v>2</v>
      </c>
      <c r="T289" s="8" t="s">
        <v>72</v>
      </c>
      <c r="U289" s="8" t="s">
        <v>290</v>
      </c>
      <c r="V289" s="8" t="s">
        <v>65</v>
      </c>
      <c r="W289" s="8" t="s">
        <v>1651</v>
      </c>
      <c r="X289" s="8"/>
      <c r="Y289" s="8">
        <v>20</v>
      </c>
      <c r="Z289" s="8" t="s">
        <v>1466</v>
      </c>
      <c r="AA289" s="8" t="s">
        <v>39</v>
      </c>
      <c r="AB289" s="8">
        <v>31</v>
      </c>
      <c r="AC289" s="23">
        <v>44073</v>
      </c>
      <c r="AD289" s="23" t="str">
        <f>N289</f>
        <v>21/10/2020</v>
      </c>
      <c r="AE289" s="8">
        <v>0</v>
      </c>
      <c r="AF289" s="8"/>
      <c r="AG289" s="8"/>
    </row>
    <row r="290" spans="1:33" x14ac:dyDescent="0.2">
      <c r="A290" s="8">
        <v>2504</v>
      </c>
      <c r="B290" s="16">
        <v>44074</v>
      </c>
      <c r="C290" s="8">
        <v>30012838</v>
      </c>
      <c r="D290" s="8" t="s">
        <v>137</v>
      </c>
      <c r="E290" s="8" t="s">
        <v>392</v>
      </c>
      <c r="F290" s="8" t="s">
        <v>393</v>
      </c>
      <c r="G290" s="8">
        <v>15018259</v>
      </c>
      <c r="H290" s="8">
        <v>802094842</v>
      </c>
      <c r="I290" s="8" t="s">
        <v>394</v>
      </c>
      <c r="J290" s="8" t="s">
        <v>58</v>
      </c>
      <c r="K290" s="8" t="s">
        <v>245</v>
      </c>
      <c r="L290" s="8" t="s">
        <v>1645</v>
      </c>
      <c r="M290" s="8" t="s">
        <v>1737</v>
      </c>
      <c r="N290" s="8" t="s">
        <v>1752</v>
      </c>
      <c r="O290" s="8">
        <v>145.29599999999999</v>
      </c>
      <c r="P290" s="8" t="s">
        <v>48</v>
      </c>
      <c r="Q290" s="8" t="s">
        <v>498</v>
      </c>
      <c r="R290" s="8" t="s">
        <v>395</v>
      </c>
      <c r="S290" s="8">
        <v>6</v>
      </c>
      <c r="T290" s="8" t="s">
        <v>36</v>
      </c>
      <c r="U290" s="8" t="s">
        <v>290</v>
      </c>
      <c r="V290" s="8" t="s">
        <v>1706</v>
      </c>
      <c r="W290" s="8" t="s">
        <v>1646</v>
      </c>
      <c r="X290" s="8"/>
      <c r="Y290" s="8">
        <v>72</v>
      </c>
      <c r="Z290" s="8" t="s">
        <v>1647</v>
      </c>
      <c r="AA290" s="8" t="s">
        <v>39</v>
      </c>
      <c r="AB290" s="8">
        <v>31</v>
      </c>
      <c r="AC290" s="21" t="str">
        <f t="shared" ref="AC290" si="67">M290</f>
        <v>29/08/2020</v>
      </c>
      <c r="AD290" s="21" t="str">
        <f t="shared" ref="AD290" si="68">N290</f>
        <v>28/09/2020</v>
      </c>
      <c r="AE290" s="8"/>
      <c r="AF290" s="8"/>
      <c r="AG290" s="8"/>
    </row>
    <row r="291" spans="1:33" x14ac:dyDescent="0.2">
      <c r="A291" s="8">
        <v>2501</v>
      </c>
      <c r="B291" s="16">
        <v>44073</v>
      </c>
      <c r="C291" s="8">
        <v>30012857</v>
      </c>
      <c r="D291" s="8" t="s">
        <v>28</v>
      </c>
      <c r="E291" s="8" t="s">
        <v>29</v>
      </c>
      <c r="F291" s="8" t="s">
        <v>41</v>
      </c>
      <c r="G291" s="8">
        <v>15018498</v>
      </c>
      <c r="H291" s="8">
        <v>802095184</v>
      </c>
      <c r="I291" s="8" t="s">
        <v>31</v>
      </c>
      <c r="J291" s="8" t="s">
        <v>32</v>
      </c>
      <c r="K291" s="8" t="s">
        <v>574</v>
      </c>
      <c r="L291" s="8" t="s">
        <v>1516</v>
      </c>
      <c r="M291" s="8" t="s">
        <v>1732</v>
      </c>
      <c r="N291" s="8" t="s">
        <v>1754</v>
      </c>
      <c r="O291" s="8">
        <v>501.904</v>
      </c>
      <c r="P291" s="8" t="s">
        <v>33</v>
      </c>
      <c r="Q291" s="8" t="s">
        <v>115</v>
      </c>
      <c r="R291" s="8" t="s">
        <v>116</v>
      </c>
      <c r="S291" s="8">
        <v>26</v>
      </c>
      <c r="T291" s="8" t="s">
        <v>140</v>
      </c>
      <c r="U291" s="8" t="s">
        <v>290</v>
      </c>
      <c r="V291" s="8" t="s">
        <v>1706</v>
      </c>
      <c r="W291" s="8" t="s">
        <v>1655</v>
      </c>
      <c r="X291" s="8"/>
      <c r="Y291" s="8">
        <v>494</v>
      </c>
      <c r="Z291" s="8"/>
      <c r="AA291" s="8" t="s">
        <v>39</v>
      </c>
      <c r="AB291" s="8">
        <v>31</v>
      </c>
      <c r="AC291" s="23" t="s">
        <v>1732</v>
      </c>
      <c r="AD291" s="23" t="s">
        <v>1754</v>
      </c>
      <c r="AE291" s="8">
        <v>0</v>
      </c>
      <c r="AF291" s="8">
        <v>0</v>
      </c>
      <c r="AG291" s="8"/>
    </row>
    <row r="292" spans="1:33" x14ac:dyDescent="0.2">
      <c r="A292" s="8">
        <v>2501</v>
      </c>
      <c r="B292" s="16">
        <v>44073</v>
      </c>
      <c r="C292" s="8">
        <v>30012857</v>
      </c>
      <c r="D292" s="8" t="s">
        <v>28</v>
      </c>
      <c r="E292" s="8" t="s">
        <v>29</v>
      </c>
      <c r="F292" s="8" t="s">
        <v>41</v>
      </c>
      <c r="G292" s="8">
        <v>15018499</v>
      </c>
      <c r="H292" s="8">
        <v>802095185</v>
      </c>
      <c r="I292" s="8" t="s">
        <v>31</v>
      </c>
      <c r="J292" s="8" t="s">
        <v>32</v>
      </c>
      <c r="K292" s="8" t="s">
        <v>574</v>
      </c>
      <c r="L292" s="8" t="s">
        <v>1516</v>
      </c>
      <c r="M292" s="8" t="s">
        <v>1732</v>
      </c>
      <c r="N292" s="8" t="s">
        <v>1754</v>
      </c>
      <c r="O292" s="8">
        <v>501.904</v>
      </c>
      <c r="P292" s="8" t="s">
        <v>33</v>
      </c>
      <c r="Q292" s="8" t="s">
        <v>115</v>
      </c>
      <c r="R292" s="8" t="s">
        <v>116</v>
      </c>
      <c r="S292" s="8">
        <v>26</v>
      </c>
      <c r="T292" s="8" t="s">
        <v>140</v>
      </c>
      <c r="U292" s="8" t="s">
        <v>290</v>
      </c>
      <c r="V292" s="8" t="s">
        <v>1706</v>
      </c>
      <c r="W292" s="8" t="s">
        <v>1658</v>
      </c>
      <c r="X292" s="8"/>
      <c r="Y292" s="8">
        <v>494</v>
      </c>
      <c r="Z292" s="8"/>
      <c r="AA292" s="8" t="s">
        <v>39</v>
      </c>
      <c r="AB292" s="8">
        <v>31</v>
      </c>
      <c r="AC292" s="23" t="s">
        <v>1732</v>
      </c>
      <c r="AD292" s="23" t="s">
        <v>1754</v>
      </c>
      <c r="AE292" s="8">
        <v>0</v>
      </c>
      <c r="AF292" s="8">
        <v>0</v>
      </c>
      <c r="AG292" s="8"/>
    </row>
    <row r="293" spans="1:33" x14ac:dyDescent="0.2">
      <c r="A293" s="8">
        <v>2504</v>
      </c>
      <c r="B293" s="16">
        <v>44073</v>
      </c>
      <c r="C293" s="8">
        <v>30012841</v>
      </c>
      <c r="D293" s="8" t="s">
        <v>365</v>
      </c>
      <c r="E293" s="8" t="s">
        <v>543</v>
      </c>
      <c r="F293" s="8" t="s">
        <v>575</v>
      </c>
      <c r="G293" s="8">
        <v>15018441</v>
      </c>
      <c r="H293" s="8">
        <v>802095159</v>
      </c>
      <c r="I293" s="8" t="s">
        <v>77</v>
      </c>
      <c r="J293" s="8" t="s">
        <v>32</v>
      </c>
      <c r="K293" s="8" t="s">
        <v>1696</v>
      </c>
      <c r="L293" s="8" t="s">
        <v>1588</v>
      </c>
      <c r="M293" s="8" t="s">
        <v>1711</v>
      </c>
      <c r="N293" s="8" t="s">
        <v>1756</v>
      </c>
      <c r="O293" s="8">
        <v>496.8</v>
      </c>
      <c r="P293" s="8" t="s">
        <v>48</v>
      </c>
      <c r="Q293" s="8" t="s">
        <v>576</v>
      </c>
      <c r="R293" s="8" t="s">
        <v>577</v>
      </c>
      <c r="S293" s="8">
        <v>24</v>
      </c>
      <c r="T293" s="8" t="s">
        <v>42</v>
      </c>
      <c r="U293" s="8" t="s">
        <v>1694</v>
      </c>
      <c r="V293" s="8" t="s">
        <v>1710</v>
      </c>
      <c r="W293" s="8" t="s">
        <v>1178</v>
      </c>
      <c r="X293" s="8"/>
      <c r="Y293" s="8">
        <v>480</v>
      </c>
      <c r="Z293" s="8"/>
      <c r="AA293" s="8" t="s">
        <v>39</v>
      </c>
      <c r="AB293" s="8">
        <v>31</v>
      </c>
      <c r="AC293" s="21" t="str">
        <f t="shared" ref="AC293" si="69">M293</f>
        <v>30/08/2020</v>
      </c>
      <c r="AD293" s="21" t="str">
        <f t="shared" ref="AD293" si="70">N293</f>
        <v>17/09/2020</v>
      </c>
      <c r="AE293" s="8"/>
      <c r="AF293" s="8"/>
      <c r="AG293" s="8"/>
    </row>
    <row r="294" spans="1:33" s="2" customFormat="1" x14ac:dyDescent="0.2">
      <c r="A294" s="8">
        <v>2502</v>
      </c>
      <c r="B294" s="16">
        <v>44073</v>
      </c>
      <c r="C294" s="8"/>
      <c r="D294" s="8" t="s">
        <v>28</v>
      </c>
      <c r="E294" s="8" t="s">
        <v>129</v>
      </c>
      <c r="F294" s="8" t="s">
        <v>507</v>
      </c>
      <c r="G294" s="8">
        <v>15018342</v>
      </c>
      <c r="H294" s="8">
        <v>802094905</v>
      </c>
      <c r="I294" s="8" t="s">
        <v>89</v>
      </c>
      <c r="J294" s="8" t="s">
        <v>90</v>
      </c>
      <c r="K294" s="8"/>
      <c r="L294" s="8"/>
      <c r="M294" s="8"/>
      <c r="N294" s="8" t="s">
        <v>1743</v>
      </c>
      <c r="O294" s="8">
        <v>498.4</v>
      </c>
      <c r="P294" s="8" t="s">
        <v>84</v>
      </c>
      <c r="Q294" s="8" t="s">
        <v>405</v>
      </c>
      <c r="R294" s="8" t="s">
        <v>406</v>
      </c>
      <c r="S294" s="8">
        <v>20</v>
      </c>
      <c r="T294" s="8" t="s">
        <v>87</v>
      </c>
      <c r="U294" s="8" t="s">
        <v>290</v>
      </c>
      <c r="V294" s="8"/>
      <c r="W294" s="8" t="s">
        <v>1665</v>
      </c>
      <c r="X294" s="8"/>
      <c r="Y294" s="8">
        <v>700</v>
      </c>
      <c r="Z294" s="8"/>
      <c r="AA294" s="8" t="s">
        <v>39</v>
      </c>
      <c r="AB294" s="8">
        <v>31</v>
      </c>
      <c r="AC294" s="23"/>
      <c r="AD294" s="23"/>
      <c r="AE294" s="8">
        <v>0</v>
      </c>
      <c r="AF294" s="8">
        <v>0</v>
      </c>
      <c r="AG294" s="8"/>
    </row>
    <row r="295" spans="1:33" s="2" customFormat="1" x14ac:dyDescent="0.2">
      <c r="A295" s="8">
        <v>2502</v>
      </c>
      <c r="B295" s="16">
        <v>44073</v>
      </c>
      <c r="C295" s="8"/>
      <c r="D295" s="8" t="s">
        <v>28</v>
      </c>
      <c r="E295" s="8" t="s">
        <v>129</v>
      </c>
      <c r="F295" s="8" t="s">
        <v>507</v>
      </c>
      <c r="G295" s="8">
        <v>15018344</v>
      </c>
      <c r="H295" s="8">
        <v>802094907</v>
      </c>
      <c r="I295" s="8" t="s">
        <v>89</v>
      </c>
      <c r="J295" s="8" t="s">
        <v>90</v>
      </c>
      <c r="K295" s="8"/>
      <c r="L295" s="8"/>
      <c r="M295" s="8"/>
      <c r="N295" s="8" t="s">
        <v>1743</v>
      </c>
      <c r="O295" s="8">
        <v>498.4</v>
      </c>
      <c r="P295" s="8" t="s">
        <v>84</v>
      </c>
      <c r="Q295" s="8" t="s">
        <v>405</v>
      </c>
      <c r="R295" s="8" t="s">
        <v>406</v>
      </c>
      <c r="S295" s="8">
        <v>20</v>
      </c>
      <c r="T295" s="8" t="s">
        <v>87</v>
      </c>
      <c r="U295" s="8" t="s">
        <v>290</v>
      </c>
      <c r="V295" s="8"/>
      <c r="W295" s="8" t="s">
        <v>1668</v>
      </c>
      <c r="X295" s="8"/>
      <c r="Y295" s="8">
        <v>700</v>
      </c>
      <c r="Z295" s="8"/>
      <c r="AA295" s="8" t="s">
        <v>39</v>
      </c>
      <c r="AB295" s="8">
        <v>31</v>
      </c>
      <c r="AC295" s="23"/>
      <c r="AD295" s="23"/>
      <c r="AE295" s="8">
        <v>0</v>
      </c>
      <c r="AF295" s="8">
        <v>0</v>
      </c>
      <c r="AG295" s="8"/>
    </row>
    <row r="296" spans="1:33" s="2" customFormat="1" x14ac:dyDescent="0.2">
      <c r="A296" s="8">
        <v>2504</v>
      </c>
      <c r="B296" s="16">
        <v>44073</v>
      </c>
      <c r="C296" s="8">
        <v>30012863</v>
      </c>
      <c r="D296" s="8" t="s">
        <v>365</v>
      </c>
      <c r="E296" s="8" t="s">
        <v>543</v>
      </c>
      <c r="F296" s="8" t="s">
        <v>575</v>
      </c>
      <c r="G296" s="8">
        <v>15018442</v>
      </c>
      <c r="H296" s="8">
        <v>802095160</v>
      </c>
      <c r="I296" s="8" t="s">
        <v>77</v>
      </c>
      <c r="J296" s="8" t="s">
        <v>32</v>
      </c>
      <c r="K296" s="8" t="s">
        <v>403</v>
      </c>
      <c r="L296" s="8" t="s">
        <v>490</v>
      </c>
      <c r="M296" s="8" t="s">
        <v>1732</v>
      </c>
      <c r="N296" s="8" t="s">
        <v>1776</v>
      </c>
      <c r="O296" s="8">
        <v>496.8</v>
      </c>
      <c r="P296" s="8" t="s">
        <v>48</v>
      </c>
      <c r="Q296" s="8" t="s">
        <v>576</v>
      </c>
      <c r="R296" s="8" t="s">
        <v>577</v>
      </c>
      <c r="S296" s="8">
        <v>24</v>
      </c>
      <c r="T296" s="8" t="s">
        <v>42</v>
      </c>
      <c r="U296" s="8" t="s">
        <v>1694</v>
      </c>
      <c r="V296" s="8" t="s">
        <v>1706</v>
      </c>
      <c r="W296" s="8" t="s">
        <v>1662</v>
      </c>
      <c r="X296" s="8"/>
      <c r="Y296" s="8">
        <v>480</v>
      </c>
      <c r="Z296" s="8"/>
      <c r="AA296" s="8" t="s">
        <v>39</v>
      </c>
      <c r="AB296" s="8">
        <v>31</v>
      </c>
      <c r="AC296" s="21" t="str">
        <f t="shared" ref="AC296" si="71">M296</f>
        <v>31/08/2020</v>
      </c>
      <c r="AD296" s="21" t="str">
        <f t="shared" ref="AD296" si="72">N296</f>
        <v>21/09/2020</v>
      </c>
      <c r="AE296" s="8"/>
      <c r="AF296" s="8"/>
      <c r="AG296" s="8"/>
    </row>
  </sheetData>
  <autoFilter ref="A1:AG296" xr:uid="{00DECA35-F372-448F-BBE9-230847FE6C25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G294"/>
  <sheetViews>
    <sheetView workbookViewId="0">
      <pane ySplit="1" topLeftCell="A2" activePane="bottomLeft" state="frozen"/>
      <selection activeCell="L28" sqref="L28"/>
      <selection pane="bottomLeft" activeCell="P307" sqref="P307"/>
    </sheetView>
  </sheetViews>
  <sheetFormatPr defaultRowHeight="12.75" outlineLevelCol="1" x14ac:dyDescent="0.2"/>
  <cols>
    <col min="1" max="1" width="5" bestFit="1" customWidth="1"/>
    <col min="2" max="2" width="16.42578125" hidden="1" customWidth="1" outlineLevel="1"/>
    <col min="3" max="3" width="9" bestFit="1" customWidth="1" collapsed="1"/>
    <col min="4" max="4" width="5.42578125" hidden="1" customWidth="1" outlineLevel="1"/>
    <col min="5" max="5" width="41.7109375" hidden="1" customWidth="1" outlineLevel="1"/>
    <col min="6" max="6" width="14.28515625" bestFit="1" customWidth="1" collapsed="1"/>
    <col min="7" max="7" width="9.85546875" bestFit="1" customWidth="1"/>
    <col min="8" max="8" width="10" hidden="1" customWidth="1" outlineLevel="1"/>
    <col min="9" max="9" width="43" hidden="1" customWidth="1" outlineLevel="1"/>
    <col min="10" max="10" width="7.42578125" hidden="1" customWidth="1" outlineLevel="1"/>
    <col min="11" max="11" width="22.5703125" bestFit="1" customWidth="1" collapsed="1"/>
    <col min="12" max="12" width="11.140625" bestFit="1" customWidth="1"/>
    <col min="13" max="13" width="10.140625" bestFit="1" customWidth="1"/>
    <col min="14" max="14" width="11" bestFit="1" customWidth="1"/>
    <col min="15" max="15" width="12.42578125" hidden="1" customWidth="1" outlineLevel="1"/>
    <col min="16" max="16" width="7.42578125" bestFit="1" customWidth="1" collapsed="1"/>
    <col min="17" max="17" width="9" bestFit="1" customWidth="1"/>
    <col min="18" max="18" width="34.42578125" hidden="1" customWidth="1" outlineLevel="1"/>
    <col min="19" max="19" width="7.85546875" customWidth="1" collapsed="1"/>
    <col min="20" max="20" width="8.85546875" hidden="1" customWidth="1" outlineLevel="1"/>
    <col min="21" max="21" width="19.5703125" hidden="1" customWidth="1" outlineLevel="1"/>
    <col min="22" max="22" width="13.85546875" bestFit="1" customWidth="1" collapsed="1"/>
    <col min="23" max="23" width="21.7109375" bestFit="1" customWidth="1"/>
    <col min="24" max="24" width="9" hidden="1" customWidth="1" outlineLevel="1"/>
    <col min="25" max="25" width="7.42578125" hidden="1" customWidth="1" outlineLevel="1"/>
    <col min="26" max="26" width="23.140625" hidden="1" customWidth="1" outlineLevel="1"/>
    <col min="27" max="27" width="9.140625" hidden="1" customWidth="1" outlineLevel="1"/>
    <col min="28" max="28" width="8.140625" bestFit="1" customWidth="1" collapsed="1"/>
    <col min="29" max="30" width="13.28515625" style="14" customWidth="1"/>
  </cols>
  <sheetData>
    <row r="1" spans="1:33" s="11" customFormat="1" ht="7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2" t="s">
        <v>1673</v>
      </c>
      <c r="AD1" s="12" t="s">
        <v>1674</v>
      </c>
      <c r="AE1" s="10" t="s">
        <v>1675</v>
      </c>
      <c r="AF1" s="10" t="s">
        <v>1676</v>
      </c>
      <c r="AG1" s="10" t="s">
        <v>1677</v>
      </c>
    </row>
    <row r="2" spans="1:33" x14ac:dyDescent="0.2">
      <c r="A2" s="8">
        <v>2501</v>
      </c>
      <c r="B2" s="9">
        <v>44073</v>
      </c>
      <c r="C2" s="8">
        <v>30012765</v>
      </c>
      <c r="D2" s="8" t="s">
        <v>74</v>
      </c>
      <c r="E2" s="8" t="s">
        <v>207</v>
      </c>
      <c r="F2" s="8" t="s">
        <v>208</v>
      </c>
      <c r="G2" s="8">
        <v>15018184</v>
      </c>
      <c r="H2" s="8">
        <v>802094825</v>
      </c>
      <c r="I2" s="8" t="s">
        <v>357</v>
      </c>
      <c r="J2" s="8" t="s">
        <v>58</v>
      </c>
      <c r="K2" s="8" t="s">
        <v>496</v>
      </c>
      <c r="L2" s="8" t="s">
        <v>1152</v>
      </c>
      <c r="M2" s="9">
        <v>44059</v>
      </c>
      <c r="N2" s="9">
        <v>44111</v>
      </c>
      <c r="O2" s="8">
        <v>51.304000000000002</v>
      </c>
      <c r="P2" s="8" t="s">
        <v>33</v>
      </c>
      <c r="Q2" s="8" t="s">
        <v>210</v>
      </c>
      <c r="R2" s="8" t="s">
        <v>364</v>
      </c>
      <c r="S2" s="8">
        <v>2</v>
      </c>
      <c r="T2" s="8" t="s">
        <v>72</v>
      </c>
      <c r="U2" s="8" t="s">
        <v>290</v>
      </c>
      <c r="V2" s="8" t="s">
        <v>65</v>
      </c>
      <c r="W2" s="8" t="s">
        <v>1153</v>
      </c>
      <c r="X2" s="8"/>
      <c r="Y2" s="8">
        <v>22</v>
      </c>
      <c r="Z2" s="8" t="s">
        <v>1154</v>
      </c>
      <c r="AA2" s="8" t="s">
        <v>39</v>
      </c>
      <c r="AB2" s="8">
        <v>31</v>
      </c>
      <c r="AC2" s="13">
        <f t="shared" ref="AC2:AD4" si="0">M2</f>
        <v>44059</v>
      </c>
      <c r="AD2" s="13">
        <f t="shared" si="0"/>
        <v>44111</v>
      </c>
      <c r="AE2" s="8">
        <v>0</v>
      </c>
      <c r="AF2" s="8"/>
      <c r="AG2" s="8"/>
    </row>
    <row r="3" spans="1:33" x14ac:dyDescent="0.2">
      <c r="A3" s="8">
        <v>2501</v>
      </c>
      <c r="B3" s="9">
        <v>44058</v>
      </c>
      <c r="C3" s="8">
        <v>30012771</v>
      </c>
      <c r="D3" s="8" t="s">
        <v>74</v>
      </c>
      <c r="E3" s="8" t="s">
        <v>141</v>
      </c>
      <c r="F3" s="8" t="s">
        <v>142</v>
      </c>
      <c r="G3" s="8">
        <v>15018291</v>
      </c>
      <c r="H3" s="8">
        <v>802094852</v>
      </c>
      <c r="I3" s="8" t="s">
        <v>143</v>
      </c>
      <c r="J3" s="8" t="s">
        <v>58</v>
      </c>
      <c r="K3" s="8" t="s">
        <v>496</v>
      </c>
      <c r="L3" s="8" t="s">
        <v>1158</v>
      </c>
      <c r="M3" s="9">
        <v>44059</v>
      </c>
      <c r="N3" s="9">
        <v>44108</v>
      </c>
      <c r="O3" s="8">
        <v>111.33499999999999</v>
      </c>
      <c r="P3" s="8" t="s">
        <v>33</v>
      </c>
      <c r="Q3" s="8" t="s">
        <v>145</v>
      </c>
      <c r="R3" s="8" t="s">
        <v>146</v>
      </c>
      <c r="S3" s="8">
        <v>5</v>
      </c>
      <c r="T3" s="8" t="s">
        <v>61</v>
      </c>
      <c r="U3" s="8" t="s">
        <v>290</v>
      </c>
      <c r="V3" s="8" t="s">
        <v>43</v>
      </c>
      <c r="W3" s="8" t="s">
        <v>1159</v>
      </c>
      <c r="X3" s="8"/>
      <c r="Y3" s="8">
        <v>35</v>
      </c>
      <c r="Z3" s="8"/>
      <c r="AA3" s="8" t="s">
        <v>39</v>
      </c>
      <c r="AB3" s="8">
        <v>31</v>
      </c>
      <c r="AC3" s="13">
        <f t="shared" si="0"/>
        <v>44059</v>
      </c>
      <c r="AD3" s="13">
        <f t="shared" si="0"/>
        <v>44108</v>
      </c>
      <c r="AE3" s="8">
        <v>0</v>
      </c>
      <c r="AF3" s="8"/>
      <c r="AG3" s="8"/>
    </row>
    <row r="4" spans="1:33" hidden="1" x14ac:dyDescent="0.2">
      <c r="A4" s="8">
        <v>2502</v>
      </c>
      <c r="B4" s="9">
        <v>44073</v>
      </c>
      <c r="C4" s="8">
        <v>30012795</v>
      </c>
      <c r="D4" s="8" t="s">
        <v>152</v>
      </c>
      <c r="E4" s="8" t="s">
        <v>523</v>
      </c>
      <c r="F4" s="8" t="s">
        <v>524</v>
      </c>
      <c r="G4" s="8">
        <v>15018290</v>
      </c>
      <c r="H4" s="8">
        <v>802094851</v>
      </c>
      <c r="I4" s="8" t="s">
        <v>202</v>
      </c>
      <c r="J4" s="8" t="s">
        <v>95</v>
      </c>
      <c r="K4" s="8" t="s">
        <v>754</v>
      </c>
      <c r="L4" s="8" t="s">
        <v>755</v>
      </c>
      <c r="M4" s="9">
        <v>44053</v>
      </c>
      <c r="N4" s="9">
        <v>44064</v>
      </c>
      <c r="O4" s="8">
        <v>262.77300000000002</v>
      </c>
      <c r="P4" s="8" t="s">
        <v>492</v>
      </c>
      <c r="Q4" s="8" t="s">
        <v>105</v>
      </c>
      <c r="R4" s="8" t="s">
        <v>525</v>
      </c>
      <c r="S4" s="8">
        <v>11</v>
      </c>
      <c r="T4" s="8" t="s">
        <v>87</v>
      </c>
      <c r="U4" s="8" t="s">
        <v>37</v>
      </c>
      <c r="V4" s="8" t="s">
        <v>43</v>
      </c>
      <c r="W4" s="8" t="s">
        <v>878</v>
      </c>
      <c r="X4" s="8"/>
      <c r="Y4" s="8">
        <v>187</v>
      </c>
      <c r="Z4" s="8"/>
      <c r="AA4" s="8" t="s">
        <v>39</v>
      </c>
      <c r="AB4" s="8">
        <v>31</v>
      </c>
      <c r="AC4" s="13">
        <f t="shared" si="0"/>
        <v>44053</v>
      </c>
      <c r="AD4" s="13">
        <f t="shared" si="0"/>
        <v>44064</v>
      </c>
      <c r="AE4" s="8">
        <v>0</v>
      </c>
      <c r="AF4" s="8">
        <v>0</v>
      </c>
      <c r="AG4" s="8"/>
    </row>
    <row r="5" spans="1:33" hidden="1" x14ac:dyDescent="0.2">
      <c r="A5" s="8">
        <v>2502</v>
      </c>
      <c r="B5" s="9">
        <v>44073</v>
      </c>
      <c r="C5" s="8">
        <v>30012795</v>
      </c>
      <c r="D5" s="8" t="s">
        <v>54</v>
      </c>
      <c r="E5" s="8" t="s">
        <v>879</v>
      </c>
      <c r="F5" s="8" t="s">
        <v>880</v>
      </c>
      <c r="G5" s="8">
        <v>15018292</v>
      </c>
      <c r="H5" s="8">
        <v>802094853</v>
      </c>
      <c r="I5" s="8" t="s">
        <v>883</v>
      </c>
      <c r="J5" s="8" t="s">
        <v>83</v>
      </c>
      <c r="K5" s="8" t="s">
        <v>754</v>
      </c>
      <c r="L5" s="8" t="s">
        <v>755</v>
      </c>
      <c r="M5" s="9">
        <v>44053</v>
      </c>
      <c r="N5" s="9">
        <v>44064</v>
      </c>
      <c r="O5" s="8">
        <v>184.90799999999999</v>
      </c>
      <c r="P5" s="8" t="s">
        <v>492</v>
      </c>
      <c r="Q5" s="8" t="s">
        <v>105</v>
      </c>
      <c r="R5" s="8" t="s">
        <v>106</v>
      </c>
      <c r="S5" s="8">
        <v>8</v>
      </c>
      <c r="T5" s="8" t="s">
        <v>87</v>
      </c>
      <c r="U5" s="8" t="s">
        <v>37</v>
      </c>
      <c r="V5" s="8" t="s">
        <v>43</v>
      </c>
      <c r="W5" s="8" t="s">
        <v>884</v>
      </c>
      <c r="X5" s="8"/>
      <c r="Y5" s="8">
        <v>192</v>
      </c>
      <c r="Z5" s="8" t="s">
        <v>885</v>
      </c>
      <c r="AA5" s="8" t="s">
        <v>39</v>
      </c>
      <c r="AB5" s="8">
        <v>31</v>
      </c>
      <c r="AC5" s="13">
        <f t="shared" ref="AC5:AC6" si="1">M5</f>
        <v>44053</v>
      </c>
      <c r="AD5" s="13">
        <f t="shared" ref="AD5:AD6" si="2">N5</f>
        <v>44064</v>
      </c>
      <c r="AE5" s="8">
        <v>0</v>
      </c>
      <c r="AF5" s="8">
        <v>0</v>
      </c>
      <c r="AG5" s="8"/>
    </row>
    <row r="6" spans="1:33" hidden="1" x14ac:dyDescent="0.2">
      <c r="A6" s="8">
        <v>2502</v>
      </c>
      <c r="B6" s="9">
        <v>44073</v>
      </c>
      <c r="C6" s="8">
        <v>30012795</v>
      </c>
      <c r="D6" s="8" t="s">
        <v>91</v>
      </c>
      <c r="E6" s="8" t="s">
        <v>197</v>
      </c>
      <c r="F6" s="8" t="s">
        <v>198</v>
      </c>
      <c r="G6" s="8">
        <v>15018352</v>
      </c>
      <c r="H6" s="8">
        <v>802094913</v>
      </c>
      <c r="I6" s="8" t="s">
        <v>94</v>
      </c>
      <c r="J6" s="8" t="s">
        <v>95</v>
      </c>
      <c r="K6" s="8" t="s">
        <v>754</v>
      </c>
      <c r="L6" s="8" t="s">
        <v>755</v>
      </c>
      <c r="M6" s="9">
        <v>44053</v>
      </c>
      <c r="N6" s="9">
        <v>44064</v>
      </c>
      <c r="O6" s="8">
        <v>95.682000000000002</v>
      </c>
      <c r="P6" s="8" t="s">
        <v>492</v>
      </c>
      <c r="Q6" s="8" t="s">
        <v>105</v>
      </c>
      <c r="R6" s="8" t="s">
        <v>199</v>
      </c>
      <c r="S6" s="8">
        <v>4</v>
      </c>
      <c r="T6" s="8" t="s">
        <v>87</v>
      </c>
      <c r="U6" s="8" t="s">
        <v>37</v>
      </c>
      <c r="V6" s="8" t="s">
        <v>43</v>
      </c>
      <c r="W6" s="8" t="s">
        <v>888</v>
      </c>
      <c r="X6" s="8"/>
      <c r="Y6" s="8">
        <v>68</v>
      </c>
      <c r="Z6" s="8" t="s">
        <v>539</v>
      </c>
      <c r="AA6" s="8" t="s">
        <v>39</v>
      </c>
      <c r="AB6" s="8">
        <v>31</v>
      </c>
      <c r="AC6" s="13">
        <f t="shared" si="1"/>
        <v>44053</v>
      </c>
      <c r="AD6" s="13">
        <f t="shared" si="2"/>
        <v>44064</v>
      </c>
      <c r="AE6" s="8">
        <v>0</v>
      </c>
      <c r="AF6" s="8">
        <v>0</v>
      </c>
      <c r="AG6" s="8"/>
    </row>
    <row r="7" spans="1:33" hidden="1" x14ac:dyDescent="0.2">
      <c r="A7" s="8">
        <v>2504</v>
      </c>
      <c r="B7" s="9">
        <v>44042</v>
      </c>
      <c r="C7" s="8">
        <v>30012658</v>
      </c>
      <c r="D7" s="8" t="s">
        <v>91</v>
      </c>
      <c r="E7" s="8" t="s">
        <v>347</v>
      </c>
      <c r="F7" s="8" t="s">
        <v>348</v>
      </c>
      <c r="G7" s="8">
        <v>15017736</v>
      </c>
      <c r="H7" s="8">
        <v>802093675</v>
      </c>
      <c r="I7" s="8" t="s">
        <v>349</v>
      </c>
      <c r="J7" s="8" t="s">
        <v>58</v>
      </c>
      <c r="K7" s="8" t="s">
        <v>245</v>
      </c>
      <c r="L7" s="8" t="s">
        <v>547</v>
      </c>
      <c r="M7" s="9">
        <v>44045</v>
      </c>
      <c r="N7" s="9">
        <v>44057</v>
      </c>
      <c r="O7" s="8">
        <v>103.4</v>
      </c>
      <c r="P7" s="8" t="s">
        <v>48</v>
      </c>
      <c r="Q7" s="8" t="s">
        <v>100</v>
      </c>
      <c r="R7" s="8" t="s">
        <v>101</v>
      </c>
      <c r="S7" s="8">
        <v>4</v>
      </c>
      <c r="T7" s="8" t="s">
        <v>72</v>
      </c>
      <c r="U7" s="8" t="s">
        <v>37</v>
      </c>
      <c r="V7" s="8" t="s">
        <v>155</v>
      </c>
      <c r="W7" s="8" t="s">
        <v>548</v>
      </c>
      <c r="X7" s="8"/>
      <c r="Y7" s="8">
        <v>44</v>
      </c>
      <c r="Z7" s="8" t="s">
        <v>549</v>
      </c>
      <c r="AA7" s="8" t="s">
        <v>39</v>
      </c>
      <c r="AB7" s="8">
        <v>31</v>
      </c>
      <c r="AC7" s="13">
        <v>44046.25</v>
      </c>
      <c r="AD7" s="13">
        <f>N7</f>
        <v>44057</v>
      </c>
      <c r="AE7" s="8">
        <v>1</v>
      </c>
      <c r="AF7" s="8"/>
      <c r="AG7" s="8" t="s">
        <v>1681</v>
      </c>
    </row>
    <row r="8" spans="1:33" x14ac:dyDescent="0.2">
      <c r="A8" s="8">
        <v>2501</v>
      </c>
      <c r="B8" s="9">
        <v>44073</v>
      </c>
      <c r="C8" s="8">
        <v>30012767</v>
      </c>
      <c r="D8" s="8" t="s">
        <v>74</v>
      </c>
      <c r="E8" s="8" t="s">
        <v>207</v>
      </c>
      <c r="F8" s="8" t="s">
        <v>208</v>
      </c>
      <c r="G8" s="8">
        <v>15018187</v>
      </c>
      <c r="H8" s="8">
        <v>802094828</v>
      </c>
      <c r="I8" s="8" t="s">
        <v>291</v>
      </c>
      <c r="J8" s="8" t="s">
        <v>58</v>
      </c>
      <c r="K8" s="8" t="s">
        <v>573</v>
      </c>
      <c r="L8" s="8" t="s">
        <v>1588</v>
      </c>
      <c r="M8" s="9">
        <v>44073</v>
      </c>
      <c r="N8" s="9">
        <v>44125</v>
      </c>
      <c r="O8" s="8">
        <v>51.28</v>
      </c>
      <c r="P8" s="8" t="s">
        <v>33</v>
      </c>
      <c r="Q8" s="8" t="s">
        <v>210</v>
      </c>
      <c r="R8" s="8" t="s">
        <v>364</v>
      </c>
      <c r="S8" s="8">
        <v>2</v>
      </c>
      <c r="T8" s="8" t="s">
        <v>72</v>
      </c>
      <c r="U8" s="8" t="s">
        <v>290</v>
      </c>
      <c r="V8" s="8" t="s">
        <v>65</v>
      </c>
      <c r="W8" s="8" t="s">
        <v>1651</v>
      </c>
      <c r="X8" s="8"/>
      <c r="Y8" s="8">
        <v>20</v>
      </c>
      <c r="Z8" s="8" t="s">
        <v>1466</v>
      </c>
      <c r="AA8" s="8" t="s">
        <v>39</v>
      </c>
      <c r="AB8" s="8">
        <v>31</v>
      </c>
      <c r="AC8" s="13">
        <v>44073.916666666657</v>
      </c>
      <c r="AD8" s="13">
        <f>N8</f>
        <v>44125</v>
      </c>
      <c r="AE8" s="8">
        <v>0</v>
      </c>
      <c r="AF8" s="8"/>
      <c r="AG8" s="8"/>
    </row>
    <row r="9" spans="1:33" hidden="1" x14ac:dyDescent="0.2">
      <c r="A9" s="8">
        <v>2504</v>
      </c>
      <c r="B9" s="9">
        <v>44027</v>
      </c>
      <c r="C9" s="8">
        <v>30012658</v>
      </c>
      <c r="D9" s="8" t="s">
        <v>91</v>
      </c>
      <c r="E9" s="8" t="s">
        <v>350</v>
      </c>
      <c r="F9" s="8" t="s">
        <v>351</v>
      </c>
      <c r="G9" s="8">
        <v>15017809</v>
      </c>
      <c r="H9" s="8">
        <v>802093684</v>
      </c>
      <c r="I9" s="8" t="s">
        <v>77</v>
      </c>
      <c r="J9" s="8" t="s">
        <v>32</v>
      </c>
      <c r="K9" s="8" t="s">
        <v>245</v>
      </c>
      <c r="L9" s="8" t="s">
        <v>547</v>
      </c>
      <c r="M9" s="9">
        <v>44045</v>
      </c>
      <c r="N9" s="9">
        <v>44057</v>
      </c>
      <c r="O9" s="8">
        <v>99.679000000000002</v>
      </c>
      <c r="P9" s="8" t="s">
        <v>48</v>
      </c>
      <c r="Q9" s="8" t="s">
        <v>100</v>
      </c>
      <c r="R9" s="8" t="s">
        <v>101</v>
      </c>
      <c r="S9" s="8">
        <v>4</v>
      </c>
      <c r="T9" s="8" t="s">
        <v>36</v>
      </c>
      <c r="U9" s="8" t="s">
        <v>37</v>
      </c>
      <c r="V9" s="8" t="s">
        <v>155</v>
      </c>
      <c r="W9" s="8" t="s">
        <v>552</v>
      </c>
      <c r="X9" s="8"/>
      <c r="Y9" s="8">
        <v>96</v>
      </c>
      <c r="Z9" s="8"/>
      <c r="AA9" s="8" t="s">
        <v>39</v>
      </c>
      <c r="AB9" s="8">
        <v>31</v>
      </c>
      <c r="AC9" s="13">
        <v>44046.25</v>
      </c>
      <c r="AD9" s="13">
        <f t="shared" ref="AD9:AD15" si="3">N9</f>
        <v>44057</v>
      </c>
      <c r="AE9" s="8">
        <v>1</v>
      </c>
      <c r="AF9" s="8"/>
      <c r="AG9" s="8" t="s">
        <v>1681</v>
      </c>
    </row>
    <row r="10" spans="1:33" hidden="1" x14ac:dyDescent="0.2">
      <c r="A10" s="8">
        <v>2504</v>
      </c>
      <c r="B10" s="9">
        <v>44032</v>
      </c>
      <c r="C10" s="8">
        <v>30012658</v>
      </c>
      <c r="D10" s="8" t="s">
        <v>91</v>
      </c>
      <c r="E10" s="8" t="s">
        <v>553</v>
      </c>
      <c r="F10" s="8" t="s">
        <v>554</v>
      </c>
      <c r="G10" s="8">
        <v>15017811</v>
      </c>
      <c r="H10" s="8">
        <v>802093685</v>
      </c>
      <c r="I10" s="8" t="s">
        <v>77</v>
      </c>
      <c r="J10" s="8" t="s">
        <v>32</v>
      </c>
      <c r="K10" s="8" t="s">
        <v>245</v>
      </c>
      <c r="L10" s="8" t="s">
        <v>547</v>
      </c>
      <c r="M10" s="9">
        <v>44045</v>
      </c>
      <c r="N10" s="9">
        <v>44057</v>
      </c>
      <c r="O10" s="8">
        <v>299.24599999999998</v>
      </c>
      <c r="P10" s="8" t="s">
        <v>48</v>
      </c>
      <c r="Q10" s="8" t="s">
        <v>100</v>
      </c>
      <c r="R10" s="8" t="s">
        <v>101</v>
      </c>
      <c r="S10" s="8">
        <v>12</v>
      </c>
      <c r="T10" s="8" t="s">
        <v>36</v>
      </c>
      <c r="U10" s="8" t="s">
        <v>37</v>
      </c>
      <c r="V10" s="8" t="s">
        <v>155</v>
      </c>
      <c r="W10" s="8" t="s">
        <v>557</v>
      </c>
      <c r="X10" s="8"/>
      <c r="Y10" s="8">
        <v>288</v>
      </c>
      <c r="Z10" s="8"/>
      <c r="AA10" s="8" t="s">
        <v>39</v>
      </c>
      <c r="AB10" s="8">
        <v>31</v>
      </c>
      <c r="AC10" s="13">
        <v>44046.25</v>
      </c>
      <c r="AD10" s="13">
        <f t="shared" si="3"/>
        <v>44057</v>
      </c>
      <c r="AE10" s="8">
        <v>1</v>
      </c>
      <c r="AF10" s="8"/>
      <c r="AG10" s="8" t="s">
        <v>1681</v>
      </c>
    </row>
    <row r="11" spans="1:33" hidden="1" x14ac:dyDescent="0.2">
      <c r="A11" s="8">
        <v>2504</v>
      </c>
      <c r="B11" s="9">
        <v>44032</v>
      </c>
      <c r="C11" s="8">
        <v>30012658</v>
      </c>
      <c r="D11" s="8" t="s">
        <v>102</v>
      </c>
      <c r="E11" s="8" t="s">
        <v>398</v>
      </c>
      <c r="F11" s="8" t="s">
        <v>399</v>
      </c>
      <c r="G11" s="8">
        <v>15017886</v>
      </c>
      <c r="H11" s="8">
        <v>802093854</v>
      </c>
      <c r="I11" s="8" t="s">
        <v>400</v>
      </c>
      <c r="J11" s="8" t="s">
        <v>58</v>
      </c>
      <c r="K11" s="8" t="s">
        <v>245</v>
      </c>
      <c r="L11" s="8" t="s">
        <v>547</v>
      </c>
      <c r="M11" s="9">
        <v>44045</v>
      </c>
      <c r="N11" s="9">
        <v>44065</v>
      </c>
      <c r="O11" s="8">
        <v>76.841999999999999</v>
      </c>
      <c r="P11" s="8" t="s">
        <v>48</v>
      </c>
      <c r="Q11" s="8" t="s">
        <v>401</v>
      </c>
      <c r="R11" s="8" t="s">
        <v>402</v>
      </c>
      <c r="S11" s="8">
        <v>4</v>
      </c>
      <c r="T11" s="8" t="s">
        <v>140</v>
      </c>
      <c r="U11" s="8" t="s">
        <v>37</v>
      </c>
      <c r="V11" s="8" t="s">
        <v>155</v>
      </c>
      <c r="W11" s="8" t="s">
        <v>560</v>
      </c>
      <c r="X11" s="8"/>
      <c r="Y11" s="8">
        <v>40</v>
      </c>
      <c r="Z11" s="8" t="s">
        <v>561</v>
      </c>
      <c r="AA11" s="8" t="s">
        <v>39</v>
      </c>
      <c r="AB11" s="8">
        <v>31</v>
      </c>
      <c r="AC11" s="13">
        <v>44046.25</v>
      </c>
      <c r="AD11" s="13">
        <f t="shared" si="3"/>
        <v>44065</v>
      </c>
      <c r="AE11" s="8">
        <v>1</v>
      </c>
      <c r="AF11" s="8"/>
      <c r="AG11" s="8" t="s">
        <v>1681</v>
      </c>
    </row>
    <row r="12" spans="1:33" hidden="1" x14ac:dyDescent="0.2">
      <c r="A12" s="8">
        <v>2504</v>
      </c>
      <c r="B12" s="9">
        <v>44017</v>
      </c>
      <c r="C12" s="8">
        <v>30012658</v>
      </c>
      <c r="D12" s="8" t="s">
        <v>44</v>
      </c>
      <c r="E12" s="8" t="s">
        <v>45</v>
      </c>
      <c r="F12" s="8" t="s">
        <v>299</v>
      </c>
      <c r="G12" s="8">
        <v>15017894</v>
      </c>
      <c r="H12" s="8">
        <v>802093855</v>
      </c>
      <c r="I12" s="8" t="s">
        <v>300</v>
      </c>
      <c r="J12" s="8" t="s">
        <v>58</v>
      </c>
      <c r="K12" s="8" t="s">
        <v>245</v>
      </c>
      <c r="L12" s="8" t="s">
        <v>547</v>
      </c>
      <c r="M12" s="9">
        <v>44045</v>
      </c>
      <c r="N12" s="9">
        <v>44068</v>
      </c>
      <c r="O12" s="8">
        <v>20.347999999999999</v>
      </c>
      <c r="P12" s="8" t="s">
        <v>48</v>
      </c>
      <c r="Q12" s="8" t="s">
        <v>85</v>
      </c>
      <c r="R12" s="8" t="s">
        <v>301</v>
      </c>
      <c r="S12" s="8">
        <v>1</v>
      </c>
      <c r="T12" s="8" t="s">
        <v>42</v>
      </c>
      <c r="U12" s="8" t="s">
        <v>37</v>
      </c>
      <c r="V12" s="8" t="s">
        <v>155</v>
      </c>
      <c r="W12" s="8" t="s">
        <v>564</v>
      </c>
      <c r="X12" s="8"/>
      <c r="Y12" s="8">
        <v>8</v>
      </c>
      <c r="Z12" s="8" t="s">
        <v>53</v>
      </c>
      <c r="AA12" s="8" t="s">
        <v>39</v>
      </c>
      <c r="AB12" s="8">
        <v>31</v>
      </c>
      <c r="AC12" s="13">
        <v>44046.25</v>
      </c>
      <c r="AD12" s="13">
        <f t="shared" si="3"/>
        <v>44068</v>
      </c>
      <c r="AE12" s="8">
        <v>1</v>
      </c>
      <c r="AF12" s="8"/>
      <c r="AG12" s="8" t="s">
        <v>1681</v>
      </c>
    </row>
    <row r="13" spans="1:33" hidden="1" x14ac:dyDescent="0.2">
      <c r="A13" s="8">
        <v>2504</v>
      </c>
      <c r="B13" s="9">
        <v>44017</v>
      </c>
      <c r="C13" s="8">
        <v>30012658</v>
      </c>
      <c r="D13" s="8" t="s">
        <v>44</v>
      </c>
      <c r="E13" s="8" t="s">
        <v>45</v>
      </c>
      <c r="F13" s="8" t="s">
        <v>299</v>
      </c>
      <c r="G13" s="8">
        <v>15018094</v>
      </c>
      <c r="H13" s="8">
        <v>802094168</v>
      </c>
      <c r="I13" s="8" t="s">
        <v>567</v>
      </c>
      <c r="J13" s="8" t="s">
        <v>58</v>
      </c>
      <c r="K13" s="8" t="s">
        <v>245</v>
      </c>
      <c r="L13" s="8" t="s">
        <v>547</v>
      </c>
      <c r="M13" s="9">
        <v>44045</v>
      </c>
      <c r="N13" s="9">
        <v>44068</v>
      </c>
      <c r="O13" s="8">
        <v>102.004</v>
      </c>
      <c r="P13" s="8" t="s">
        <v>48</v>
      </c>
      <c r="Q13" s="8" t="s">
        <v>85</v>
      </c>
      <c r="R13" s="8" t="s">
        <v>301</v>
      </c>
      <c r="S13" s="8">
        <v>5</v>
      </c>
      <c r="T13" s="8" t="s">
        <v>42</v>
      </c>
      <c r="U13" s="8" t="s">
        <v>37</v>
      </c>
      <c r="V13" s="8" t="s">
        <v>155</v>
      </c>
      <c r="W13" s="8" t="s">
        <v>568</v>
      </c>
      <c r="X13" s="8"/>
      <c r="Y13" s="8">
        <v>50</v>
      </c>
      <c r="Z13" s="8" t="s">
        <v>53</v>
      </c>
      <c r="AA13" s="8" t="s">
        <v>39</v>
      </c>
      <c r="AB13" s="8">
        <v>31</v>
      </c>
      <c r="AC13" s="13">
        <v>44046.25</v>
      </c>
      <c r="AD13" s="13">
        <f t="shared" si="3"/>
        <v>44068</v>
      </c>
      <c r="AE13" s="8">
        <v>1</v>
      </c>
      <c r="AF13" s="8"/>
      <c r="AG13" s="8" t="s">
        <v>1681</v>
      </c>
    </row>
    <row r="14" spans="1:33" hidden="1" x14ac:dyDescent="0.2">
      <c r="A14" s="8">
        <v>2504</v>
      </c>
      <c r="B14" s="9">
        <v>44042</v>
      </c>
      <c r="C14" s="8">
        <v>30012622</v>
      </c>
      <c r="D14" s="8" t="s">
        <v>74</v>
      </c>
      <c r="E14" s="8" t="s">
        <v>75</v>
      </c>
      <c r="F14" s="8" t="s">
        <v>76</v>
      </c>
      <c r="G14" s="8">
        <v>15017813</v>
      </c>
      <c r="H14" s="8">
        <v>802093686</v>
      </c>
      <c r="I14" s="8" t="s">
        <v>77</v>
      </c>
      <c r="J14" s="8" t="s">
        <v>32</v>
      </c>
      <c r="K14" s="8" t="s">
        <v>761</v>
      </c>
      <c r="L14" s="8" t="s">
        <v>762</v>
      </c>
      <c r="M14" s="9">
        <v>44045</v>
      </c>
      <c r="N14" s="9">
        <v>44085</v>
      </c>
      <c r="O14" s="8">
        <v>299.22000000000003</v>
      </c>
      <c r="P14" s="8" t="s">
        <v>48</v>
      </c>
      <c r="Q14" s="8" t="s">
        <v>78</v>
      </c>
      <c r="R14" s="8" t="s">
        <v>79</v>
      </c>
      <c r="S14" s="8">
        <v>12</v>
      </c>
      <c r="T14" s="8" t="s">
        <v>36</v>
      </c>
      <c r="U14" s="8" t="s">
        <v>37</v>
      </c>
      <c r="V14" s="8" t="s">
        <v>73</v>
      </c>
      <c r="W14" s="8" t="s">
        <v>633</v>
      </c>
      <c r="X14" s="8"/>
      <c r="Y14" s="8">
        <v>288</v>
      </c>
      <c r="Z14" s="8"/>
      <c r="AA14" s="8" t="s">
        <v>39</v>
      </c>
      <c r="AB14" s="8">
        <v>31</v>
      </c>
      <c r="AC14" s="13">
        <v>44046.001388888893</v>
      </c>
      <c r="AD14" s="13">
        <f t="shared" si="3"/>
        <v>44085</v>
      </c>
      <c r="AE14" s="8">
        <v>1</v>
      </c>
      <c r="AF14" s="8"/>
      <c r="AG14" s="8" t="s">
        <v>1681</v>
      </c>
    </row>
    <row r="15" spans="1:33" hidden="1" x14ac:dyDescent="0.2">
      <c r="A15" s="8">
        <v>2504</v>
      </c>
      <c r="B15" s="9">
        <v>44042</v>
      </c>
      <c r="C15" s="8">
        <v>30012622</v>
      </c>
      <c r="D15" s="8" t="s">
        <v>74</v>
      </c>
      <c r="E15" s="8" t="s">
        <v>75</v>
      </c>
      <c r="F15" s="8" t="s">
        <v>76</v>
      </c>
      <c r="G15" s="8">
        <v>15017814</v>
      </c>
      <c r="H15" s="8">
        <v>802093687</v>
      </c>
      <c r="I15" s="8" t="s">
        <v>77</v>
      </c>
      <c r="J15" s="8" t="s">
        <v>32</v>
      </c>
      <c r="K15" s="8" t="s">
        <v>761</v>
      </c>
      <c r="L15" s="8" t="s">
        <v>762</v>
      </c>
      <c r="M15" s="9">
        <v>44045</v>
      </c>
      <c r="N15" s="9">
        <v>44085</v>
      </c>
      <c r="O15" s="8">
        <v>223.82599999999999</v>
      </c>
      <c r="P15" s="8" t="s">
        <v>48</v>
      </c>
      <c r="Q15" s="8" t="s">
        <v>78</v>
      </c>
      <c r="R15" s="8" t="s">
        <v>79</v>
      </c>
      <c r="S15" s="8">
        <v>9</v>
      </c>
      <c r="T15" s="8" t="s">
        <v>36</v>
      </c>
      <c r="U15" s="8" t="s">
        <v>37</v>
      </c>
      <c r="V15" s="8" t="s">
        <v>73</v>
      </c>
      <c r="W15" s="8" t="s">
        <v>636</v>
      </c>
      <c r="X15" s="8"/>
      <c r="Y15" s="8">
        <v>216</v>
      </c>
      <c r="Z15" s="8"/>
      <c r="AA15" s="8" t="s">
        <v>39</v>
      </c>
      <c r="AB15" s="8">
        <v>31</v>
      </c>
      <c r="AC15" s="13">
        <v>44046.001388888893</v>
      </c>
      <c r="AD15" s="13">
        <f t="shared" si="3"/>
        <v>44085</v>
      </c>
      <c r="AE15" s="8">
        <v>1</v>
      </c>
      <c r="AF15" s="8"/>
      <c r="AG15" s="8" t="s">
        <v>1681</v>
      </c>
    </row>
    <row r="16" spans="1:33" hidden="1" x14ac:dyDescent="0.2">
      <c r="A16" s="8">
        <v>2504</v>
      </c>
      <c r="B16" s="9">
        <v>44017</v>
      </c>
      <c r="C16" s="8">
        <v>30012733</v>
      </c>
      <c r="D16" s="8" t="s">
        <v>44</v>
      </c>
      <c r="E16" s="8" t="s">
        <v>45</v>
      </c>
      <c r="F16" s="8" t="s">
        <v>46</v>
      </c>
      <c r="G16" s="8">
        <v>15018097</v>
      </c>
      <c r="H16" s="8">
        <v>802094171</v>
      </c>
      <c r="I16" s="8" t="s">
        <v>708</v>
      </c>
      <c r="J16" s="8" t="s">
        <v>47</v>
      </c>
      <c r="K16" s="8" t="s">
        <v>257</v>
      </c>
      <c r="L16" s="8" t="s">
        <v>622</v>
      </c>
      <c r="M16" s="9">
        <v>44045</v>
      </c>
      <c r="N16" s="9">
        <v>44070</v>
      </c>
      <c r="O16" s="8">
        <v>30.38</v>
      </c>
      <c r="P16" s="8" t="s">
        <v>48</v>
      </c>
      <c r="Q16" s="8" t="s">
        <v>49</v>
      </c>
      <c r="R16" s="8" t="s">
        <v>50</v>
      </c>
      <c r="S16" s="8">
        <v>3</v>
      </c>
      <c r="T16" s="8" t="s">
        <v>51</v>
      </c>
      <c r="U16" s="8" t="s">
        <v>37</v>
      </c>
      <c r="V16" s="8" t="s">
        <v>43</v>
      </c>
      <c r="W16" s="8" t="s">
        <v>709</v>
      </c>
      <c r="X16" s="8"/>
      <c r="Y16" s="8">
        <v>3</v>
      </c>
      <c r="Z16" s="8" t="s">
        <v>53</v>
      </c>
      <c r="AA16" s="8" t="s">
        <v>39</v>
      </c>
      <c r="AB16" s="8">
        <v>31</v>
      </c>
      <c r="AC16" s="13">
        <v>44047.583333333343</v>
      </c>
      <c r="AD16" s="13">
        <v>44073</v>
      </c>
      <c r="AE16" s="8">
        <v>2</v>
      </c>
      <c r="AF16" s="8">
        <v>3</v>
      </c>
      <c r="AG16" s="8" t="s">
        <v>1681</v>
      </c>
    </row>
    <row r="17" spans="1:33" hidden="1" x14ac:dyDescent="0.2">
      <c r="A17" s="8">
        <v>2504</v>
      </c>
      <c r="B17" s="9">
        <v>44017</v>
      </c>
      <c r="C17" s="8">
        <v>30012733</v>
      </c>
      <c r="D17" s="8" t="s">
        <v>44</v>
      </c>
      <c r="E17" s="8" t="s">
        <v>45</v>
      </c>
      <c r="F17" s="8" t="s">
        <v>46</v>
      </c>
      <c r="G17" s="8">
        <v>15018098</v>
      </c>
      <c r="H17" s="8">
        <v>802094172</v>
      </c>
      <c r="I17" s="8" t="s">
        <v>712</v>
      </c>
      <c r="J17" s="8" t="s">
        <v>47</v>
      </c>
      <c r="K17" s="8" t="s">
        <v>257</v>
      </c>
      <c r="L17" s="8" t="s">
        <v>622</v>
      </c>
      <c r="M17" s="9">
        <v>44045</v>
      </c>
      <c r="N17" s="9">
        <v>44070</v>
      </c>
      <c r="O17" s="8">
        <v>30.36</v>
      </c>
      <c r="P17" s="8" t="s">
        <v>48</v>
      </c>
      <c r="Q17" s="8" t="s">
        <v>49</v>
      </c>
      <c r="R17" s="8" t="s">
        <v>50</v>
      </c>
      <c r="S17" s="8">
        <v>3</v>
      </c>
      <c r="T17" s="8" t="s">
        <v>51</v>
      </c>
      <c r="U17" s="8" t="s">
        <v>37</v>
      </c>
      <c r="V17" s="8" t="s">
        <v>43</v>
      </c>
      <c r="W17" s="8" t="s">
        <v>709</v>
      </c>
      <c r="X17" s="8"/>
      <c r="Y17" s="8">
        <v>3</v>
      </c>
      <c r="Z17" s="8" t="s">
        <v>53</v>
      </c>
      <c r="AA17" s="8" t="s">
        <v>39</v>
      </c>
      <c r="AB17" s="8">
        <v>31</v>
      </c>
      <c r="AC17" s="13">
        <v>44047.583333333343</v>
      </c>
      <c r="AD17" s="13">
        <v>44073</v>
      </c>
      <c r="AE17" s="8">
        <v>2</v>
      </c>
      <c r="AF17" s="8">
        <v>3</v>
      </c>
      <c r="AG17" s="8" t="s">
        <v>1681</v>
      </c>
    </row>
    <row r="18" spans="1:33" hidden="1" x14ac:dyDescent="0.2">
      <c r="A18" s="8">
        <v>2504</v>
      </c>
      <c r="B18" s="9">
        <v>44043</v>
      </c>
      <c r="C18" s="8">
        <v>30012704</v>
      </c>
      <c r="D18" s="8" t="s">
        <v>62</v>
      </c>
      <c r="E18" s="8" t="s">
        <v>294</v>
      </c>
      <c r="F18" s="8" t="s">
        <v>295</v>
      </c>
      <c r="G18" s="8">
        <v>15017991</v>
      </c>
      <c r="H18" s="8">
        <v>802094010</v>
      </c>
      <c r="I18" s="8" t="s">
        <v>77</v>
      </c>
      <c r="J18" s="8" t="s">
        <v>32</v>
      </c>
      <c r="K18" s="8" t="s">
        <v>293</v>
      </c>
      <c r="L18" s="8" t="s">
        <v>512</v>
      </c>
      <c r="M18" s="9">
        <v>44045</v>
      </c>
      <c r="N18" s="9">
        <v>44063</v>
      </c>
      <c r="O18" s="8">
        <v>99.563999999999993</v>
      </c>
      <c r="P18" s="8" t="s">
        <v>48</v>
      </c>
      <c r="Q18" s="8" t="s">
        <v>59</v>
      </c>
      <c r="R18" s="8" t="s">
        <v>60</v>
      </c>
      <c r="S18" s="8">
        <v>4</v>
      </c>
      <c r="T18" s="8" t="s">
        <v>36</v>
      </c>
      <c r="U18" s="8" t="s">
        <v>37</v>
      </c>
      <c r="V18" s="8" t="s">
        <v>52</v>
      </c>
      <c r="W18" s="8" t="s">
        <v>614</v>
      </c>
      <c r="X18" s="8"/>
      <c r="Y18" s="8">
        <v>96</v>
      </c>
      <c r="Z18" s="8" t="s">
        <v>615</v>
      </c>
      <c r="AA18" s="8" t="s">
        <v>39</v>
      </c>
      <c r="AB18" s="8">
        <v>31</v>
      </c>
      <c r="AC18" s="13">
        <v>44045.082638888889</v>
      </c>
      <c r="AD18" s="13">
        <f>N18</f>
        <v>44063</v>
      </c>
      <c r="AE18" s="8">
        <v>0</v>
      </c>
      <c r="AF18" s="8"/>
      <c r="AG18" s="8"/>
    </row>
    <row r="19" spans="1:33" hidden="1" x14ac:dyDescent="0.2">
      <c r="A19" s="8">
        <v>2504</v>
      </c>
      <c r="B19" s="9">
        <v>44043</v>
      </c>
      <c r="C19" s="8">
        <v>30012704</v>
      </c>
      <c r="D19" s="8" t="s">
        <v>62</v>
      </c>
      <c r="E19" s="8" t="s">
        <v>296</v>
      </c>
      <c r="F19" s="8" t="s">
        <v>297</v>
      </c>
      <c r="G19" s="8">
        <v>15018013</v>
      </c>
      <c r="H19" s="8">
        <v>802094011</v>
      </c>
      <c r="I19" s="8" t="s">
        <v>298</v>
      </c>
      <c r="J19" s="8" t="s">
        <v>58</v>
      </c>
      <c r="K19" s="8" t="s">
        <v>293</v>
      </c>
      <c r="L19" s="8" t="s">
        <v>512</v>
      </c>
      <c r="M19" s="9">
        <v>44045</v>
      </c>
      <c r="N19" s="9">
        <v>44063</v>
      </c>
      <c r="O19" s="8">
        <v>47.188000000000002</v>
      </c>
      <c r="P19" s="8" t="s">
        <v>48</v>
      </c>
      <c r="Q19" s="8" t="s">
        <v>59</v>
      </c>
      <c r="R19" s="8" t="s">
        <v>60</v>
      </c>
      <c r="S19" s="8">
        <v>2</v>
      </c>
      <c r="T19" s="8" t="s">
        <v>61</v>
      </c>
      <c r="U19" s="8" t="s">
        <v>37</v>
      </c>
      <c r="V19" s="8" t="s">
        <v>52</v>
      </c>
      <c r="W19" s="8" t="s">
        <v>618</v>
      </c>
      <c r="X19" s="8"/>
      <c r="Y19" s="8">
        <v>18</v>
      </c>
      <c r="Z19" s="8" t="s">
        <v>619</v>
      </c>
      <c r="AA19" s="8" t="s">
        <v>39</v>
      </c>
      <c r="AB19" s="8">
        <v>31</v>
      </c>
      <c r="AC19" s="13">
        <v>44045.082638888889</v>
      </c>
      <c r="AD19" s="13">
        <f>N19</f>
        <v>44063</v>
      </c>
      <c r="AE19" s="8">
        <v>0</v>
      </c>
      <c r="AF19" s="8"/>
      <c r="AG19" s="8"/>
    </row>
    <row r="20" spans="1:33" hidden="1" x14ac:dyDescent="0.2">
      <c r="A20" s="8">
        <v>2504</v>
      </c>
      <c r="B20" s="9">
        <v>44042</v>
      </c>
      <c r="C20" s="8">
        <v>30012702</v>
      </c>
      <c r="D20" s="8" t="s">
        <v>28</v>
      </c>
      <c r="E20" s="8" t="s">
        <v>29</v>
      </c>
      <c r="F20" s="8" t="s">
        <v>397</v>
      </c>
      <c r="G20" s="8">
        <v>15017938</v>
      </c>
      <c r="H20" s="8">
        <v>802093861</v>
      </c>
      <c r="I20" s="8" t="s">
        <v>77</v>
      </c>
      <c r="J20" s="8" t="s">
        <v>32</v>
      </c>
      <c r="K20" s="8" t="s">
        <v>260</v>
      </c>
      <c r="L20" s="8" t="s">
        <v>518</v>
      </c>
      <c r="M20" s="9">
        <v>44045</v>
      </c>
      <c r="N20" s="9">
        <v>44059</v>
      </c>
      <c r="O20" s="8">
        <v>498.19200000000001</v>
      </c>
      <c r="P20" s="8" t="s">
        <v>48</v>
      </c>
      <c r="Q20" s="8" t="s">
        <v>405</v>
      </c>
      <c r="R20" s="8" t="s">
        <v>406</v>
      </c>
      <c r="S20" s="8">
        <v>20</v>
      </c>
      <c r="T20" s="8" t="s">
        <v>36</v>
      </c>
      <c r="U20" s="8" t="s">
        <v>37</v>
      </c>
      <c r="V20" s="8" t="s">
        <v>241</v>
      </c>
      <c r="W20" s="8" t="s">
        <v>657</v>
      </c>
      <c r="X20" s="8"/>
      <c r="Y20" s="8">
        <v>480</v>
      </c>
      <c r="Z20" s="8"/>
      <c r="AA20" s="8" t="s">
        <v>39</v>
      </c>
      <c r="AB20" s="8">
        <v>31</v>
      </c>
      <c r="AC20" s="13">
        <v>44046.379166666673</v>
      </c>
      <c r="AD20" s="13">
        <f>N20</f>
        <v>44059</v>
      </c>
      <c r="AE20" s="8">
        <v>1</v>
      </c>
      <c r="AF20" s="8"/>
      <c r="AG20" s="8" t="s">
        <v>1681</v>
      </c>
    </row>
    <row r="21" spans="1:33" hidden="1" x14ac:dyDescent="0.2">
      <c r="A21" s="8">
        <v>2504</v>
      </c>
      <c r="B21" s="9">
        <v>44042</v>
      </c>
      <c r="C21" s="8">
        <v>30012702</v>
      </c>
      <c r="D21" s="8" t="s">
        <v>28</v>
      </c>
      <c r="E21" s="8" t="s">
        <v>29</v>
      </c>
      <c r="F21" s="8" t="s">
        <v>397</v>
      </c>
      <c r="G21" s="8">
        <v>15017939</v>
      </c>
      <c r="H21" s="8">
        <v>802093862</v>
      </c>
      <c r="I21" s="8" t="s">
        <v>77</v>
      </c>
      <c r="J21" s="8" t="s">
        <v>32</v>
      </c>
      <c r="K21" s="8" t="s">
        <v>260</v>
      </c>
      <c r="L21" s="8" t="s">
        <v>518</v>
      </c>
      <c r="M21" s="9">
        <v>44045</v>
      </c>
      <c r="N21" s="9">
        <v>44059</v>
      </c>
      <c r="O21" s="8">
        <v>497.62299999999999</v>
      </c>
      <c r="P21" s="8" t="s">
        <v>48</v>
      </c>
      <c r="Q21" s="8" t="s">
        <v>405</v>
      </c>
      <c r="R21" s="8" t="s">
        <v>406</v>
      </c>
      <c r="S21" s="8">
        <v>20</v>
      </c>
      <c r="T21" s="8" t="s">
        <v>36</v>
      </c>
      <c r="U21" s="8" t="s">
        <v>37</v>
      </c>
      <c r="V21" s="8" t="s">
        <v>241</v>
      </c>
      <c r="W21" s="8" t="s">
        <v>660</v>
      </c>
      <c r="X21" s="8"/>
      <c r="Y21" s="8">
        <v>480</v>
      </c>
      <c r="Z21" s="8"/>
      <c r="AA21" s="8" t="s">
        <v>39</v>
      </c>
      <c r="AB21" s="8">
        <v>31</v>
      </c>
      <c r="AC21" s="13">
        <v>44046.379166666673</v>
      </c>
      <c r="AD21" s="13">
        <f>N21</f>
        <v>44059</v>
      </c>
      <c r="AE21" s="8">
        <v>1</v>
      </c>
      <c r="AF21" s="8"/>
      <c r="AG21" s="8" t="s">
        <v>1681</v>
      </c>
    </row>
    <row r="22" spans="1:33" hidden="1" x14ac:dyDescent="0.2">
      <c r="A22" s="8">
        <v>2504</v>
      </c>
      <c r="B22" s="9">
        <v>44055</v>
      </c>
      <c r="C22" s="8">
        <v>30012812</v>
      </c>
      <c r="D22" s="8" t="s">
        <v>62</v>
      </c>
      <c r="E22" s="8" t="s">
        <v>167</v>
      </c>
      <c r="F22" s="8" t="s">
        <v>168</v>
      </c>
      <c r="G22" s="8">
        <v>15018190</v>
      </c>
      <c r="H22" s="8">
        <v>802094728</v>
      </c>
      <c r="I22" s="8" t="s">
        <v>77</v>
      </c>
      <c r="J22" s="8" t="s">
        <v>32</v>
      </c>
      <c r="K22" s="8" t="s">
        <v>796</v>
      </c>
      <c r="L22" s="8" t="s">
        <v>797</v>
      </c>
      <c r="M22" s="9">
        <v>44046</v>
      </c>
      <c r="N22" s="9">
        <v>44075</v>
      </c>
      <c r="O22" s="8">
        <v>199.375</v>
      </c>
      <c r="P22" s="8" t="s">
        <v>48</v>
      </c>
      <c r="Q22" s="8" t="s">
        <v>166</v>
      </c>
      <c r="R22" s="8" t="s">
        <v>169</v>
      </c>
      <c r="S22" s="8">
        <v>8</v>
      </c>
      <c r="T22" s="8" t="s">
        <v>36</v>
      </c>
      <c r="U22" s="8" t="s">
        <v>37</v>
      </c>
      <c r="V22" s="8" t="s">
        <v>52</v>
      </c>
      <c r="W22" s="8" t="s">
        <v>798</v>
      </c>
      <c r="X22" s="8"/>
      <c r="Y22" s="8">
        <v>192</v>
      </c>
      <c r="Z22" s="8" t="s">
        <v>799</v>
      </c>
      <c r="AA22" s="8" t="s">
        <v>39</v>
      </c>
      <c r="AB22" s="8">
        <v>31</v>
      </c>
      <c r="AC22" s="13">
        <v>44047</v>
      </c>
      <c r="AD22" s="13">
        <v>44076</v>
      </c>
      <c r="AE22" s="8">
        <v>1</v>
      </c>
      <c r="AF22" s="8">
        <v>1</v>
      </c>
      <c r="AG22" s="8" t="s">
        <v>1681</v>
      </c>
    </row>
    <row r="23" spans="1:33" x14ac:dyDescent="0.2">
      <c r="A23" s="8">
        <v>2501</v>
      </c>
      <c r="B23" s="9">
        <v>44027</v>
      </c>
      <c r="C23" s="8">
        <v>30012670</v>
      </c>
      <c r="D23" s="8" t="s">
        <v>62</v>
      </c>
      <c r="E23" s="8" t="s">
        <v>217</v>
      </c>
      <c r="F23" s="8" t="s">
        <v>218</v>
      </c>
      <c r="G23" s="8">
        <v>15017843</v>
      </c>
      <c r="H23" s="8">
        <v>802093896</v>
      </c>
      <c r="I23" s="8" t="s">
        <v>31</v>
      </c>
      <c r="J23" s="8" t="s">
        <v>32</v>
      </c>
      <c r="K23" s="8" t="s">
        <v>240</v>
      </c>
      <c r="L23" s="8" t="s">
        <v>586</v>
      </c>
      <c r="M23" s="9">
        <v>44050</v>
      </c>
      <c r="N23" s="9">
        <v>44060</v>
      </c>
      <c r="O23" s="8">
        <v>509.70499999999998</v>
      </c>
      <c r="P23" s="8" t="s">
        <v>33</v>
      </c>
      <c r="Q23" s="8" t="s">
        <v>34</v>
      </c>
      <c r="R23" s="8" t="s">
        <v>35</v>
      </c>
      <c r="S23" s="8">
        <v>21</v>
      </c>
      <c r="T23" s="8" t="s">
        <v>36</v>
      </c>
      <c r="U23" s="8" t="s">
        <v>37</v>
      </c>
      <c r="V23" s="8" t="s">
        <v>43</v>
      </c>
      <c r="W23" s="8" t="s">
        <v>602</v>
      </c>
      <c r="X23" s="8"/>
      <c r="Y23" s="8">
        <v>504</v>
      </c>
      <c r="Z23" s="8"/>
      <c r="AA23" s="8" t="s">
        <v>39</v>
      </c>
      <c r="AB23" s="8">
        <v>31</v>
      </c>
      <c r="AC23" s="13">
        <v>44050.708333333343</v>
      </c>
      <c r="AD23" s="13">
        <f>N23</f>
        <v>44060</v>
      </c>
      <c r="AE23" s="8">
        <v>0</v>
      </c>
      <c r="AF23" s="8"/>
      <c r="AG23" s="8"/>
    </row>
    <row r="24" spans="1:33" x14ac:dyDescent="0.2">
      <c r="A24" s="8">
        <v>2501</v>
      </c>
      <c r="B24" s="9">
        <v>44027</v>
      </c>
      <c r="C24" s="8">
        <v>30012688</v>
      </c>
      <c r="D24" s="8" t="s">
        <v>62</v>
      </c>
      <c r="E24" s="8" t="s">
        <v>217</v>
      </c>
      <c r="F24" s="8" t="s">
        <v>218</v>
      </c>
      <c r="G24" s="8">
        <v>15017848</v>
      </c>
      <c r="H24" s="8">
        <v>802093901</v>
      </c>
      <c r="I24" s="8" t="s">
        <v>31</v>
      </c>
      <c r="J24" s="8" t="s">
        <v>32</v>
      </c>
      <c r="K24" s="8" t="s">
        <v>240</v>
      </c>
      <c r="L24" s="8" t="s">
        <v>586</v>
      </c>
      <c r="M24" s="9">
        <v>44050</v>
      </c>
      <c r="N24" s="9">
        <v>44060</v>
      </c>
      <c r="O24" s="8">
        <v>484.45100000000002</v>
      </c>
      <c r="P24" s="8" t="s">
        <v>33</v>
      </c>
      <c r="Q24" s="8" t="s">
        <v>34</v>
      </c>
      <c r="R24" s="8" t="s">
        <v>35</v>
      </c>
      <c r="S24" s="8">
        <v>20</v>
      </c>
      <c r="T24" s="8" t="s">
        <v>36</v>
      </c>
      <c r="U24" s="8" t="s">
        <v>37</v>
      </c>
      <c r="V24" s="8" t="s">
        <v>38</v>
      </c>
      <c r="W24" s="8" t="s">
        <v>606</v>
      </c>
      <c r="X24" s="8"/>
      <c r="Y24" s="8">
        <v>480</v>
      </c>
      <c r="Z24" s="8"/>
      <c r="AA24" s="8" t="s">
        <v>39</v>
      </c>
      <c r="AB24" s="8">
        <v>31</v>
      </c>
      <c r="AC24" s="13">
        <v>44050.416666666657</v>
      </c>
      <c r="AD24" s="13">
        <f>N24</f>
        <v>44060</v>
      </c>
      <c r="AE24" s="8">
        <v>0</v>
      </c>
      <c r="AF24" s="8"/>
      <c r="AG24" s="8"/>
    </row>
    <row r="25" spans="1:33" hidden="1" x14ac:dyDescent="0.2">
      <c r="A25" s="8">
        <v>2504</v>
      </c>
      <c r="B25" s="9">
        <v>44073</v>
      </c>
      <c r="C25" s="8">
        <v>30012812</v>
      </c>
      <c r="D25" s="8" t="s">
        <v>91</v>
      </c>
      <c r="E25" s="8" t="s">
        <v>164</v>
      </c>
      <c r="F25" s="8" t="s">
        <v>165</v>
      </c>
      <c r="G25" s="8">
        <v>15018193</v>
      </c>
      <c r="H25" s="8">
        <v>802094731</v>
      </c>
      <c r="I25" s="8" t="s">
        <v>77</v>
      </c>
      <c r="J25" s="8" t="s">
        <v>32</v>
      </c>
      <c r="K25" s="8" t="s">
        <v>796</v>
      </c>
      <c r="L25" s="8" t="s">
        <v>797</v>
      </c>
      <c r="M25" s="9">
        <v>44046</v>
      </c>
      <c r="N25" s="9">
        <v>44075</v>
      </c>
      <c r="O25" s="8">
        <v>311.67500000000001</v>
      </c>
      <c r="P25" s="8" t="s">
        <v>48</v>
      </c>
      <c r="Q25" s="8" t="s">
        <v>166</v>
      </c>
      <c r="R25" s="8" t="s">
        <v>169</v>
      </c>
      <c r="S25" s="8">
        <v>15</v>
      </c>
      <c r="T25" s="8" t="s">
        <v>42</v>
      </c>
      <c r="U25" s="8" t="s">
        <v>37</v>
      </c>
      <c r="V25" s="8" t="s">
        <v>52</v>
      </c>
      <c r="W25" s="8" t="s">
        <v>802</v>
      </c>
      <c r="X25" s="8"/>
      <c r="Y25" s="8">
        <v>300</v>
      </c>
      <c r="Z25" s="8" t="s">
        <v>594</v>
      </c>
      <c r="AA25" s="8" t="s">
        <v>39</v>
      </c>
      <c r="AB25" s="8">
        <v>31</v>
      </c>
      <c r="AC25" s="13">
        <v>44047</v>
      </c>
      <c r="AD25" s="13">
        <v>44076</v>
      </c>
      <c r="AE25" s="8">
        <v>1</v>
      </c>
      <c r="AF25" s="8">
        <v>1</v>
      </c>
      <c r="AG25" s="8" t="s">
        <v>1681</v>
      </c>
    </row>
    <row r="26" spans="1:33" hidden="1" x14ac:dyDescent="0.2">
      <c r="A26" s="8">
        <v>2504</v>
      </c>
      <c r="B26" s="9">
        <v>44042</v>
      </c>
      <c r="C26" s="8">
        <v>30012699</v>
      </c>
      <c r="D26" s="8" t="s">
        <v>28</v>
      </c>
      <c r="E26" s="8" t="s">
        <v>29</v>
      </c>
      <c r="F26" s="8" t="s">
        <v>397</v>
      </c>
      <c r="G26" s="8">
        <v>15017957</v>
      </c>
      <c r="H26" s="8">
        <v>802093871</v>
      </c>
      <c r="I26" s="8" t="s">
        <v>77</v>
      </c>
      <c r="J26" s="8" t="s">
        <v>32</v>
      </c>
      <c r="K26" s="8" t="s">
        <v>240</v>
      </c>
      <c r="L26" s="8" t="s">
        <v>586</v>
      </c>
      <c r="M26" s="9">
        <v>44048</v>
      </c>
      <c r="N26" s="9">
        <v>44078</v>
      </c>
      <c r="O26" s="8">
        <v>499.36500000000001</v>
      </c>
      <c r="P26" s="8" t="s">
        <v>48</v>
      </c>
      <c r="Q26" s="8" t="s">
        <v>405</v>
      </c>
      <c r="R26" s="8" t="s">
        <v>406</v>
      </c>
      <c r="S26" s="8">
        <v>20</v>
      </c>
      <c r="T26" s="8" t="s">
        <v>36</v>
      </c>
      <c r="U26" s="8" t="s">
        <v>37</v>
      </c>
      <c r="V26" s="8" t="s">
        <v>38</v>
      </c>
      <c r="W26" s="8" t="s">
        <v>587</v>
      </c>
      <c r="X26" s="8"/>
      <c r="Y26" s="8">
        <v>480</v>
      </c>
      <c r="Z26" s="8"/>
      <c r="AA26" s="8" t="s">
        <v>39</v>
      </c>
      <c r="AB26" s="8">
        <v>31</v>
      </c>
      <c r="AC26" s="13">
        <f t="shared" ref="AC26:AD28" si="4">M26</f>
        <v>44048</v>
      </c>
      <c r="AD26" s="13">
        <f t="shared" si="4"/>
        <v>44078</v>
      </c>
      <c r="AE26" s="8">
        <v>0</v>
      </c>
      <c r="AF26" s="8"/>
      <c r="AG26" s="8"/>
    </row>
    <row r="27" spans="1:33" hidden="1" x14ac:dyDescent="0.2">
      <c r="A27" s="8">
        <v>2504</v>
      </c>
      <c r="B27" s="9">
        <v>44042</v>
      </c>
      <c r="C27" s="8">
        <v>30012699</v>
      </c>
      <c r="D27" s="8" t="s">
        <v>28</v>
      </c>
      <c r="E27" s="8" t="s">
        <v>29</v>
      </c>
      <c r="F27" s="8" t="s">
        <v>397</v>
      </c>
      <c r="G27" s="8">
        <v>15017958</v>
      </c>
      <c r="H27" s="8">
        <v>802093872</v>
      </c>
      <c r="I27" s="8" t="s">
        <v>77</v>
      </c>
      <c r="J27" s="8" t="s">
        <v>32</v>
      </c>
      <c r="K27" s="8" t="s">
        <v>240</v>
      </c>
      <c r="L27" s="8" t="s">
        <v>586</v>
      </c>
      <c r="M27" s="9">
        <v>44048</v>
      </c>
      <c r="N27" s="9">
        <v>44078</v>
      </c>
      <c r="O27" s="8">
        <v>497.935</v>
      </c>
      <c r="P27" s="8" t="s">
        <v>48</v>
      </c>
      <c r="Q27" s="8" t="s">
        <v>405</v>
      </c>
      <c r="R27" s="8" t="s">
        <v>406</v>
      </c>
      <c r="S27" s="8">
        <v>20</v>
      </c>
      <c r="T27" s="8" t="s">
        <v>36</v>
      </c>
      <c r="U27" s="8" t="s">
        <v>37</v>
      </c>
      <c r="V27" s="8" t="s">
        <v>38</v>
      </c>
      <c r="W27" s="8" t="s">
        <v>590</v>
      </c>
      <c r="X27" s="8"/>
      <c r="Y27" s="8">
        <v>480</v>
      </c>
      <c r="Z27" s="8"/>
      <c r="AA27" s="8" t="s">
        <v>39</v>
      </c>
      <c r="AB27" s="8">
        <v>31</v>
      </c>
      <c r="AC27" s="13">
        <f t="shared" si="4"/>
        <v>44048</v>
      </c>
      <c r="AD27" s="13">
        <f t="shared" si="4"/>
        <v>44078</v>
      </c>
      <c r="AE27" s="8">
        <v>0</v>
      </c>
      <c r="AF27" s="8"/>
      <c r="AG27" s="8"/>
    </row>
    <row r="28" spans="1:33" hidden="1" x14ac:dyDescent="0.2">
      <c r="A28" s="8">
        <v>2504</v>
      </c>
      <c r="B28" s="9">
        <v>44048</v>
      </c>
      <c r="C28" s="8">
        <v>30012809</v>
      </c>
      <c r="D28" s="8" t="s">
        <v>62</v>
      </c>
      <c r="E28" s="8" t="s">
        <v>212</v>
      </c>
      <c r="F28" s="8" t="s">
        <v>213</v>
      </c>
      <c r="G28" s="8">
        <v>15018204</v>
      </c>
      <c r="H28" s="8">
        <v>802094739</v>
      </c>
      <c r="I28" s="8" t="s">
        <v>77</v>
      </c>
      <c r="J28" s="8" t="s">
        <v>32</v>
      </c>
      <c r="K28" s="8" t="s">
        <v>388</v>
      </c>
      <c r="L28" s="8" t="s">
        <v>831</v>
      </c>
      <c r="M28" s="9">
        <v>44048</v>
      </c>
      <c r="N28" s="9">
        <v>44073</v>
      </c>
      <c r="O28" s="8">
        <v>494.41</v>
      </c>
      <c r="P28" s="8" t="s">
        <v>48</v>
      </c>
      <c r="Q28" s="8" t="s">
        <v>115</v>
      </c>
      <c r="R28" s="8" t="s">
        <v>116</v>
      </c>
      <c r="S28" s="8">
        <v>25</v>
      </c>
      <c r="T28" s="8" t="s">
        <v>140</v>
      </c>
      <c r="U28" s="8" t="s">
        <v>37</v>
      </c>
      <c r="V28" s="8" t="s">
        <v>43</v>
      </c>
      <c r="W28" s="8" t="s">
        <v>832</v>
      </c>
      <c r="X28" s="8"/>
      <c r="Y28" s="8">
        <v>475</v>
      </c>
      <c r="Z28" s="8" t="s">
        <v>833</v>
      </c>
      <c r="AA28" s="8" t="s">
        <v>39</v>
      </c>
      <c r="AB28" s="8">
        <v>31</v>
      </c>
      <c r="AC28" s="13">
        <f t="shared" si="4"/>
        <v>44048</v>
      </c>
      <c r="AD28" s="13">
        <f t="shared" si="4"/>
        <v>44073</v>
      </c>
      <c r="AE28" s="8">
        <v>0</v>
      </c>
      <c r="AF28" s="8"/>
      <c r="AG28" s="8"/>
    </row>
    <row r="29" spans="1:33" hidden="1" x14ac:dyDescent="0.2">
      <c r="A29" s="8">
        <v>2502</v>
      </c>
      <c r="B29" s="9">
        <v>44048</v>
      </c>
      <c r="C29" s="8">
        <v>30012790</v>
      </c>
      <c r="D29" s="8" t="s">
        <v>62</v>
      </c>
      <c r="E29" s="8" t="s">
        <v>378</v>
      </c>
      <c r="F29" s="8" t="s">
        <v>379</v>
      </c>
      <c r="G29" s="8">
        <v>15018371</v>
      </c>
      <c r="H29" s="8">
        <v>802094997</v>
      </c>
      <c r="I29" s="8" t="s">
        <v>380</v>
      </c>
      <c r="J29" s="8" t="s">
        <v>83</v>
      </c>
      <c r="K29" s="8" t="s">
        <v>495</v>
      </c>
      <c r="L29" s="8" t="s">
        <v>753</v>
      </c>
      <c r="M29" s="9">
        <v>44055</v>
      </c>
      <c r="N29" s="9">
        <v>44076</v>
      </c>
      <c r="O29" s="8">
        <v>96.004999999999995</v>
      </c>
      <c r="P29" s="8" t="s">
        <v>492</v>
      </c>
      <c r="Q29" s="8" t="s">
        <v>206</v>
      </c>
      <c r="R29" s="8" t="s">
        <v>381</v>
      </c>
      <c r="S29" s="8">
        <v>5</v>
      </c>
      <c r="T29" s="8" t="s">
        <v>87</v>
      </c>
      <c r="U29" s="8" t="s">
        <v>37</v>
      </c>
      <c r="V29" s="8" t="s">
        <v>504</v>
      </c>
      <c r="W29" s="8" t="s">
        <v>916</v>
      </c>
      <c r="X29" s="8"/>
      <c r="Y29" s="8">
        <v>100</v>
      </c>
      <c r="Z29" s="8"/>
      <c r="AA29" s="8" t="s">
        <v>39</v>
      </c>
      <c r="AB29" s="8">
        <v>31</v>
      </c>
      <c r="AC29" s="13">
        <v>44057</v>
      </c>
      <c r="AD29" s="13">
        <f>N29</f>
        <v>44076</v>
      </c>
      <c r="AE29" s="8">
        <v>2</v>
      </c>
      <c r="AF29" s="8">
        <v>0</v>
      </c>
      <c r="AG29" s="8" t="s">
        <v>1682</v>
      </c>
    </row>
    <row r="30" spans="1:33" hidden="1" x14ac:dyDescent="0.2">
      <c r="A30" s="8">
        <v>2504</v>
      </c>
      <c r="B30" s="9">
        <v>44042</v>
      </c>
      <c r="C30" s="8">
        <v>30012752</v>
      </c>
      <c r="D30" s="8" t="s">
        <v>91</v>
      </c>
      <c r="E30" s="8" t="s">
        <v>728</v>
      </c>
      <c r="F30" s="8" t="s">
        <v>729</v>
      </c>
      <c r="G30" s="8">
        <v>15018156</v>
      </c>
      <c r="H30" s="8">
        <v>802094236</v>
      </c>
      <c r="I30" s="8" t="s">
        <v>730</v>
      </c>
      <c r="J30" s="8" t="s">
        <v>58</v>
      </c>
      <c r="K30" s="8" t="s">
        <v>739</v>
      </c>
      <c r="L30" s="8" t="s">
        <v>740</v>
      </c>
      <c r="M30" s="9">
        <v>44046</v>
      </c>
      <c r="N30" s="9">
        <v>44103</v>
      </c>
      <c r="O30" s="8">
        <v>103.37</v>
      </c>
      <c r="P30" s="8" t="s">
        <v>48</v>
      </c>
      <c r="Q30" s="8" t="s">
        <v>731</v>
      </c>
      <c r="R30" s="8" t="s">
        <v>732</v>
      </c>
      <c r="S30" s="8">
        <v>4</v>
      </c>
      <c r="T30" s="8" t="s">
        <v>72</v>
      </c>
      <c r="U30" s="8" t="s">
        <v>37</v>
      </c>
      <c r="V30" s="8" t="s">
        <v>65</v>
      </c>
      <c r="W30" s="8" t="s">
        <v>735</v>
      </c>
      <c r="X30" s="8"/>
      <c r="Y30" s="8">
        <v>44</v>
      </c>
      <c r="Z30" s="8" t="s">
        <v>53</v>
      </c>
      <c r="AA30" s="8" t="s">
        <v>733</v>
      </c>
      <c r="AB30" s="8">
        <v>31</v>
      </c>
      <c r="AC30" s="13">
        <v>44048</v>
      </c>
      <c r="AD30" s="13">
        <v>44117</v>
      </c>
      <c r="AE30" s="8">
        <v>2</v>
      </c>
      <c r="AF30" s="8">
        <v>14</v>
      </c>
      <c r="AG30" s="8" t="s">
        <v>1683</v>
      </c>
    </row>
    <row r="31" spans="1:33" hidden="1" x14ac:dyDescent="0.2">
      <c r="A31" s="8">
        <v>2504</v>
      </c>
      <c r="B31" s="9">
        <v>44042</v>
      </c>
      <c r="C31" s="8">
        <v>30012752</v>
      </c>
      <c r="D31" s="8" t="s">
        <v>91</v>
      </c>
      <c r="E31" s="8" t="s">
        <v>728</v>
      </c>
      <c r="F31" s="8" t="s">
        <v>729</v>
      </c>
      <c r="G31" s="8">
        <v>15018157</v>
      </c>
      <c r="H31" s="8">
        <v>802094237</v>
      </c>
      <c r="I31" s="8" t="s">
        <v>730</v>
      </c>
      <c r="J31" s="8" t="s">
        <v>58</v>
      </c>
      <c r="K31" s="8" t="s">
        <v>739</v>
      </c>
      <c r="L31" s="8" t="s">
        <v>740</v>
      </c>
      <c r="M31" s="9">
        <v>44046</v>
      </c>
      <c r="N31" s="9">
        <v>44103</v>
      </c>
      <c r="O31" s="8">
        <v>103.45</v>
      </c>
      <c r="P31" s="8" t="s">
        <v>48</v>
      </c>
      <c r="Q31" s="8" t="s">
        <v>731</v>
      </c>
      <c r="R31" s="8" t="s">
        <v>732</v>
      </c>
      <c r="S31" s="8">
        <v>4</v>
      </c>
      <c r="T31" s="8" t="s">
        <v>72</v>
      </c>
      <c r="U31" s="8" t="s">
        <v>37</v>
      </c>
      <c r="V31" s="8" t="s">
        <v>65</v>
      </c>
      <c r="W31" s="8" t="s">
        <v>736</v>
      </c>
      <c r="X31" s="8"/>
      <c r="Y31" s="8">
        <v>44</v>
      </c>
      <c r="Z31" s="8" t="s">
        <v>53</v>
      </c>
      <c r="AA31" s="8" t="s">
        <v>733</v>
      </c>
      <c r="AB31" s="8">
        <v>31</v>
      </c>
      <c r="AC31" s="13">
        <v>44048</v>
      </c>
      <c r="AD31" s="13">
        <v>44117</v>
      </c>
      <c r="AE31" s="8">
        <v>2</v>
      </c>
      <c r="AF31" s="8">
        <v>14</v>
      </c>
      <c r="AG31" s="8" t="s">
        <v>1683</v>
      </c>
    </row>
    <row r="32" spans="1:33" hidden="1" x14ac:dyDescent="0.2">
      <c r="A32" s="8">
        <v>2504</v>
      </c>
      <c r="B32" s="9">
        <v>44042</v>
      </c>
      <c r="C32" s="8">
        <v>30012752</v>
      </c>
      <c r="D32" s="8" t="s">
        <v>91</v>
      </c>
      <c r="E32" s="8" t="s">
        <v>728</v>
      </c>
      <c r="F32" s="8" t="s">
        <v>729</v>
      </c>
      <c r="G32" s="8">
        <v>15018158</v>
      </c>
      <c r="H32" s="8">
        <v>802094238</v>
      </c>
      <c r="I32" s="8" t="s">
        <v>730</v>
      </c>
      <c r="J32" s="8" t="s">
        <v>58</v>
      </c>
      <c r="K32" s="8" t="s">
        <v>739</v>
      </c>
      <c r="L32" s="8" t="s">
        <v>740</v>
      </c>
      <c r="M32" s="9">
        <v>44046</v>
      </c>
      <c r="N32" s="9">
        <v>44103</v>
      </c>
      <c r="O32" s="8">
        <v>103.402</v>
      </c>
      <c r="P32" s="8" t="s">
        <v>48</v>
      </c>
      <c r="Q32" s="8" t="s">
        <v>731</v>
      </c>
      <c r="R32" s="8" t="s">
        <v>732</v>
      </c>
      <c r="S32" s="8">
        <v>4</v>
      </c>
      <c r="T32" s="8" t="s">
        <v>72</v>
      </c>
      <c r="U32" s="8" t="s">
        <v>37</v>
      </c>
      <c r="V32" s="8" t="s">
        <v>65</v>
      </c>
      <c r="W32" s="8" t="s">
        <v>737</v>
      </c>
      <c r="X32" s="8"/>
      <c r="Y32" s="8">
        <v>44</v>
      </c>
      <c r="Z32" s="8" t="s">
        <v>53</v>
      </c>
      <c r="AA32" s="8" t="s">
        <v>733</v>
      </c>
      <c r="AB32" s="8">
        <v>31</v>
      </c>
      <c r="AC32" s="13">
        <v>44048</v>
      </c>
      <c r="AD32" s="13">
        <v>44117</v>
      </c>
      <c r="AE32" s="8">
        <v>2</v>
      </c>
      <c r="AF32" s="8">
        <v>14</v>
      </c>
      <c r="AG32" s="8" t="s">
        <v>1683</v>
      </c>
    </row>
    <row r="33" spans="1:33" hidden="1" x14ac:dyDescent="0.2">
      <c r="A33" s="8">
        <v>2504</v>
      </c>
      <c r="B33" s="9">
        <v>44042</v>
      </c>
      <c r="C33" s="8">
        <v>30012752</v>
      </c>
      <c r="D33" s="8" t="s">
        <v>91</v>
      </c>
      <c r="E33" s="8" t="s">
        <v>728</v>
      </c>
      <c r="F33" s="8" t="s">
        <v>729</v>
      </c>
      <c r="G33" s="8">
        <v>15018159</v>
      </c>
      <c r="H33" s="8">
        <v>802094239</v>
      </c>
      <c r="I33" s="8" t="s">
        <v>730</v>
      </c>
      <c r="J33" s="8" t="s">
        <v>58</v>
      </c>
      <c r="K33" s="8" t="s">
        <v>739</v>
      </c>
      <c r="L33" s="8" t="s">
        <v>740</v>
      </c>
      <c r="M33" s="9">
        <v>44046</v>
      </c>
      <c r="N33" s="9">
        <v>44103</v>
      </c>
      <c r="O33" s="8">
        <v>103.44199999999999</v>
      </c>
      <c r="P33" s="8" t="s">
        <v>48</v>
      </c>
      <c r="Q33" s="8" t="s">
        <v>731</v>
      </c>
      <c r="R33" s="8" t="s">
        <v>732</v>
      </c>
      <c r="S33" s="8">
        <v>4</v>
      </c>
      <c r="T33" s="8" t="s">
        <v>72</v>
      </c>
      <c r="U33" s="8" t="s">
        <v>37</v>
      </c>
      <c r="V33" s="8" t="s">
        <v>65</v>
      </c>
      <c r="W33" s="8" t="s">
        <v>738</v>
      </c>
      <c r="X33" s="8"/>
      <c r="Y33" s="8">
        <v>44</v>
      </c>
      <c r="Z33" s="8" t="s">
        <v>53</v>
      </c>
      <c r="AA33" s="8" t="s">
        <v>733</v>
      </c>
      <c r="AB33" s="8">
        <v>31</v>
      </c>
      <c r="AC33" s="13">
        <v>44048</v>
      </c>
      <c r="AD33" s="13">
        <v>44117</v>
      </c>
      <c r="AE33" s="8">
        <v>2</v>
      </c>
      <c r="AF33" s="8">
        <v>14</v>
      </c>
      <c r="AG33" s="8" t="s">
        <v>1683</v>
      </c>
    </row>
    <row r="34" spans="1:33" hidden="1" x14ac:dyDescent="0.2">
      <c r="A34" s="8">
        <v>2504</v>
      </c>
      <c r="B34" s="9">
        <v>44042</v>
      </c>
      <c r="C34" s="8">
        <v>30012752</v>
      </c>
      <c r="D34" s="8" t="s">
        <v>91</v>
      </c>
      <c r="E34" s="8" t="s">
        <v>728</v>
      </c>
      <c r="F34" s="8" t="s">
        <v>729</v>
      </c>
      <c r="G34" s="8">
        <v>15018160</v>
      </c>
      <c r="H34" s="8">
        <v>802094240</v>
      </c>
      <c r="I34" s="8" t="s">
        <v>730</v>
      </c>
      <c r="J34" s="8" t="s">
        <v>58</v>
      </c>
      <c r="K34" s="8" t="s">
        <v>739</v>
      </c>
      <c r="L34" s="8" t="s">
        <v>740</v>
      </c>
      <c r="M34" s="9">
        <v>44046</v>
      </c>
      <c r="N34" s="9">
        <v>44103</v>
      </c>
      <c r="O34" s="8">
        <v>103.44199999999999</v>
      </c>
      <c r="P34" s="8" t="s">
        <v>48</v>
      </c>
      <c r="Q34" s="8" t="s">
        <v>731</v>
      </c>
      <c r="R34" s="8" t="s">
        <v>732</v>
      </c>
      <c r="S34" s="8">
        <v>4</v>
      </c>
      <c r="T34" s="8" t="s">
        <v>72</v>
      </c>
      <c r="U34" s="8" t="s">
        <v>37</v>
      </c>
      <c r="V34" s="8" t="s">
        <v>65</v>
      </c>
      <c r="W34" s="8" t="s">
        <v>741</v>
      </c>
      <c r="X34" s="8"/>
      <c r="Y34" s="8">
        <v>44</v>
      </c>
      <c r="Z34" s="8" t="s">
        <v>53</v>
      </c>
      <c r="AA34" s="8" t="s">
        <v>733</v>
      </c>
      <c r="AB34" s="8">
        <v>31</v>
      </c>
      <c r="AC34" s="13">
        <v>44048</v>
      </c>
      <c r="AD34" s="13">
        <v>44117</v>
      </c>
      <c r="AE34" s="8">
        <v>2</v>
      </c>
      <c r="AF34" s="8">
        <v>14</v>
      </c>
      <c r="AG34" s="8" t="s">
        <v>1683</v>
      </c>
    </row>
    <row r="35" spans="1:33" x14ac:dyDescent="0.2">
      <c r="A35" s="8">
        <v>2501</v>
      </c>
      <c r="B35" s="9">
        <v>44073</v>
      </c>
      <c r="C35" s="8">
        <v>30012779</v>
      </c>
      <c r="D35" s="8" t="s">
        <v>28</v>
      </c>
      <c r="E35" s="8" t="s">
        <v>29</v>
      </c>
      <c r="F35" s="8" t="s">
        <v>397</v>
      </c>
      <c r="G35" s="8">
        <v>15018345</v>
      </c>
      <c r="H35" s="8">
        <v>802094908</v>
      </c>
      <c r="I35" s="8" t="s">
        <v>31</v>
      </c>
      <c r="J35" s="8" t="s">
        <v>32</v>
      </c>
      <c r="K35" s="8" t="s">
        <v>404</v>
      </c>
      <c r="L35" s="8" t="s">
        <v>622</v>
      </c>
      <c r="M35" s="9">
        <v>44057</v>
      </c>
      <c r="N35" s="9">
        <v>44073</v>
      </c>
      <c r="O35" s="8">
        <v>501.904</v>
      </c>
      <c r="P35" s="8" t="s">
        <v>33</v>
      </c>
      <c r="Q35" s="8" t="s">
        <v>153</v>
      </c>
      <c r="R35" s="8" t="s">
        <v>154</v>
      </c>
      <c r="S35" s="8">
        <v>19</v>
      </c>
      <c r="T35" s="8" t="s">
        <v>362</v>
      </c>
      <c r="U35" s="8" t="s">
        <v>290</v>
      </c>
      <c r="V35" s="8" t="s">
        <v>155</v>
      </c>
      <c r="W35" s="8" t="s">
        <v>1112</v>
      </c>
      <c r="X35" s="8"/>
      <c r="Y35" s="8">
        <v>494</v>
      </c>
      <c r="Z35" s="8"/>
      <c r="AA35" s="8" t="s">
        <v>39</v>
      </c>
      <c r="AB35" s="8">
        <v>31</v>
      </c>
      <c r="AC35" s="13">
        <v>44061</v>
      </c>
      <c r="AD35" s="13">
        <f>N35</f>
        <v>44073</v>
      </c>
      <c r="AE35" s="8">
        <v>4</v>
      </c>
      <c r="AF35" s="8"/>
      <c r="AG35" s="8" t="s">
        <v>1684</v>
      </c>
    </row>
    <row r="36" spans="1:33" x14ac:dyDescent="0.2">
      <c r="A36" s="8">
        <v>2501</v>
      </c>
      <c r="B36" s="9">
        <v>44073</v>
      </c>
      <c r="C36" s="8">
        <v>30012760</v>
      </c>
      <c r="D36" s="8" t="s">
        <v>91</v>
      </c>
      <c r="E36" s="8" t="s">
        <v>107</v>
      </c>
      <c r="F36" s="8" t="s">
        <v>537</v>
      </c>
      <c r="G36" s="8">
        <v>15018297</v>
      </c>
      <c r="H36" s="8">
        <v>802094858</v>
      </c>
      <c r="I36" s="8" t="s">
        <v>580</v>
      </c>
      <c r="J36" s="8" t="s">
        <v>58</v>
      </c>
      <c r="K36" s="8" t="s">
        <v>727</v>
      </c>
      <c r="L36" s="8" t="s">
        <v>1269</v>
      </c>
      <c r="M36" s="9">
        <v>44066</v>
      </c>
      <c r="N36" s="9">
        <v>44089</v>
      </c>
      <c r="O36" s="8">
        <v>104.985</v>
      </c>
      <c r="P36" s="8" t="s">
        <v>33</v>
      </c>
      <c r="Q36" s="8" t="s">
        <v>105</v>
      </c>
      <c r="R36" s="8" t="s">
        <v>106</v>
      </c>
      <c r="S36" s="8">
        <v>5</v>
      </c>
      <c r="T36" s="8" t="s">
        <v>42</v>
      </c>
      <c r="U36" s="8" t="s">
        <v>290</v>
      </c>
      <c r="V36" s="8" t="s">
        <v>43</v>
      </c>
      <c r="W36" s="8" t="s">
        <v>1461</v>
      </c>
      <c r="X36" s="8"/>
      <c r="Y36" s="8">
        <v>45</v>
      </c>
      <c r="Z36" s="8" t="s">
        <v>996</v>
      </c>
      <c r="AA36" s="8" t="s">
        <v>109</v>
      </c>
      <c r="AB36" s="8">
        <v>31</v>
      </c>
      <c r="AC36" s="13">
        <v>44068</v>
      </c>
      <c r="AD36" s="13">
        <f t="shared" ref="AD36:AD38" si="5">N36</f>
        <v>44089</v>
      </c>
      <c r="AE36" s="8">
        <v>2</v>
      </c>
      <c r="AF36" s="8"/>
      <c r="AG36" s="8" t="s">
        <v>1684</v>
      </c>
    </row>
    <row r="37" spans="1:33" x14ac:dyDescent="0.2">
      <c r="A37" s="8">
        <v>2501</v>
      </c>
      <c r="B37" s="9">
        <v>44073</v>
      </c>
      <c r="C37" s="8">
        <v>30012766</v>
      </c>
      <c r="D37" s="8" t="s">
        <v>74</v>
      </c>
      <c r="E37" s="8" t="s">
        <v>207</v>
      </c>
      <c r="F37" s="8" t="s">
        <v>208</v>
      </c>
      <c r="G37" s="8">
        <v>15018186</v>
      </c>
      <c r="H37" s="8">
        <v>802094827</v>
      </c>
      <c r="I37" s="8" t="s">
        <v>211</v>
      </c>
      <c r="J37" s="8" t="s">
        <v>58</v>
      </c>
      <c r="K37" s="8" t="s">
        <v>727</v>
      </c>
      <c r="L37" s="8" t="s">
        <v>1269</v>
      </c>
      <c r="M37" s="9">
        <v>44066</v>
      </c>
      <c r="N37" s="9">
        <v>44118</v>
      </c>
      <c r="O37" s="8">
        <v>51.326000000000001</v>
      </c>
      <c r="P37" s="8" t="s">
        <v>33</v>
      </c>
      <c r="Q37" s="8" t="s">
        <v>210</v>
      </c>
      <c r="R37" s="8" t="s">
        <v>364</v>
      </c>
      <c r="S37" s="8">
        <v>2</v>
      </c>
      <c r="T37" s="8" t="s">
        <v>72</v>
      </c>
      <c r="U37" s="8" t="s">
        <v>290</v>
      </c>
      <c r="V37" s="8" t="s">
        <v>65</v>
      </c>
      <c r="W37" s="8" t="s">
        <v>1465</v>
      </c>
      <c r="X37" s="8"/>
      <c r="Y37" s="8">
        <v>22</v>
      </c>
      <c r="Z37" s="8" t="s">
        <v>1466</v>
      </c>
      <c r="AA37" s="8" t="s">
        <v>39</v>
      </c>
      <c r="AB37" s="8">
        <v>31</v>
      </c>
      <c r="AC37" s="13">
        <v>44068</v>
      </c>
      <c r="AD37" s="13">
        <f t="shared" si="5"/>
        <v>44118</v>
      </c>
      <c r="AE37" s="8">
        <v>2</v>
      </c>
      <c r="AF37" s="8"/>
      <c r="AG37" s="8" t="s">
        <v>1684</v>
      </c>
    </row>
    <row r="38" spans="1:33" x14ac:dyDescent="0.2">
      <c r="A38" s="8">
        <v>2501</v>
      </c>
      <c r="B38" s="9">
        <v>44073</v>
      </c>
      <c r="C38" s="8">
        <v>30012766</v>
      </c>
      <c r="D38" s="8" t="s">
        <v>74</v>
      </c>
      <c r="E38" s="8" t="s">
        <v>207</v>
      </c>
      <c r="F38" s="8" t="s">
        <v>208</v>
      </c>
      <c r="G38" s="8">
        <v>15018492</v>
      </c>
      <c r="H38" s="8">
        <v>802095179</v>
      </c>
      <c r="I38" s="8" t="s">
        <v>1469</v>
      </c>
      <c r="J38" s="8" t="s">
        <v>58</v>
      </c>
      <c r="K38" s="8" t="s">
        <v>727</v>
      </c>
      <c r="L38" s="8" t="s">
        <v>1269</v>
      </c>
      <c r="M38" s="9">
        <v>44066</v>
      </c>
      <c r="N38" s="9">
        <v>44118</v>
      </c>
      <c r="O38" s="8">
        <v>51.34</v>
      </c>
      <c r="P38" s="8" t="s">
        <v>33</v>
      </c>
      <c r="Q38" s="8" t="s">
        <v>210</v>
      </c>
      <c r="R38" s="8" t="s">
        <v>364</v>
      </c>
      <c r="S38" s="8">
        <v>2</v>
      </c>
      <c r="T38" s="8" t="s">
        <v>72</v>
      </c>
      <c r="U38" s="8" t="s">
        <v>290</v>
      </c>
      <c r="V38" s="8" t="s">
        <v>65</v>
      </c>
      <c r="W38" s="8" t="s">
        <v>1470</v>
      </c>
      <c r="X38" s="8"/>
      <c r="Y38" s="8">
        <v>20</v>
      </c>
      <c r="Z38" s="8" t="s">
        <v>1471</v>
      </c>
      <c r="AA38" s="8" t="s">
        <v>39</v>
      </c>
      <c r="AB38" s="8">
        <v>31</v>
      </c>
      <c r="AC38" s="13">
        <v>44068</v>
      </c>
      <c r="AD38" s="13">
        <f t="shared" si="5"/>
        <v>44118</v>
      </c>
      <c r="AE38" s="8">
        <v>2</v>
      </c>
      <c r="AF38" s="8"/>
      <c r="AG38" s="8" t="s">
        <v>1684</v>
      </c>
    </row>
    <row r="39" spans="1:33" hidden="1" x14ac:dyDescent="0.2">
      <c r="A39" s="8">
        <v>2502</v>
      </c>
      <c r="B39" s="9">
        <v>44073</v>
      </c>
      <c r="C39" s="8">
        <v>30012784</v>
      </c>
      <c r="D39" s="8" t="s">
        <v>54</v>
      </c>
      <c r="E39" s="8" t="s">
        <v>879</v>
      </c>
      <c r="F39" s="8" t="s">
        <v>880</v>
      </c>
      <c r="G39" s="8">
        <v>15018295</v>
      </c>
      <c r="H39" s="8">
        <v>802094856</v>
      </c>
      <c r="I39" s="8" t="s">
        <v>883</v>
      </c>
      <c r="J39" s="8" t="s">
        <v>83</v>
      </c>
      <c r="K39" s="8" t="s">
        <v>727</v>
      </c>
      <c r="L39" s="8" t="s">
        <v>1269</v>
      </c>
      <c r="M39" s="9">
        <v>44072</v>
      </c>
      <c r="N39" s="9">
        <v>44089</v>
      </c>
      <c r="O39" s="8">
        <v>161.28</v>
      </c>
      <c r="P39" s="8" t="s">
        <v>492</v>
      </c>
      <c r="Q39" s="8" t="s">
        <v>105</v>
      </c>
      <c r="R39" s="8" t="s">
        <v>106</v>
      </c>
      <c r="S39" s="8">
        <v>7</v>
      </c>
      <c r="T39" s="8" t="s">
        <v>87</v>
      </c>
      <c r="U39" s="8" t="s">
        <v>290</v>
      </c>
      <c r="V39" s="8" t="s">
        <v>43</v>
      </c>
      <c r="W39" s="8" t="s">
        <v>1511</v>
      </c>
      <c r="X39" s="8"/>
      <c r="Y39" s="8">
        <v>168</v>
      </c>
      <c r="Z39" s="8" t="s">
        <v>1512</v>
      </c>
      <c r="AA39" s="8" t="s">
        <v>39</v>
      </c>
      <c r="AB39" s="8">
        <v>31</v>
      </c>
      <c r="AC39" s="13">
        <f>M39</f>
        <v>44072</v>
      </c>
      <c r="AD39" s="13">
        <f>N39</f>
        <v>44089</v>
      </c>
      <c r="AE39" s="8">
        <v>0</v>
      </c>
      <c r="AF39" s="8">
        <v>0</v>
      </c>
      <c r="AG39" s="8"/>
    </row>
    <row r="40" spans="1:33" hidden="1" x14ac:dyDescent="0.2">
      <c r="A40" s="8">
        <v>2502</v>
      </c>
      <c r="B40" s="9">
        <v>44042</v>
      </c>
      <c r="C40" s="8">
        <v>30012753</v>
      </c>
      <c r="D40" s="8" t="s">
        <v>28</v>
      </c>
      <c r="E40" s="8" t="s">
        <v>29</v>
      </c>
      <c r="F40" s="8" t="s">
        <v>397</v>
      </c>
      <c r="G40" s="8">
        <v>15017949</v>
      </c>
      <c r="H40" s="8">
        <v>802093829</v>
      </c>
      <c r="I40" s="8" t="s">
        <v>89</v>
      </c>
      <c r="J40" s="8" t="s">
        <v>90</v>
      </c>
      <c r="K40" s="8" t="s">
        <v>487</v>
      </c>
      <c r="L40" s="8" t="s">
        <v>751</v>
      </c>
      <c r="M40" s="9">
        <v>44048</v>
      </c>
      <c r="N40" s="9">
        <v>44079</v>
      </c>
      <c r="O40" s="8">
        <v>494.30099999999999</v>
      </c>
      <c r="P40" s="8" t="s">
        <v>84</v>
      </c>
      <c r="Q40" s="8" t="s">
        <v>405</v>
      </c>
      <c r="R40" s="8" t="s">
        <v>717</v>
      </c>
      <c r="S40" s="8">
        <v>20</v>
      </c>
      <c r="T40" s="8" t="s">
        <v>87</v>
      </c>
      <c r="U40" s="8" t="s">
        <v>37</v>
      </c>
      <c r="V40" s="8" t="s">
        <v>88</v>
      </c>
      <c r="W40" s="8" t="s">
        <v>718</v>
      </c>
      <c r="X40" s="8"/>
      <c r="Y40" s="8">
        <v>694</v>
      </c>
      <c r="Z40" s="8"/>
      <c r="AA40" s="8" t="s">
        <v>39</v>
      </c>
      <c r="AB40" s="8">
        <v>31</v>
      </c>
      <c r="AC40" s="13">
        <f t="shared" ref="AC40:AC59" si="6">M40</f>
        <v>44048</v>
      </c>
      <c r="AD40" s="13">
        <f t="shared" ref="AD40:AD59" si="7">N40</f>
        <v>44079</v>
      </c>
      <c r="AE40" s="8"/>
      <c r="AF40" s="8"/>
      <c r="AG40" s="8"/>
    </row>
    <row r="41" spans="1:33" hidden="1" x14ac:dyDescent="0.2">
      <c r="A41" s="8">
        <v>2502</v>
      </c>
      <c r="B41" s="9">
        <v>44079</v>
      </c>
      <c r="C41" s="8">
        <v>30012753</v>
      </c>
      <c r="D41" s="8" t="s">
        <v>152</v>
      </c>
      <c r="E41" s="8" t="s">
        <v>138</v>
      </c>
      <c r="F41" s="8" t="s">
        <v>265</v>
      </c>
      <c r="G41" s="8">
        <v>15018390</v>
      </c>
      <c r="H41" s="8">
        <v>802095009</v>
      </c>
      <c r="I41" s="8" t="s">
        <v>385</v>
      </c>
      <c r="J41" s="8" t="s">
        <v>47</v>
      </c>
      <c r="K41" s="8" t="s">
        <v>487</v>
      </c>
      <c r="L41" s="8" t="s">
        <v>751</v>
      </c>
      <c r="M41" s="9">
        <v>44048</v>
      </c>
      <c r="N41" s="9">
        <v>44078</v>
      </c>
      <c r="O41" s="8">
        <v>105.75</v>
      </c>
      <c r="P41" s="8" t="s">
        <v>84</v>
      </c>
      <c r="Q41" s="8" t="s">
        <v>34</v>
      </c>
      <c r="R41" s="8" t="s">
        <v>266</v>
      </c>
      <c r="S41" s="8">
        <v>5</v>
      </c>
      <c r="T41" s="8" t="s">
        <v>87</v>
      </c>
      <c r="U41" s="8" t="s">
        <v>37</v>
      </c>
      <c r="V41" s="8" t="s">
        <v>88</v>
      </c>
      <c r="W41" s="8" t="s">
        <v>855</v>
      </c>
      <c r="X41" s="8"/>
      <c r="Y41" s="8">
        <v>10</v>
      </c>
      <c r="Z41" s="8" t="s">
        <v>856</v>
      </c>
      <c r="AA41" s="8" t="s">
        <v>39</v>
      </c>
      <c r="AB41" s="8">
        <v>31</v>
      </c>
      <c r="AC41" s="13">
        <f t="shared" si="6"/>
        <v>44048</v>
      </c>
      <c r="AD41" s="13">
        <f t="shared" si="7"/>
        <v>44078</v>
      </c>
      <c r="AE41" s="8"/>
      <c r="AF41" s="8"/>
      <c r="AG41" s="8"/>
    </row>
    <row r="42" spans="1:33" hidden="1" x14ac:dyDescent="0.2">
      <c r="A42" s="8">
        <v>2502</v>
      </c>
      <c r="B42" s="9">
        <v>44079</v>
      </c>
      <c r="C42" s="8">
        <v>30012753</v>
      </c>
      <c r="D42" s="8" t="s">
        <v>152</v>
      </c>
      <c r="E42" s="8" t="s">
        <v>138</v>
      </c>
      <c r="F42" s="8" t="s">
        <v>265</v>
      </c>
      <c r="G42" s="8">
        <v>15018391</v>
      </c>
      <c r="H42" s="8">
        <v>802095010</v>
      </c>
      <c r="I42" s="8" t="s">
        <v>386</v>
      </c>
      <c r="J42" s="8" t="s">
        <v>47</v>
      </c>
      <c r="K42" s="8" t="s">
        <v>487</v>
      </c>
      <c r="L42" s="8" t="s">
        <v>751</v>
      </c>
      <c r="M42" s="9">
        <v>44048</v>
      </c>
      <c r="N42" s="9">
        <v>44078</v>
      </c>
      <c r="O42" s="8">
        <v>91.287999999999997</v>
      </c>
      <c r="P42" s="8" t="s">
        <v>84</v>
      </c>
      <c r="Q42" s="8" t="s">
        <v>34</v>
      </c>
      <c r="R42" s="8" t="s">
        <v>266</v>
      </c>
      <c r="S42" s="8">
        <v>4</v>
      </c>
      <c r="T42" s="8" t="s">
        <v>87</v>
      </c>
      <c r="U42" s="8" t="s">
        <v>37</v>
      </c>
      <c r="V42" s="8" t="s">
        <v>88</v>
      </c>
      <c r="W42" s="8" t="s">
        <v>859</v>
      </c>
      <c r="X42" s="8"/>
      <c r="Y42" s="8">
        <v>8</v>
      </c>
      <c r="Z42" s="8" t="s">
        <v>856</v>
      </c>
      <c r="AA42" s="8" t="s">
        <v>39</v>
      </c>
      <c r="AB42" s="8">
        <v>31</v>
      </c>
      <c r="AC42" s="13">
        <f t="shared" si="6"/>
        <v>44048</v>
      </c>
      <c r="AD42" s="13">
        <f t="shared" si="7"/>
        <v>44078</v>
      </c>
      <c r="AE42" s="8"/>
      <c r="AF42" s="8"/>
      <c r="AG42" s="8"/>
    </row>
    <row r="43" spans="1:33" hidden="1" x14ac:dyDescent="0.2">
      <c r="A43" s="8">
        <v>2502</v>
      </c>
      <c r="B43" s="9">
        <v>44073</v>
      </c>
      <c r="C43" s="8">
        <v>30012753</v>
      </c>
      <c r="D43" s="8" t="s">
        <v>152</v>
      </c>
      <c r="E43" s="8" t="s">
        <v>534</v>
      </c>
      <c r="F43" s="8" t="s">
        <v>265</v>
      </c>
      <c r="G43" s="8">
        <v>15018432</v>
      </c>
      <c r="H43" s="8">
        <v>802095115</v>
      </c>
      <c r="I43" s="8" t="s">
        <v>862</v>
      </c>
      <c r="J43" s="8" t="s">
        <v>47</v>
      </c>
      <c r="K43" s="8" t="s">
        <v>487</v>
      </c>
      <c r="L43" s="8" t="s">
        <v>751</v>
      </c>
      <c r="M43" s="9">
        <v>44048</v>
      </c>
      <c r="N43" s="9">
        <v>44078</v>
      </c>
      <c r="O43" s="8">
        <v>13.411</v>
      </c>
      <c r="P43" s="8" t="s">
        <v>84</v>
      </c>
      <c r="Q43" s="8" t="s">
        <v>34</v>
      </c>
      <c r="R43" s="8" t="s">
        <v>536</v>
      </c>
      <c r="S43" s="8">
        <v>1</v>
      </c>
      <c r="T43" s="8" t="s">
        <v>87</v>
      </c>
      <c r="U43" s="8" t="s">
        <v>37</v>
      </c>
      <c r="V43" s="8" t="s">
        <v>88</v>
      </c>
      <c r="W43" s="8" t="s">
        <v>863</v>
      </c>
      <c r="X43" s="8"/>
      <c r="Y43" s="8">
        <v>1</v>
      </c>
      <c r="Z43" s="8"/>
      <c r="AA43" s="8" t="s">
        <v>39</v>
      </c>
      <c r="AB43" s="8">
        <v>31</v>
      </c>
      <c r="AC43" s="13">
        <f t="shared" si="6"/>
        <v>44048</v>
      </c>
      <c r="AD43" s="13">
        <f t="shared" si="7"/>
        <v>44078</v>
      </c>
      <c r="AE43" s="8"/>
      <c r="AF43" s="8"/>
      <c r="AG43" s="8"/>
    </row>
    <row r="44" spans="1:33" hidden="1" x14ac:dyDescent="0.2">
      <c r="A44" s="8">
        <v>2502</v>
      </c>
      <c r="B44" s="9">
        <v>44048</v>
      </c>
      <c r="C44" s="8">
        <v>30012753</v>
      </c>
      <c r="D44" s="8" t="s">
        <v>152</v>
      </c>
      <c r="E44" s="8" t="s">
        <v>534</v>
      </c>
      <c r="F44" s="8" t="s">
        <v>265</v>
      </c>
      <c r="G44" s="8">
        <v>15018433</v>
      </c>
      <c r="H44" s="8">
        <v>802095112</v>
      </c>
      <c r="I44" s="8" t="s">
        <v>866</v>
      </c>
      <c r="J44" s="8" t="s">
        <v>47</v>
      </c>
      <c r="K44" s="8" t="s">
        <v>487</v>
      </c>
      <c r="L44" s="8" t="s">
        <v>751</v>
      </c>
      <c r="M44" s="9">
        <v>44048</v>
      </c>
      <c r="N44" s="9">
        <v>44078</v>
      </c>
      <c r="O44" s="8">
        <v>87.581999999999994</v>
      </c>
      <c r="P44" s="8" t="s">
        <v>84</v>
      </c>
      <c r="Q44" s="8" t="s">
        <v>34</v>
      </c>
      <c r="R44" s="8" t="s">
        <v>536</v>
      </c>
      <c r="S44" s="8">
        <v>7</v>
      </c>
      <c r="T44" s="8" t="s">
        <v>87</v>
      </c>
      <c r="U44" s="8" t="s">
        <v>37</v>
      </c>
      <c r="V44" s="8" t="s">
        <v>88</v>
      </c>
      <c r="W44" s="8" t="s">
        <v>867</v>
      </c>
      <c r="X44" s="8"/>
      <c r="Y44" s="8">
        <v>7</v>
      </c>
      <c r="Z44" s="8"/>
      <c r="AA44" s="8" t="s">
        <v>39</v>
      </c>
      <c r="AB44" s="8">
        <v>31</v>
      </c>
      <c r="AC44" s="13">
        <f t="shared" si="6"/>
        <v>44048</v>
      </c>
      <c r="AD44" s="13">
        <f t="shared" si="7"/>
        <v>44078</v>
      </c>
      <c r="AE44" s="8"/>
      <c r="AF44" s="8"/>
      <c r="AG44" s="8"/>
    </row>
    <row r="45" spans="1:33" hidden="1" x14ac:dyDescent="0.2">
      <c r="A45" s="8">
        <v>2502</v>
      </c>
      <c r="B45" s="9">
        <v>44048</v>
      </c>
      <c r="C45" s="8">
        <v>30012753</v>
      </c>
      <c r="D45" s="8" t="s">
        <v>152</v>
      </c>
      <c r="E45" s="8" t="s">
        <v>534</v>
      </c>
      <c r="F45" s="8" t="s">
        <v>265</v>
      </c>
      <c r="G45" s="8">
        <v>15018434</v>
      </c>
      <c r="H45" s="8">
        <v>802095113</v>
      </c>
      <c r="I45" s="8" t="s">
        <v>387</v>
      </c>
      <c r="J45" s="8" t="s">
        <v>47</v>
      </c>
      <c r="K45" s="8" t="s">
        <v>487</v>
      </c>
      <c r="L45" s="8" t="s">
        <v>751</v>
      </c>
      <c r="M45" s="9">
        <v>44048</v>
      </c>
      <c r="N45" s="9">
        <v>44078</v>
      </c>
      <c r="O45" s="8">
        <v>75.378</v>
      </c>
      <c r="P45" s="8" t="s">
        <v>84</v>
      </c>
      <c r="Q45" s="8" t="s">
        <v>34</v>
      </c>
      <c r="R45" s="8" t="s">
        <v>536</v>
      </c>
      <c r="S45" s="8">
        <v>7</v>
      </c>
      <c r="T45" s="8" t="s">
        <v>87</v>
      </c>
      <c r="U45" s="8" t="s">
        <v>37</v>
      </c>
      <c r="V45" s="8" t="s">
        <v>88</v>
      </c>
      <c r="W45" s="8" t="s">
        <v>870</v>
      </c>
      <c r="X45" s="8"/>
      <c r="Y45" s="8">
        <v>7</v>
      </c>
      <c r="Z45" s="8"/>
      <c r="AA45" s="8" t="s">
        <v>39</v>
      </c>
      <c r="AB45" s="8">
        <v>31</v>
      </c>
      <c r="AC45" s="13">
        <f t="shared" si="6"/>
        <v>44048</v>
      </c>
      <c r="AD45" s="13">
        <f t="shared" si="7"/>
        <v>44078</v>
      </c>
      <c r="AE45" s="8"/>
      <c r="AF45" s="8"/>
      <c r="AG45" s="8"/>
    </row>
    <row r="46" spans="1:33" hidden="1" x14ac:dyDescent="0.2">
      <c r="A46" s="8">
        <v>2502</v>
      </c>
      <c r="B46" s="9">
        <v>44048</v>
      </c>
      <c r="C46" s="8">
        <v>30012753</v>
      </c>
      <c r="D46" s="8" t="s">
        <v>152</v>
      </c>
      <c r="E46" s="8" t="s">
        <v>534</v>
      </c>
      <c r="F46" s="8" t="s">
        <v>265</v>
      </c>
      <c r="G46" s="8">
        <v>15018435</v>
      </c>
      <c r="H46" s="8">
        <v>802095114</v>
      </c>
      <c r="I46" s="8" t="s">
        <v>873</v>
      </c>
      <c r="J46" s="8" t="s">
        <v>47</v>
      </c>
      <c r="K46" s="8" t="s">
        <v>487</v>
      </c>
      <c r="L46" s="8" t="s">
        <v>751</v>
      </c>
      <c r="M46" s="9">
        <v>44048</v>
      </c>
      <c r="N46" s="9">
        <v>44078</v>
      </c>
      <c r="O46" s="8">
        <v>48.624000000000002</v>
      </c>
      <c r="P46" s="8" t="s">
        <v>84</v>
      </c>
      <c r="Q46" s="8" t="s">
        <v>34</v>
      </c>
      <c r="R46" s="8" t="s">
        <v>536</v>
      </c>
      <c r="S46" s="8">
        <v>2</v>
      </c>
      <c r="T46" s="8" t="s">
        <v>87</v>
      </c>
      <c r="U46" s="8" t="s">
        <v>37</v>
      </c>
      <c r="V46" s="8" t="s">
        <v>88</v>
      </c>
      <c r="W46" s="8" t="s">
        <v>874</v>
      </c>
      <c r="X46" s="8"/>
      <c r="Y46" s="8">
        <v>4</v>
      </c>
      <c r="Z46" s="8"/>
      <c r="AA46" s="8" t="s">
        <v>39</v>
      </c>
      <c r="AB46" s="8">
        <v>31</v>
      </c>
      <c r="AC46" s="13">
        <f t="shared" si="6"/>
        <v>44048</v>
      </c>
      <c r="AD46" s="13">
        <f t="shared" si="7"/>
        <v>44078</v>
      </c>
      <c r="AE46" s="8"/>
      <c r="AF46" s="8"/>
      <c r="AG46" s="8"/>
    </row>
    <row r="47" spans="1:33" hidden="1" x14ac:dyDescent="0.2">
      <c r="A47" s="8">
        <v>2502</v>
      </c>
      <c r="B47" s="9">
        <v>44058</v>
      </c>
      <c r="C47" s="8">
        <v>30012758</v>
      </c>
      <c r="D47" s="8" t="s">
        <v>91</v>
      </c>
      <c r="E47" s="8" t="s">
        <v>217</v>
      </c>
      <c r="F47" s="8" t="s">
        <v>218</v>
      </c>
      <c r="G47" s="8">
        <v>15018176</v>
      </c>
      <c r="H47" s="8">
        <v>802094755</v>
      </c>
      <c r="I47" s="8" t="s">
        <v>267</v>
      </c>
      <c r="J47" s="8" t="s">
        <v>47</v>
      </c>
      <c r="K47" s="8" t="s">
        <v>487</v>
      </c>
      <c r="L47" s="8" t="s">
        <v>764</v>
      </c>
      <c r="M47" s="9">
        <v>44062</v>
      </c>
      <c r="N47" s="9">
        <v>44092</v>
      </c>
      <c r="O47" s="8">
        <v>293.76</v>
      </c>
      <c r="P47" s="8" t="s">
        <v>84</v>
      </c>
      <c r="Q47" s="8" t="s">
        <v>34</v>
      </c>
      <c r="R47" s="8" t="s">
        <v>268</v>
      </c>
      <c r="S47" s="8">
        <v>15</v>
      </c>
      <c r="T47" s="8" t="s">
        <v>87</v>
      </c>
      <c r="U47" s="8" t="s">
        <v>290</v>
      </c>
      <c r="V47" s="8" t="s">
        <v>88</v>
      </c>
      <c r="W47" s="8" t="s">
        <v>1221</v>
      </c>
      <c r="X47" s="8"/>
      <c r="Y47" s="8">
        <v>30</v>
      </c>
      <c r="Z47" s="8"/>
      <c r="AA47" s="8" t="s">
        <v>39</v>
      </c>
      <c r="AB47" s="8">
        <v>31</v>
      </c>
      <c r="AC47" s="13">
        <f t="shared" si="6"/>
        <v>44062</v>
      </c>
      <c r="AD47" s="13">
        <f t="shared" si="7"/>
        <v>44092</v>
      </c>
      <c r="AE47" s="8"/>
      <c r="AF47" s="8"/>
      <c r="AG47" s="8"/>
    </row>
    <row r="48" spans="1:33" hidden="1" x14ac:dyDescent="0.2">
      <c r="A48" s="8">
        <v>2502</v>
      </c>
      <c r="B48" s="9">
        <v>44055</v>
      </c>
      <c r="C48" s="8">
        <v>30012758</v>
      </c>
      <c r="D48" s="8" t="s">
        <v>62</v>
      </c>
      <c r="E48" s="8" t="s">
        <v>375</v>
      </c>
      <c r="F48" s="8" t="s">
        <v>376</v>
      </c>
      <c r="G48" s="8">
        <v>15018189</v>
      </c>
      <c r="H48" s="8">
        <v>802094757</v>
      </c>
      <c r="I48" s="8" t="s">
        <v>94</v>
      </c>
      <c r="J48" s="8" t="s">
        <v>95</v>
      </c>
      <c r="K48" s="8" t="s">
        <v>487</v>
      </c>
      <c r="L48" s="8" t="s">
        <v>764</v>
      </c>
      <c r="M48" s="9">
        <v>44062</v>
      </c>
      <c r="N48" s="9">
        <v>44090</v>
      </c>
      <c r="O48" s="8">
        <v>168.72</v>
      </c>
      <c r="P48" s="8" t="s">
        <v>84</v>
      </c>
      <c r="Q48" s="8" t="s">
        <v>100</v>
      </c>
      <c r="R48" s="8" t="s">
        <v>101</v>
      </c>
      <c r="S48" s="8">
        <v>8</v>
      </c>
      <c r="T48" s="8" t="s">
        <v>87</v>
      </c>
      <c r="U48" s="8" t="s">
        <v>290</v>
      </c>
      <c r="V48" s="8" t="s">
        <v>88</v>
      </c>
      <c r="W48" s="8" t="s">
        <v>1224</v>
      </c>
      <c r="X48" s="8"/>
      <c r="Y48" s="8">
        <v>120</v>
      </c>
      <c r="Z48" s="8" t="s">
        <v>1225</v>
      </c>
      <c r="AA48" s="8" t="s">
        <v>39</v>
      </c>
      <c r="AB48" s="8">
        <v>31</v>
      </c>
      <c r="AC48" s="13">
        <f t="shared" si="6"/>
        <v>44062</v>
      </c>
      <c r="AD48" s="13">
        <f t="shared" si="7"/>
        <v>44090</v>
      </c>
      <c r="AE48" s="8"/>
      <c r="AF48" s="8"/>
      <c r="AG48" s="8"/>
    </row>
    <row r="49" spans="1:33" hidden="1" x14ac:dyDescent="0.2">
      <c r="A49" s="8">
        <v>2502</v>
      </c>
      <c r="B49" s="9">
        <v>44058</v>
      </c>
      <c r="C49" s="8">
        <v>30012758</v>
      </c>
      <c r="D49" s="8" t="s">
        <v>28</v>
      </c>
      <c r="E49" s="8" t="s">
        <v>80</v>
      </c>
      <c r="F49" s="8" t="s">
        <v>81</v>
      </c>
      <c r="G49" s="8">
        <v>15018326</v>
      </c>
      <c r="H49" s="8">
        <v>802094891</v>
      </c>
      <c r="I49" s="8" t="s">
        <v>82</v>
      </c>
      <c r="J49" s="8" t="s">
        <v>83</v>
      </c>
      <c r="K49" s="8" t="s">
        <v>487</v>
      </c>
      <c r="L49" s="8" t="s">
        <v>764</v>
      </c>
      <c r="M49" s="9">
        <v>44062</v>
      </c>
      <c r="N49" s="9">
        <v>44105</v>
      </c>
      <c r="O49" s="8">
        <v>293.56799999999998</v>
      </c>
      <c r="P49" s="8" t="s">
        <v>84</v>
      </c>
      <c r="Q49" s="8" t="s">
        <v>85</v>
      </c>
      <c r="R49" s="8" t="s">
        <v>86</v>
      </c>
      <c r="S49" s="8">
        <v>12</v>
      </c>
      <c r="T49" s="8" t="s">
        <v>87</v>
      </c>
      <c r="U49" s="8" t="s">
        <v>290</v>
      </c>
      <c r="V49" s="8" t="s">
        <v>88</v>
      </c>
      <c r="W49" s="8" t="s">
        <v>1228</v>
      </c>
      <c r="X49" s="8"/>
      <c r="Y49" s="8">
        <v>528</v>
      </c>
      <c r="Z49" s="8"/>
      <c r="AA49" s="8" t="s">
        <v>39</v>
      </c>
      <c r="AB49" s="8">
        <v>31</v>
      </c>
      <c r="AC49" s="13">
        <f t="shared" si="6"/>
        <v>44062</v>
      </c>
      <c r="AD49" s="13">
        <f t="shared" si="7"/>
        <v>44105</v>
      </c>
      <c r="AE49" s="8"/>
      <c r="AF49" s="8"/>
      <c r="AG49" s="8"/>
    </row>
    <row r="50" spans="1:33" hidden="1" x14ac:dyDescent="0.2">
      <c r="A50" s="8">
        <v>2502</v>
      </c>
      <c r="B50" s="9">
        <v>44073</v>
      </c>
      <c r="C50" s="8">
        <v>30012758</v>
      </c>
      <c r="D50" s="8" t="s">
        <v>28</v>
      </c>
      <c r="E50" s="8" t="s">
        <v>98</v>
      </c>
      <c r="F50" s="8" t="s">
        <v>205</v>
      </c>
      <c r="G50" s="8">
        <v>15018337</v>
      </c>
      <c r="H50" s="8">
        <v>802094902</v>
      </c>
      <c r="I50" s="8" t="s">
        <v>89</v>
      </c>
      <c r="J50" s="8" t="s">
        <v>90</v>
      </c>
      <c r="K50" s="8" t="s">
        <v>487</v>
      </c>
      <c r="L50" s="8" t="s">
        <v>764</v>
      </c>
      <c r="M50" s="9">
        <v>44062</v>
      </c>
      <c r="N50" s="9">
        <v>44099</v>
      </c>
      <c r="O50" s="8">
        <v>498.4</v>
      </c>
      <c r="P50" s="8" t="s">
        <v>84</v>
      </c>
      <c r="Q50" s="8" t="s">
        <v>1231</v>
      </c>
      <c r="R50" s="8" t="s">
        <v>1232</v>
      </c>
      <c r="S50" s="8">
        <v>20</v>
      </c>
      <c r="T50" s="8" t="s">
        <v>87</v>
      </c>
      <c r="U50" s="8" t="s">
        <v>290</v>
      </c>
      <c r="V50" s="8" t="s">
        <v>88</v>
      </c>
      <c r="W50" s="8" t="s">
        <v>1233</v>
      </c>
      <c r="X50" s="8"/>
      <c r="Y50" s="8">
        <v>700</v>
      </c>
      <c r="Z50" s="8"/>
      <c r="AA50" s="8" t="s">
        <v>39</v>
      </c>
      <c r="AB50" s="8">
        <v>31</v>
      </c>
      <c r="AC50" s="13">
        <f t="shared" si="6"/>
        <v>44062</v>
      </c>
      <c r="AD50" s="13">
        <f t="shared" si="7"/>
        <v>44099</v>
      </c>
      <c r="AE50" s="8"/>
      <c r="AF50" s="8"/>
      <c r="AG50" s="8"/>
    </row>
    <row r="51" spans="1:33" hidden="1" x14ac:dyDescent="0.2">
      <c r="A51" s="8">
        <v>2502</v>
      </c>
      <c r="B51" s="9">
        <v>44073</v>
      </c>
      <c r="C51" s="8">
        <v>30012758</v>
      </c>
      <c r="D51" s="8" t="s">
        <v>91</v>
      </c>
      <c r="E51" s="8" t="s">
        <v>107</v>
      </c>
      <c r="F51" s="8" t="s">
        <v>505</v>
      </c>
      <c r="G51" s="8">
        <v>15018349</v>
      </c>
      <c r="H51" s="8">
        <v>802094910</v>
      </c>
      <c r="I51" s="8" t="s">
        <v>31</v>
      </c>
      <c r="J51" s="8" t="s">
        <v>32</v>
      </c>
      <c r="K51" s="8" t="s">
        <v>487</v>
      </c>
      <c r="L51" s="8" t="s">
        <v>764</v>
      </c>
      <c r="M51" s="9">
        <v>44062</v>
      </c>
      <c r="N51" s="9">
        <v>44081</v>
      </c>
      <c r="O51" s="8">
        <v>90.16</v>
      </c>
      <c r="P51" s="8" t="s">
        <v>84</v>
      </c>
      <c r="Q51" s="8" t="s">
        <v>105</v>
      </c>
      <c r="R51" s="8" t="s">
        <v>106</v>
      </c>
      <c r="S51" s="8">
        <v>4</v>
      </c>
      <c r="T51" s="8" t="s">
        <v>87</v>
      </c>
      <c r="U51" s="8" t="s">
        <v>290</v>
      </c>
      <c r="V51" s="8" t="s">
        <v>88</v>
      </c>
      <c r="W51" s="8" t="s">
        <v>1236</v>
      </c>
      <c r="X51" s="8"/>
      <c r="Y51" s="8">
        <v>92</v>
      </c>
      <c r="Z51" s="8"/>
      <c r="AA51" s="8" t="s">
        <v>109</v>
      </c>
      <c r="AB51" s="8">
        <v>31</v>
      </c>
      <c r="AC51" s="13">
        <f t="shared" si="6"/>
        <v>44062</v>
      </c>
      <c r="AD51" s="13">
        <f t="shared" si="7"/>
        <v>44081</v>
      </c>
      <c r="AE51" s="8"/>
      <c r="AF51" s="8"/>
      <c r="AG51" s="8"/>
    </row>
    <row r="52" spans="1:33" hidden="1" x14ac:dyDescent="0.2">
      <c r="A52" s="8">
        <v>2502</v>
      </c>
      <c r="B52" s="9">
        <v>44053</v>
      </c>
      <c r="C52" s="8">
        <v>30012758</v>
      </c>
      <c r="D52" s="8" t="s">
        <v>44</v>
      </c>
      <c r="E52" s="8" t="s">
        <v>273</v>
      </c>
      <c r="F52" s="8" t="s">
        <v>274</v>
      </c>
      <c r="G52" s="8">
        <v>15018357</v>
      </c>
      <c r="H52" s="8">
        <v>802094917</v>
      </c>
      <c r="I52" s="8" t="s">
        <v>275</v>
      </c>
      <c r="J52" s="8" t="s">
        <v>95</v>
      </c>
      <c r="K52" s="8" t="s">
        <v>487</v>
      </c>
      <c r="L52" s="8" t="s">
        <v>764</v>
      </c>
      <c r="M52" s="9">
        <v>44062</v>
      </c>
      <c r="N52" s="9">
        <v>44088</v>
      </c>
      <c r="O52" s="8">
        <v>182.11199999999999</v>
      </c>
      <c r="P52" s="8" t="s">
        <v>84</v>
      </c>
      <c r="Q52" s="8" t="s">
        <v>131</v>
      </c>
      <c r="R52" s="8" t="s">
        <v>185</v>
      </c>
      <c r="S52" s="8">
        <v>8</v>
      </c>
      <c r="T52" s="8" t="s">
        <v>87</v>
      </c>
      <c r="U52" s="8" t="s">
        <v>290</v>
      </c>
      <c r="V52" s="8" t="s">
        <v>88</v>
      </c>
      <c r="W52" s="8" t="s">
        <v>1239</v>
      </c>
      <c r="X52" s="8"/>
      <c r="Y52" s="8">
        <v>168</v>
      </c>
      <c r="Z52" s="8"/>
      <c r="AA52" s="8" t="s">
        <v>39</v>
      </c>
      <c r="AB52" s="8">
        <v>31</v>
      </c>
      <c r="AC52" s="13">
        <f t="shared" si="6"/>
        <v>44062</v>
      </c>
      <c r="AD52" s="13">
        <f t="shared" si="7"/>
        <v>44088</v>
      </c>
      <c r="AE52" s="8"/>
      <c r="AF52" s="8"/>
      <c r="AG52" s="8"/>
    </row>
    <row r="53" spans="1:33" hidden="1" x14ac:dyDescent="0.2">
      <c r="A53" s="8">
        <v>2502</v>
      </c>
      <c r="B53" s="9">
        <v>44053</v>
      </c>
      <c r="C53" s="8">
        <v>30012758</v>
      </c>
      <c r="D53" s="8" t="s">
        <v>44</v>
      </c>
      <c r="E53" s="8" t="s">
        <v>273</v>
      </c>
      <c r="F53" s="8" t="s">
        <v>274</v>
      </c>
      <c r="G53" s="8">
        <v>15018358</v>
      </c>
      <c r="H53" s="8">
        <v>802094918</v>
      </c>
      <c r="I53" s="8" t="s">
        <v>275</v>
      </c>
      <c r="J53" s="8" t="s">
        <v>95</v>
      </c>
      <c r="K53" s="8" t="s">
        <v>487</v>
      </c>
      <c r="L53" s="8" t="s">
        <v>764</v>
      </c>
      <c r="M53" s="9">
        <v>44062</v>
      </c>
      <c r="N53" s="9">
        <v>44090</v>
      </c>
      <c r="O53" s="8">
        <v>68.292000000000002</v>
      </c>
      <c r="P53" s="8" t="s">
        <v>84</v>
      </c>
      <c r="Q53" s="8" t="s">
        <v>182</v>
      </c>
      <c r="R53" s="8" t="s">
        <v>183</v>
      </c>
      <c r="S53" s="8">
        <v>3</v>
      </c>
      <c r="T53" s="8" t="s">
        <v>87</v>
      </c>
      <c r="U53" s="8" t="s">
        <v>290</v>
      </c>
      <c r="V53" s="8" t="s">
        <v>88</v>
      </c>
      <c r="W53" s="8" t="s">
        <v>1243</v>
      </c>
      <c r="X53" s="8"/>
      <c r="Y53" s="8">
        <v>63</v>
      </c>
      <c r="Z53" s="8"/>
      <c r="AA53" s="8" t="s">
        <v>39</v>
      </c>
      <c r="AB53" s="8">
        <v>31</v>
      </c>
      <c r="AC53" s="13">
        <f t="shared" si="6"/>
        <v>44062</v>
      </c>
      <c r="AD53" s="13">
        <f t="shared" si="7"/>
        <v>44090</v>
      </c>
      <c r="AE53" s="8"/>
      <c r="AF53" s="8"/>
      <c r="AG53" s="8"/>
    </row>
    <row r="54" spans="1:33" hidden="1" x14ac:dyDescent="0.2">
      <c r="A54" s="8">
        <v>2502</v>
      </c>
      <c r="B54" s="9">
        <v>44063</v>
      </c>
      <c r="C54" s="8">
        <v>30012758</v>
      </c>
      <c r="D54" s="8" t="s">
        <v>91</v>
      </c>
      <c r="E54" s="8" t="s">
        <v>138</v>
      </c>
      <c r="F54" s="8" t="s">
        <v>265</v>
      </c>
      <c r="G54" s="8">
        <v>15018372</v>
      </c>
      <c r="H54" s="8">
        <v>802094998</v>
      </c>
      <c r="I54" s="8" t="s">
        <v>383</v>
      </c>
      <c r="J54" s="8" t="s">
        <v>83</v>
      </c>
      <c r="K54" s="8" t="s">
        <v>487</v>
      </c>
      <c r="L54" s="8" t="s">
        <v>764</v>
      </c>
      <c r="M54" s="9">
        <v>44062</v>
      </c>
      <c r="N54" s="9">
        <v>44092</v>
      </c>
      <c r="O54" s="8">
        <v>441.14</v>
      </c>
      <c r="P54" s="8" t="s">
        <v>84</v>
      </c>
      <c r="Q54" s="8" t="s">
        <v>34</v>
      </c>
      <c r="R54" s="8" t="s">
        <v>384</v>
      </c>
      <c r="S54" s="8">
        <v>23</v>
      </c>
      <c r="T54" s="8" t="s">
        <v>87</v>
      </c>
      <c r="U54" s="8" t="s">
        <v>290</v>
      </c>
      <c r="V54" s="8" t="s">
        <v>88</v>
      </c>
      <c r="W54" s="8" t="s">
        <v>1247</v>
      </c>
      <c r="X54" s="8"/>
      <c r="Y54" s="8">
        <v>460</v>
      </c>
      <c r="Z54" s="8"/>
      <c r="AA54" s="8" t="s">
        <v>39</v>
      </c>
      <c r="AB54" s="8">
        <v>31</v>
      </c>
      <c r="AC54" s="13">
        <f t="shared" si="6"/>
        <v>44062</v>
      </c>
      <c r="AD54" s="13">
        <f t="shared" si="7"/>
        <v>44092</v>
      </c>
      <c r="AE54" s="8"/>
      <c r="AF54" s="8"/>
      <c r="AG54" s="8"/>
    </row>
    <row r="55" spans="1:33" hidden="1" x14ac:dyDescent="0.2">
      <c r="A55" s="8">
        <v>2502</v>
      </c>
      <c r="B55" s="9">
        <v>44048</v>
      </c>
      <c r="C55" s="8">
        <v>30012758</v>
      </c>
      <c r="D55" s="8" t="s">
        <v>152</v>
      </c>
      <c r="E55" s="8" t="s">
        <v>138</v>
      </c>
      <c r="F55" s="8" t="s">
        <v>265</v>
      </c>
      <c r="G55" s="8">
        <v>15018374</v>
      </c>
      <c r="H55" s="8">
        <v>802095000</v>
      </c>
      <c r="I55" s="8" t="s">
        <v>598</v>
      </c>
      <c r="J55" s="8" t="s">
        <v>47</v>
      </c>
      <c r="K55" s="8" t="s">
        <v>487</v>
      </c>
      <c r="L55" s="8" t="s">
        <v>764</v>
      </c>
      <c r="M55" s="9">
        <v>44062</v>
      </c>
      <c r="N55" s="9">
        <v>44092</v>
      </c>
      <c r="O55" s="8">
        <v>291.48</v>
      </c>
      <c r="P55" s="8" t="s">
        <v>84</v>
      </c>
      <c r="Q55" s="8" t="s">
        <v>34</v>
      </c>
      <c r="R55" s="8" t="s">
        <v>266</v>
      </c>
      <c r="S55" s="8">
        <v>14</v>
      </c>
      <c r="T55" s="8" t="s">
        <v>87</v>
      </c>
      <c r="U55" s="8" t="s">
        <v>290</v>
      </c>
      <c r="V55" s="8" t="s">
        <v>88</v>
      </c>
      <c r="W55" s="8" t="s">
        <v>1250</v>
      </c>
      <c r="X55" s="8"/>
      <c r="Y55" s="8">
        <v>28</v>
      </c>
      <c r="Z55" s="8" t="s">
        <v>856</v>
      </c>
      <c r="AA55" s="8" t="s">
        <v>39</v>
      </c>
      <c r="AB55" s="8">
        <v>31</v>
      </c>
      <c r="AC55" s="13">
        <f t="shared" si="6"/>
        <v>44062</v>
      </c>
      <c r="AD55" s="13">
        <f t="shared" si="7"/>
        <v>44092</v>
      </c>
      <c r="AE55" s="8"/>
      <c r="AF55" s="8"/>
      <c r="AG55" s="8"/>
    </row>
    <row r="56" spans="1:33" hidden="1" x14ac:dyDescent="0.2">
      <c r="A56" s="8">
        <v>2502</v>
      </c>
      <c r="B56" s="9">
        <v>44048</v>
      </c>
      <c r="C56" s="8">
        <v>30012758</v>
      </c>
      <c r="D56" s="8" t="s">
        <v>152</v>
      </c>
      <c r="E56" s="8" t="s">
        <v>138</v>
      </c>
      <c r="F56" s="8" t="s">
        <v>265</v>
      </c>
      <c r="G56" s="8">
        <v>15018423</v>
      </c>
      <c r="H56" s="8">
        <v>802095061</v>
      </c>
      <c r="I56" s="8" t="s">
        <v>1253</v>
      </c>
      <c r="J56" s="8" t="s">
        <v>47</v>
      </c>
      <c r="K56" s="8" t="s">
        <v>487</v>
      </c>
      <c r="L56" s="8" t="s">
        <v>764</v>
      </c>
      <c r="M56" s="9">
        <v>44062</v>
      </c>
      <c r="N56" s="9">
        <v>44092</v>
      </c>
      <c r="O56" s="8">
        <v>387.29599999999999</v>
      </c>
      <c r="P56" s="8" t="s">
        <v>84</v>
      </c>
      <c r="Q56" s="8" t="s">
        <v>34</v>
      </c>
      <c r="R56" s="8" t="s">
        <v>266</v>
      </c>
      <c r="S56" s="8">
        <v>14</v>
      </c>
      <c r="T56" s="8" t="s">
        <v>87</v>
      </c>
      <c r="U56" s="8" t="s">
        <v>290</v>
      </c>
      <c r="V56" s="8" t="s">
        <v>88</v>
      </c>
      <c r="W56" s="8" t="s">
        <v>1254</v>
      </c>
      <c r="X56" s="8"/>
      <c r="Y56" s="8">
        <v>28</v>
      </c>
      <c r="Z56" s="8" t="s">
        <v>856</v>
      </c>
      <c r="AA56" s="8" t="s">
        <v>39</v>
      </c>
      <c r="AB56" s="8">
        <v>31</v>
      </c>
      <c r="AC56" s="13">
        <f t="shared" si="6"/>
        <v>44062</v>
      </c>
      <c r="AD56" s="13">
        <f t="shared" si="7"/>
        <v>44092</v>
      </c>
      <c r="AE56" s="8"/>
      <c r="AF56" s="8"/>
      <c r="AG56" s="8"/>
    </row>
    <row r="57" spans="1:33" hidden="1" x14ac:dyDescent="0.2">
      <c r="A57" s="8">
        <v>2502</v>
      </c>
      <c r="B57" s="9">
        <v>44048</v>
      </c>
      <c r="C57" s="8">
        <v>30012758</v>
      </c>
      <c r="D57" s="8" t="s">
        <v>152</v>
      </c>
      <c r="E57" s="8" t="s">
        <v>138</v>
      </c>
      <c r="F57" s="8" t="s">
        <v>265</v>
      </c>
      <c r="G57" s="8">
        <v>15018424</v>
      </c>
      <c r="H57" s="8">
        <v>802095062</v>
      </c>
      <c r="I57" s="8" t="s">
        <v>1257</v>
      </c>
      <c r="J57" s="8" t="s">
        <v>47</v>
      </c>
      <c r="K57" s="8" t="s">
        <v>487</v>
      </c>
      <c r="L57" s="8" t="s">
        <v>764</v>
      </c>
      <c r="M57" s="9">
        <v>44062</v>
      </c>
      <c r="N57" s="9">
        <v>44092</v>
      </c>
      <c r="O57" s="8">
        <v>260</v>
      </c>
      <c r="P57" s="8" t="s">
        <v>84</v>
      </c>
      <c r="Q57" s="8" t="s">
        <v>34</v>
      </c>
      <c r="R57" s="8" t="s">
        <v>266</v>
      </c>
      <c r="S57" s="8">
        <v>13</v>
      </c>
      <c r="T57" s="8" t="s">
        <v>87</v>
      </c>
      <c r="U57" s="8" t="s">
        <v>290</v>
      </c>
      <c r="V57" s="8" t="s">
        <v>88</v>
      </c>
      <c r="W57" s="8" t="s">
        <v>1258</v>
      </c>
      <c r="X57" s="8"/>
      <c r="Y57" s="8">
        <v>25</v>
      </c>
      <c r="Z57" s="8" t="s">
        <v>856</v>
      </c>
      <c r="AA57" s="8" t="s">
        <v>39</v>
      </c>
      <c r="AB57" s="8">
        <v>31</v>
      </c>
      <c r="AC57" s="13">
        <f t="shared" si="6"/>
        <v>44062</v>
      </c>
      <c r="AD57" s="13">
        <f t="shared" si="7"/>
        <v>44092</v>
      </c>
      <c r="AE57" s="8"/>
      <c r="AF57" s="8"/>
      <c r="AG57" s="8"/>
    </row>
    <row r="58" spans="1:33" hidden="1" x14ac:dyDescent="0.2">
      <c r="A58" s="8">
        <v>2502</v>
      </c>
      <c r="B58" s="9">
        <v>44048</v>
      </c>
      <c r="C58" s="8">
        <v>30012758</v>
      </c>
      <c r="D58" s="8" t="s">
        <v>152</v>
      </c>
      <c r="E58" s="8" t="s">
        <v>138</v>
      </c>
      <c r="F58" s="8" t="s">
        <v>265</v>
      </c>
      <c r="G58" s="8">
        <v>15018425</v>
      </c>
      <c r="H58" s="8">
        <v>802095063</v>
      </c>
      <c r="I58" s="8" t="s">
        <v>1261</v>
      </c>
      <c r="J58" s="8" t="s">
        <v>47</v>
      </c>
      <c r="K58" s="8" t="s">
        <v>487</v>
      </c>
      <c r="L58" s="8" t="s">
        <v>764</v>
      </c>
      <c r="M58" s="9">
        <v>44062</v>
      </c>
      <c r="N58" s="9">
        <v>44092</v>
      </c>
      <c r="O58" s="8">
        <v>281.30399999999997</v>
      </c>
      <c r="P58" s="8" t="s">
        <v>84</v>
      </c>
      <c r="Q58" s="8" t="s">
        <v>34</v>
      </c>
      <c r="R58" s="8" t="s">
        <v>266</v>
      </c>
      <c r="S58" s="8">
        <v>12</v>
      </c>
      <c r="T58" s="8" t="s">
        <v>87</v>
      </c>
      <c r="U58" s="8" t="s">
        <v>290</v>
      </c>
      <c r="V58" s="8" t="s">
        <v>88</v>
      </c>
      <c r="W58" s="8" t="s">
        <v>1262</v>
      </c>
      <c r="X58" s="8"/>
      <c r="Y58" s="8">
        <v>24</v>
      </c>
      <c r="Z58" s="8" t="s">
        <v>856</v>
      </c>
      <c r="AA58" s="8" t="s">
        <v>39</v>
      </c>
      <c r="AB58" s="8">
        <v>31</v>
      </c>
      <c r="AC58" s="13">
        <f t="shared" si="6"/>
        <v>44062</v>
      </c>
      <c r="AD58" s="13">
        <f t="shared" si="7"/>
        <v>44092</v>
      </c>
      <c r="AE58" s="8"/>
      <c r="AF58" s="8"/>
      <c r="AG58" s="8"/>
    </row>
    <row r="59" spans="1:33" hidden="1" x14ac:dyDescent="0.2">
      <c r="A59" s="8">
        <v>2502</v>
      </c>
      <c r="B59" s="9">
        <v>44042</v>
      </c>
      <c r="C59" s="8">
        <v>30012758</v>
      </c>
      <c r="D59" s="8" t="s">
        <v>91</v>
      </c>
      <c r="E59" s="8" t="s">
        <v>217</v>
      </c>
      <c r="F59" s="8" t="s">
        <v>218</v>
      </c>
      <c r="G59" s="8">
        <v>15018502</v>
      </c>
      <c r="H59" s="8">
        <v>802095187</v>
      </c>
      <c r="I59" s="8" t="s">
        <v>540</v>
      </c>
      <c r="J59" s="8" t="s">
        <v>47</v>
      </c>
      <c r="K59" s="8" t="s">
        <v>487</v>
      </c>
      <c r="L59" s="8" t="s">
        <v>764</v>
      </c>
      <c r="M59" s="9">
        <v>44062</v>
      </c>
      <c r="N59" s="9">
        <v>44092</v>
      </c>
      <c r="O59" s="8">
        <v>23.712</v>
      </c>
      <c r="P59" s="8" t="s">
        <v>84</v>
      </c>
      <c r="Q59" s="8" t="s">
        <v>34</v>
      </c>
      <c r="R59" s="8" t="s">
        <v>35</v>
      </c>
      <c r="S59" s="8">
        <v>1</v>
      </c>
      <c r="T59" s="8" t="s">
        <v>87</v>
      </c>
      <c r="U59" s="8" t="s">
        <v>290</v>
      </c>
      <c r="V59" s="8" t="s">
        <v>88</v>
      </c>
      <c r="W59" s="8" t="s">
        <v>765</v>
      </c>
      <c r="X59" s="8"/>
      <c r="Y59" s="8">
        <v>2</v>
      </c>
      <c r="Z59" s="8"/>
      <c r="AA59" s="8" t="s">
        <v>39</v>
      </c>
      <c r="AB59" s="8">
        <v>31</v>
      </c>
      <c r="AC59" s="13">
        <f t="shared" si="6"/>
        <v>44062</v>
      </c>
      <c r="AD59" s="13">
        <f t="shared" si="7"/>
        <v>44092</v>
      </c>
      <c r="AE59" s="8"/>
      <c r="AF59" s="8"/>
      <c r="AG59" s="8"/>
    </row>
    <row r="60" spans="1:33" hidden="1" x14ac:dyDescent="0.2">
      <c r="A60" s="8">
        <v>2504</v>
      </c>
      <c r="B60" s="9">
        <v>44042</v>
      </c>
      <c r="C60" s="8">
        <v>30012752</v>
      </c>
      <c r="D60" s="8" t="s">
        <v>91</v>
      </c>
      <c r="E60" s="8" t="s">
        <v>728</v>
      </c>
      <c r="F60" s="8" t="s">
        <v>729</v>
      </c>
      <c r="G60" s="8">
        <v>15018161</v>
      </c>
      <c r="H60" s="8">
        <v>802094241</v>
      </c>
      <c r="I60" s="8" t="s">
        <v>730</v>
      </c>
      <c r="J60" s="8" t="s">
        <v>58</v>
      </c>
      <c r="K60" s="8" t="s">
        <v>739</v>
      </c>
      <c r="L60" s="8" t="s">
        <v>740</v>
      </c>
      <c r="M60" s="9">
        <v>44046</v>
      </c>
      <c r="N60" s="9">
        <v>44103</v>
      </c>
      <c r="O60" s="8">
        <v>103.446</v>
      </c>
      <c r="P60" s="8" t="s">
        <v>48</v>
      </c>
      <c r="Q60" s="8" t="s">
        <v>731</v>
      </c>
      <c r="R60" s="8" t="s">
        <v>732</v>
      </c>
      <c r="S60" s="8">
        <v>4</v>
      </c>
      <c r="T60" s="8" t="s">
        <v>72</v>
      </c>
      <c r="U60" s="8" t="s">
        <v>37</v>
      </c>
      <c r="V60" s="8" t="s">
        <v>65</v>
      </c>
      <c r="W60" s="8" t="s">
        <v>742</v>
      </c>
      <c r="X60" s="8"/>
      <c r="Y60" s="8">
        <v>44</v>
      </c>
      <c r="Z60" s="8" t="s">
        <v>53</v>
      </c>
      <c r="AA60" s="8" t="s">
        <v>733</v>
      </c>
      <c r="AB60" s="8">
        <v>31</v>
      </c>
      <c r="AC60" s="13">
        <v>44048</v>
      </c>
      <c r="AD60" s="13">
        <v>44117</v>
      </c>
      <c r="AE60" s="8">
        <v>2</v>
      </c>
      <c r="AF60" s="8">
        <v>14</v>
      </c>
      <c r="AG60" s="8" t="s">
        <v>1683</v>
      </c>
    </row>
    <row r="61" spans="1:33" hidden="1" x14ac:dyDescent="0.2">
      <c r="A61" s="8">
        <v>2504</v>
      </c>
      <c r="B61" s="9">
        <v>44042</v>
      </c>
      <c r="C61" s="8">
        <v>30012629</v>
      </c>
      <c r="D61" s="8" t="s">
        <v>137</v>
      </c>
      <c r="E61" s="8" t="s">
        <v>513</v>
      </c>
      <c r="F61" s="8" t="s">
        <v>514</v>
      </c>
      <c r="G61" s="8">
        <v>15017854</v>
      </c>
      <c r="H61" s="8">
        <v>802093699</v>
      </c>
      <c r="I61" s="8" t="s">
        <v>77</v>
      </c>
      <c r="J61" s="8" t="s">
        <v>32</v>
      </c>
      <c r="K61" s="8" t="s">
        <v>591</v>
      </c>
      <c r="L61" s="8" t="s">
        <v>356</v>
      </c>
      <c r="M61" s="9">
        <v>44049</v>
      </c>
      <c r="N61" s="9">
        <v>44068</v>
      </c>
      <c r="O61" s="8">
        <v>512.86</v>
      </c>
      <c r="P61" s="8" t="s">
        <v>48</v>
      </c>
      <c r="Q61" s="8" t="s">
        <v>516</v>
      </c>
      <c r="R61" s="8" t="s">
        <v>517</v>
      </c>
      <c r="S61" s="8">
        <v>19</v>
      </c>
      <c r="T61" s="8" t="s">
        <v>362</v>
      </c>
      <c r="U61" s="8" t="s">
        <v>37</v>
      </c>
      <c r="V61" s="8" t="s">
        <v>155</v>
      </c>
      <c r="W61" s="8" t="s">
        <v>626</v>
      </c>
      <c r="X61" s="8"/>
      <c r="Y61" s="8">
        <v>494</v>
      </c>
      <c r="Z61" s="8" t="s">
        <v>292</v>
      </c>
      <c r="AA61" s="8" t="s">
        <v>39</v>
      </c>
      <c r="AB61" s="8">
        <v>31</v>
      </c>
      <c r="AC61" s="13">
        <v>44051</v>
      </c>
      <c r="AD61" s="13">
        <v>44068</v>
      </c>
      <c r="AE61" s="8">
        <v>2</v>
      </c>
      <c r="AF61" s="8"/>
      <c r="AG61" s="8" t="s">
        <v>1681</v>
      </c>
    </row>
    <row r="62" spans="1:33" hidden="1" x14ac:dyDescent="0.2">
      <c r="A62" s="8">
        <v>2524</v>
      </c>
      <c r="B62" s="9">
        <v>44032</v>
      </c>
      <c r="C62" s="8">
        <v>30012629</v>
      </c>
      <c r="D62" s="8" t="s">
        <v>178</v>
      </c>
      <c r="E62" s="8" t="s">
        <v>186</v>
      </c>
      <c r="F62" s="8" t="s">
        <v>187</v>
      </c>
      <c r="G62" s="8">
        <v>15017961</v>
      </c>
      <c r="H62" s="8">
        <v>802093874</v>
      </c>
      <c r="I62" s="8" t="s">
        <v>389</v>
      </c>
      <c r="J62" s="8" t="s">
        <v>47</v>
      </c>
      <c r="K62" s="8" t="s">
        <v>591</v>
      </c>
      <c r="L62" s="8" t="s">
        <v>356</v>
      </c>
      <c r="M62" s="9">
        <v>44049</v>
      </c>
      <c r="N62" s="9">
        <v>44061</v>
      </c>
      <c r="O62" s="8">
        <v>173.89099999999999</v>
      </c>
      <c r="P62" s="8" t="s">
        <v>48</v>
      </c>
      <c r="Q62" s="8" t="s">
        <v>182</v>
      </c>
      <c r="R62" s="8" t="s">
        <v>391</v>
      </c>
      <c r="S62" s="8">
        <v>7</v>
      </c>
      <c r="T62" s="8" t="s">
        <v>36</v>
      </c>
      <c r="U62" s="8" t="s">
        <v>37</v>
      </c>
      <c r="V62" s="8" t="s">
        <v>155</v>
      </c>
      <c r="W62" s="8" t="s">
        <v>629</v>
      </c>
      <c r="X62" s="8"/>
      <c r="Y62" s="8">
        <v>140</v>
      </c>
      <c r="Z62" s="8" t="s">
        <v>53</v>
      </c>
      <c r="AA62" s="8" t="s">
        <v>190</v>
      </c>
      <c r="AB62" s="8">
        <v>31</v>
      </c>
      <c r="AC62" s="13">
        <v>44051</v>
      </c>
      <c r="AD62" s="13">
        <f t="shared" ref="AD62:AD69" si="8">N62</f>
        <v>44061</v>
      </c>
      <c r="AE62" s="8">
        <v>2</v>
      </c>
      <c r="AF62" s="8"/>
      <c r="AG62" s="8" t="s">
        <v>1681</v>
      </c>
    </row>
    <row r="63" spans="1:33" hidden="1" x14ac:dyDescent="0.2">
      <c r="A63" s="8">
        <v>2504</v>
      </c>
      <c r="B63" s="9">
        <v>44024</v>
      </c>
      <c r="C63" s="8">
        <v>30012837</v>
      </c>
      <c r="D63" s="8" t="s">
        <v>62</v>
      </c>
      <c r="E63" s="8" t="s">
        <v>167</v>
      </c>
      <c r="F63" s="8" t="s">
        <v>168</v>
      </c>
      <c r="G63" s="8">
        <v>15017725</v>
      </c>
      <c r="H63" s="8">
        <v>802093669</v>
      </c>
      <c r="I63" s="8" t="s">
        <v>77</v>
      </c>
      <c r="J63" s="8" t="s">
        <v>32</v>
      </c>
      <c r="K63" s="8" t="s">
        <v>759</v>
      </c>
      <c r="L63" s="8" t="s">
        <v>760</v>
      </c>
      <c r="M63" s="9">
        <v>44049</v>
      </c>
      <c r="N63" s="9">
        <v>44074</v>
      </c>
      <c r="O63" s="8">
        <v>199.77500000000001</v>
      </c>
      <c r="P63" s="8" t="s">
        <v>48</v>
      </c>
      <c r="Q63" s="8" t="s">
        <v>166</v>
      </c>
      <c r="R63" s="8" t="s">
        <v>169</v>
      </c>
      <c r="S63" s="8">
        <v>8</v>
      </c>
      <c r="T63" s="8" t="s">
        <v>36</v>
      </c>
      <c r="U63" s="8" t="s">
        <v>37</v>
      </c>
      <c r="V63" s="8" t="s">
        <v>52</v>
      </c>
      <c r="W63" s="8" t="s">
        <v>610</v>
      </c>
      <c r="X63" s="8"/>
      <c r="Y63" s="8">
        <v>192</v>
      </c>
      <c r="Z63" s="8" t="s">
        <v>611</v>
      </c>
      <c r="AA63" s="8" t="s">
        <v>39</v>
      </c>
      <c r="AB63" s="8">
        <v>31</v>
      </c>
      <c r="AC63" s="13">
        <f>M63</f>
        <v>44049</v>
      </c>
      <c r="AD63" s="13">
        <f t="shared" si="8"/>
        <v>44074</v>
      </c>
      <c r="AE63" s="8">
        <v>0</v>
      </c>
      <c r="AF63" s="8"/>
      <c r="AG63" s="8"/>
    </row>
    <row r="64" spans="1:33" x14ac:dyDescent="0.2">
      <c r="A64" s="8">
        <v>2501</v>
      </c>
      <c r="B64" s="9">
        <v>44073</v>
      </c>
      <c r="C64" s="8">
        <v>30012857</v>
      </c>
      <c r="D64" s="8" t="s">
        <v>28</v>
      </c>
      <c r="E64" s="8" t="s">
        <v>29</v>
      </c>
      <c r="F64" s="8" t="s">
        <v>41</v>
      </c>
      <c r="G64" s="8">
        <v>15018498</v>
      </c>
      <c r="H64" s="8">
        <v>802095184</v>
      </c>
      <c r="I64" s="8" t="s">
        <v>31</v>
      </c>
      <c r="J64" s="8" t="s">
        <v>32</v>
      </c>
      <c r="K64" s="8" t="s">
        <v>574</v>
      </c>
      <c r="L64" s="8" t="s">
        <v>1516</v>
      </c>
      <c r="M64" s="9">
        <v>44074</v>
      </c>
      <c r="N64" s="9">
        <v>44090</v>
      </c>
      <c r="O64" s="8">
        <v>501.904</v>
      </c>
      <c r="P64" s="8" t="s">
        <v>33</v>
      </c>
      <c r="Q64" s="8" t="s">
        <v>115</v>
      </c>
      <c r="R64" s="8" t="s">
        <v>116</v>
      </c>
      <c r="S64" s="8">
        <v>26</v>
      </c>
      <c r="T64" s="8" t="s">
        <v>140</v>
      </c>
      <c r="U64" s="8" t="s">
        <v>290</v>
      </c>
      <c r="V64" s="8" t="s">
        <v>52</v>
      </c>
      <c r="W64" s="8" t="s">
        <v>1655</v>
      </c>
      <c r="X64" s="8"/>
      <c r="Y64" s="8">
        <v>494</v>
      </c>
      <c r="Z64" s="8"/>
      <c r="AA64" s="8" t="s">
        <v>39</v>
      </c>
      <c r="AB64" s="8">
        <v>31</v>
      </c>
      <c r="AC64" s="13">
        <f>M64</f>
        <v>44074</v>
      </c>
      <c r="AD64" s="13">
        <f t="shared" si="8"/>
        <v>44090</v>
      </c>
      <c r="AE64" s="8">
        <v>0</v>
      </c>
      <c r="AF64" s="8"/>
      <c r="AG64" s="8"/>
    </row>
    <row r="65" spans="1:33" x14ac:dyDescent="0.2">
      <c r="A65" s="8">
        <v>2501</v>
      </c>
      <c r="B65" s="9">
        <v>44073</v>
      </c>
      <c r="C65" s="8">
        <v>30012857</v>
      </c>
      <c r="D65" s="8" t="s">
        <v>28</v>
      </c>
      <c r="E65" s="8" t="s">
        <v>29</v>
      </c>
      <c r="F65" s="8" t="s">
        <v>41</v>
      </c>
      <c r="G65" s="8">
        <v>15018499</v>
      </c>
      <c r="H65" s="8">
        <v>802095185</v>
      </c>
      <c r="I65" s="8" t="s">
        <v>31</v>
      </c>
      <c r="J65" s="8" t="s">
        <v>32</v>
      </c>
      <c r="K65" s="8" t="s">
        <v>574</v>
      </c>
      <c r="L65" s="8" t="s">
        <v>1516</v>
      </c>
      <c r="M65" s="9">
        <v>44074</v>
      </c>
      <c r="N65" s="9">
        <v>44090</v>
      </c>
      <c r="O65" s="8">
        <v>501.904</v>
      </c>
      <c r="P65" s="8" t="s">
        <v>33</v>
      </c>
      <c r="Q65" s="8" t="s">
        <v>115</v>
      </c>
      <c r="R65" s="8" t="s">
        <v>116</v>
      </c>
      <c r="S65" s="8">
        <v>26</v>
      </c>
      <c r="T65" s="8" t="s">
        <v>140</v>
      </c>
      <c r="U65" s="8" t="s">
        <v>290</v>
      </c>
      <c r="V65" s="8" t="s">
        <v>52</v>
      </c>
      <c r="W65" s="8" t="s">
        <v>1658</v>
      </c>
      <c r="X65" s="8"/>
      <c r="Y65" s="8">
        <v>494</v>
      </c>
      <c r="Z65" s="8"/>
      <c r="AA65" s="8" t="s">
        <v>39</v>
      </c>
      <c r="AB65" s="8">
        <v>31</v>
      </c>
      <c r="AC65" s="15">
        <f>M65</f>
        <v>44074</v>
      </c>
      <c r="AD65" s="13">
        <f t="shared" si="8"/>
        <v>44090</v>
      </c>
      <c r="AE65" s="8">
        <v>0</v>
      </c>
      <c r="AF65" s="8"/>
      <c r="AG65" s="8"/>
    </row>
    <row r="66" spans="1:33" hidden="1" x14ac:dyDescent="0.2">
      <c r="A66" s="8">
        <v>2502</v>
      </c>
      <c r="B66" s="9">
        <v>44053</v>
      </c>
      <c r="C66" s="8">
        <v>30012791</v>
      </c>
      <c r="D66" s="8" t="s">
        <v>91</v>
      </c>
      <c r="E66" s="8" t="s">
        <v>214</v>
      </c>
      <c r="F66" s="8" t="s">
        <v>215</v>
      </c>
      <c r="G66" s="8">
        <v>15018188</v>
      </c>
      <c r="H66" s="8">
        <v>802094756</v>
      </c>
      <c r="I66" s="8" t="s">
        <v>216</v>
      </c>
      <c r="J66" s="8" t="s">
        <v>95</v>
      </c>
      <c r="K66" s="8" t="s">
        <v>920</v>
      </c>
      <c r="L66" s="8" t="s">
        <v>831</v>
      </c>
      <c r="M66" s="9">
        <v>44055</v>
      </c>
      <c r="N66" s="9">
        <v>44071</v>
      </c>
      <c r="O66" s="8">
        <v>158.62</v>
      </c>
      <c r="P66" s="8" t="s">
        <v>492</v>
      </c>
      <c r="Q66" s="8" t="s">
        <v>100</v>
      </c>
      <c r="R66" s="8" t="s">
        <v>101</v>
      </c>
      <c r="S66" s="8">
        <v>7</v>
      </c>
      <c r="T66" s="8" t="s">
        <v>87</v>
      </c>
      <c r="U66" s="8" t="s">
        <v>290</v>
      </c>
      <c r="V66" s="8" t="s">
        <v>504</v>
      </c>
      <c r="W66" s="8" t="s">
        <v>921</v>
      </c>
      <c r="X66" s="8"/>
      <c r="Y66" s="8">
        <v>140</v>
      </c>
      <c r="Z66" s="8"/>
      <c r="AA66" s="8" t="s">
        <v>39</v>
      </c>
      <c r="AB66" s="8">
        <v>31</v>
      </c>
      <c r="AC66" s="13">
        <v>44060</v>
      </c>
      <c r="AD66" s="13">
        <f t="shared" si="8"/>
        <v>44071</v>
      </c>
      <c r="AE66" s="8">
        <v>5</v>
      </c>
      <c r="AF66" s="8">
        <v>0</v>
      </c>
      <c r="AG66" s="8" t="s">
        <v>1682</v>
      </c>
    </row>
    <row r="67" spans="1:33" hidden="1" x14ac:dyDescent="0.2">
      <c r="A67" s="8">
        <v>2502</v>
      </c>
      <c r="B67" s="9">
        <v>44068</v>
      </c>
      <c r="C67" s="8">
        <v>30012800</v>
      </c>
      <c r="D67" s="8" t="s">
        <v>28</v>
      </c>
      <c r="E67" s="8" t="s">
        <v>80</v>
      </c>
      <c r="F67" s="8" t="s">
        <v>81</v>
      </c>
      <c r="G67" s="8">
        <v>15018327</v>
      </c>
      <c r="H67" s="8">
        <v>802094892</v>
      </c>
      <c r="I67" s="8" t="s">
        <v>82</v>
      </c>
      <c r="J67" s="8" t="s">
        <v>83</v>
      </c>
      <c r="K67" s="8" t="s">
        <v>920</v>
      </c>
      <c r="L67" s="8" t="s">
        <v>831</v>
      </c>
      <c r="M67" s="9">
        <v>44055</v>
      </c>
      <c r="N67" s="9">
        <v>44082</v>
      </c>
      <c r="O67" s="8">
        <v>343.10300000000001</v>
      </c>
      <c r="P67" s="8" t="s">
        <v>492</v>
      </c>
      <c r="Q67" s="8" t="s">
        <v>85</v>
      </c>
      <c r="R67" s="8" t="s">
        <v>86</v>
      </c>
      <c r="S67" s="8">
        <v>14</v>
      </c>
      <c r="T67" s="8" t="s">
        <v>87</v>
      </c>
      <c r="U67" s="8" t="s">
        <v>37</v>
      </c>
      <c r="V67" s="8" t="s">
        <v>493</v>
      </c>
      <c r="W67" s="8" t="s">
        <v>925</v>
      </c>
      <c r="X67" s="8"/>
      <c r="Y67" s="8">
        <v>616</v>
      </c>
      <c r="Z67" s="8"/>
      <c r="AA67" s="8" t="s">
        <v>39</v>
      </c>
      <c r="AB67" s="8">
        <v>31</v>
      </c>
      <c r="AC67" s="13">
        <v>44060</v>
      </c>
      <c r="AD67" s="13">
        <f t="shared" si="8"/>
        <v>44082</v>
      </c>
      <c r="AE67" s="8">
        <v>5</v>
      </c>
      <c r="AF67" s="8">
        <v>0</v>
      </c>
      <c r="AG67" s="8" t="s">
        <v>1680</v>
      </c>
    </row>
    <row r="68" spans="1:33" hidden="1" x14ac:dyDescent="0.2">
      <c r="A68" s="8">
        <v>2502</v>
      </c>
      <c r="B68" s="9">
        <v>44053</v>
      </c>
      <c r="C68" s="8">
        <v>30012800</v>
      </c>
      <c r="D68" s="8" t="s">
        <v>102</v>
      </c>
      <c r="E68" s="8" t="s">
        <v>191</v>
      </c>
      <c r="F68" s="8" t="s">
        <v>192</v>
      </c>
      <c r="G68" s="8">
        <v>15018355</v>
      </c>
      <c r="H68" s="8">
        <v>802094915</v>
      </c>
      <c r="I68" s="8" t="s">
        <v>193</v>
      </c>
      <c r="J68" s="8" t="s">
        <v>83</v>
      </c>
      <c r="K68" s="8" t="s">
        <v>920</v>
      </c>
      <c r="L68" s="8" t="s">
        <v>831</v>
      </c>
      <c r="M68" s="9">
        <v>44055</v>
      </c>
      <c r="N68" s="9">
        <v>44082</v>
      </c>
      <c r="O68" s="8">
        <v>99.534000000000006</v>
      </c>
      <c r="P68" s="8" t="s">
        <v>492</v>
      </c>
      <c r="Q68" s="8" t="s">
        <v>85</v>
      </c>
      <c r="R68" s="8" t="s">
        <v>194</v>
      </c>
      <c r="S68" s="8">
        <v>4</v>
      </c>
      <c r="T68" s="8" t="s">
        <v>87</v>
      </c>
      <c r="U68" s="8" t="s">
        <v>37</v>
      </c>
      <c r="V68" s="8" t="s">
        <v>493</v>
      </c>
      <c r="W68" s="8" t="s">
        <v>929</v>
      </c>
      <c r="X68" s="8"/>
      <c r="Y68" s="8">
        <v>179</v>
      </c>
      <c r="Z68" s="8"/>
      <c r="AA68" s="8" t="s">
        <v>39</v>
      </c>
      <c r="AB68" s="8">
        <v>31</v>
      </c>
      <c r="AC68" s="13">
        <v>44060</v>
      </c>
      <c r="AD68" s="13">
        <f t="shared" si="8"/>
        <v>44082</v>
      </c>
      <c r="AE68" s="8">
        <v>5</v>
      </c>
      <c r="AF68" s="8">
        <v>0</v>
      </c>
      <c r="AG68" s="8" t="s">
        <v>1680</v>
      </c>
    </row>
    <row r="69" spans="1:33" hidden="1" x14ac:dyDescent="0.2">
      <c r="A69" s="8">
        <v>2504</v>
      </c>
      <c r="B69" s="9">
        <v>44043</v>
      </c>
      <c r="C69" s="8">
        <v>30012837</v>
      </c>
      <c r="D69" s="8" t="s">
        <v>137</v>
      </c>
      <c r="E69" s="8" t="s">
        <v>392</v>
      </c>
      <c r="F69" s="8" t="s">
        <v>393</v>
      </c>
      <c r="G69" s="8">
        <v>15017885</v>
      </c>
      <c r="H69" s="8">
        <v>802093853</v>
      </c>
      <c r="I69" s="8" t="s">
        <v>394</v>
      </c>
      <c r="J69" s="8" t="s">
        <v>58</v>
      </c>
      <c r="K69" s="8" t="s">
        <v>759</v>
      </c>
      <c r="L69" s="8" t="s">
        <v>760</v>
      </c>
      <c r="M69" s="9">
        <v>44049</v>
      </c>
      <c r="N69" s="9">
        <v>44074</v>
      </c>
      <c r="O69" s="8">
        <v>146.59200000000001</v>
      </c>
      <c r="P69" s="8" t="s">
        <v>48</v>
      </c>
      <c r="Q69" s="8" t="s">
        <v>166</v>
      </c>
      <c r="R69" s="8" t="s">
        <v>395</v>
      </c>
      <c r="S69" s="8">
        <v>6</v>
      </c>
      <c r="T69" s="8" t="s">
        <v>36</v>
      </c>
      <c r="U69" s="8" t="s">
        <v>37</v>
      </c>
      <c r="V69" s="8" t="s">
        <v>52</v>
      </c>
      <c r="W69" s="8" t="s">
        <v>721</v>
      </c>
      <c r="X69" s="8"/>
      <c r="Y69" s="8">
        <v>72</v>
      </c>
      <c r="Z69" s="8" t="s">
        <v>722</v>
      </c>
      <c r="AA69" s="8" t="s">
        <v>39</v>
      </c>
      <c r="AB69" s="8">
        <v>31</v>
      </c>
      <c r="AC69" s="13">
        <f>M69</f>
        <v>44049</v>
      </c>
      <c r="AD69" s="13">
        <f t="shared" si="8"/>
        <v>44074</v>
      </c>
      <c r="AE69" s="8">
        <v>0</v>
      </c>
      <c r="AF69" s="8"/>
      <c r="AG69" s="8"/>
    </row>
    <row r="70" spans="1:33" hidden="1" x14ac:dyDescent="0.2">
      <c r="A70" s="8">
        <v>2502</v>
      </c>
      <c r="B70" s="9">
        <v>44048</v>
      </c>
      <c r="C70" s="8">
        <v>30012793</v>
      </c>
      <c r="D70" s="8" t="s">
        <v>152</v>
      </c>
      <c r="E70" s="8" t="s">
        <v>200</v>
      </c>
      <c r="F70" s="8" t="s">
        <v>201</v>
      </c>
      <c r="G70" s="8">
        <v>15018289</v>
      </c>
      <c r="H70" s="8">
        <v>802094850</v>
      </c>
      <c r="I70" s="8" t="s">
        <v>202</v>
      </c>
      <c r="J70" s="8" t="s">
        <v>95</v>
      </c>
      <c r="K70" s="8" t="s">
        <v>133</v>
      </c>
      <c r="L70" s="8" t="s">
        <v>954</v>
      </c>
      <c r="M70" s="9">
        <v>44064</v>
      </c>
      <c r="N70" s="9">
        <v>44088</v>
      </c>
      <c r="O70" s="8">
        <v>263.10899999999998</v>
      </c>
      <c r="P70" s="8" t="s">
        <v>492</v>
      </c>
      <c r="Q70" s="8" t="s">
        <v>203</v>
      </c>
      <c r="R70" s="8" t="s">
        <v>204</v>
      </c>
      <c r="S70" s="8">
        <v>11</v>
      </c>
      <c r="T70" s="8" t="s">
        <v>87</v>
      </c>
      <c r="U70" s="8" t="s">
        <v>290</v>
      </c>
      <c r="V70" s="8" t="s">
        <v>504</v>
      </c>
      <c r="W70" s="8" t="s">
        <v>1163</v>
      </c>
      <c r="X70" s="8"/>
      <c r="Y70" s="8">
        <v>187</v>
      </c>
      <c r="Z70" s="8"/>
      <c r="AA70" s="8" t="s">
        <v>39</v>
      </c>
      <c r="AB70" s="8">
        <v>31</v>
      </c>
      <c r="AC70" s="13">
        <v>44064</v>
      </c>
      <c r="AD70" s="13">
        <v>44088</v>
      </c>
      <c r="AE70" s="8">
        <v>0</v>
      </c>
      <c r="AF70" s="8">
        <v>0</v>
      </c>
      <c r="AG70" s="8" t="s">
        <v>1682</v>
      </c>
    </row>
    <row r="71" spans="1:33" hidden="1" x14ac:dyDescent="0.2">
      <c r="A71" s="8">
        <v>2504</v>
      </c>
      <c r="B71" s="9">
        <v>44074</v>
      </c>
      <c r="C71" s="8">
        <v>30012813</v>
      </c>
      <c r="D71" s="8" t="s">
        <v>28</v>
      </c>
      <c r="E71" s="8" t="s">
        <v>253</v>
      </c>
      <c r="F71" s="8" t="s">
        <v>254</v>
      </c>
      <c r="G71" s="8">
        <v>15018199</v>
      </c>
      <c r="H71" s="8">
        <v>802094735</v>
      </c>
      <c r="I71" s="8" t="s">
        <v>255</v>
      </c>
      <c r="J71" s="8" t="s">
        <v>58</v>
      </c>
      <c r="K71" s="8" t="s">
        <v>489</v>
      </c>
      <c r="L71" s="8" t="s">
        <v>896</v>
      </c>
      <c r="M71" s="9">
        <v>44050</v>
      </c>
      <c r="N71" s="9">
        <v>44072</v>
      </c>
      <c r="O71" s="8">
        <v>92.53</v>
      </c>
      <c r="P71" s="8" t="s">
        <v>48</v>
      </c>
      <c r="Q71" s="8" t="s">
        <v>59</v>
      </c>
      <c r="R71" s="8" t="s">
        <v>60</v>
      </c>
      <c r="S71" s="8">
        <v>4</v>
      </c>
      <c r="T71" s="8" t="s">
        <v>61</v>
      </c>
      <c r="U71" s="8" t="s">
        <v>37</v>
      </c>
      <c r="V71" s="8" t="s">
        <v>52</v>
      </c>
      <c r="W71" s="8" t="s">
        <v>897</v>
      </c>
      <c r="X71" s="8"/>
      <c r="Y71" s="8">
        <v>40</v>
      </c>
      <c r="Z71" s="8" t="s">
        <v>898</v>
      </c>
      <c r="AA71" s="8" t="s">
        <v>175</v>
      </c>
      <c r="AB71" s="8">
        <v>31</v>
      </c>
      <c r="AC71" s="13">
        <v>44052</v>
      </c>
      <c r="AD71" s="13">
        <v>44074</v>
      </c>
      <c r="AE71" s="8">
        <v>2</v>
      </c>
      <c r="AF71" s="8">
        <v>2</v>
      </c>
      <c r="AG71" s="8" t="s">
        <v>1681</v>
      </c>
    </row>
    <row r="72" spans="1:33" hidden="1" x14ac:dyDescent="0.2">
      <c r="A72" s="8">
        <v>2504</v>
      </c>
      <c r="B72" s="9">
        <v>44074</v>
      </c>
      <c r="C72" s="8">
        <v>30012813</v>
      </c>
      <c r="D72" s="8" t="s">
        <v>28</v>
      </c>
      <c r="E72" s="8" t="s">
        <v>253</v>
      </c>
      <c r="F72" s="8" t="s">
        <v>254</v>
      </c>
      <c r="G72" s="8">
        <v>15018200</v>
      </c>
      <c r="H72" s="8">
        <v>802094736</v>
      </c>
      <c r="I72" s="8" t="s">
        <v>256</v>
      </c>
      <c r="J72" s="8" t="s">
        <v>58</v>
      </c>
      <c r="K72" s="8" t="s">
        <v>489</v>
      </c>
      <c r="L72" s="8" t="s">
        <v>896</v>
      </c>
      <c r="M72" s="9">
        <v>44050</v>
      </c>
      <c r="N72" s="9">
        <v>44072</v>
      </c>
      <c r="O72" s="8">
        <v>76.364000000000004</v>
      </c>
      <c r="P72" s="8" t="s">
        <v>48</v>
      </c>
      <c r="Q72" s="8" t="s">
        <v>59</v>
      </c>
      <c r="R72" s="8" t="s">
        <v>60</v>
      </c>
      <c r="S72" s="8">
        <v>3</v>
      </c>
      <c r="T72" s="8" t="s">
        <v>72</v>
      </c>
      <c r="U72" s="8" t="s">
        <v>37</v>
      </c>
      <c r="V72" s="8" t="s">
        <v>52</v>
      </c>
      <c r="W72" s="8" t="s">
        <v>901</v>
      </c>
      <c r="X72" s="8"/>
      <c r="Y72" s="8">
        <v>24</v>
      </c>
      <c r="Z72" s="8" t="s">
        <v>898</v>
      </c>
      <c r="AA72" s="8" t="s">
        <v>175</v>
      </c>
      <c r="AB72" s="8">
        <v>31</v>
      </c>
      <c r="AC72" s="13">
        <v>44052</v>
      </c>
      <c r="AD72" s="13">
        <v>44074</v>
      </c>
      <c r="AE72" s="8">
        <v>2</v>
      </c>
      <c r="AF72" s="8">
        <v>2</v>
      </c>
      <c r="AG72" s="8" t="s">
        <v>1681</v>
      </c>
    </row>
    <row r="73" spans="1:33" x14ac:dyDescent="0.2">
      <c r="A73" s="8">
        <v>2501</v>
      </c>
      <c r="B73" s="9">
        <v>44073</v>
      </c>
      <c r="C73" s="8">
        <v>30012781</v>
      </c>
      <c r="D73" s="8" t="s">
        <v>28</v>
      </c>
      <c r="E73" s="8" t="s">
        <v>29</v>
      </c>
      <c r="F73" s="8" t="s">
        <v>397</v>
      </c>
      <c r="G73" s="8">
        <v>15018383</v>
      </c>
      <c r="H73" s="8">
        <v>802095015</v>
      </c>
      <c r="I73" s="8" t="s">
        <v>31</v>
      </c>
      <c r="J73" s="8" t="s">
        <v>32</v>
      </c>
      <c r="K73" s="8" t="s">
        <v>133</v>
      </c>
      <c r="L73" s="8" t="s">
        <v>954</v>
      </c>
      <c r="M73" s="9">
        <v>44071</v>
      </c>
      <c r="N73" s="9">
        <v>44089</v>
      </c>
      <c r="O73" s="8">
        <v>501.904</v>
      </c>
      <c r="P73" s="8" t="s">
        <v>33</v>
      </c>
      <c r="Q73" s="8" t="s">
        <v>153</v>
      </c>
      <c r="R73" s="8" t="s">
        <v>154</v>
      </c>
      <c r="S73" s="8">
        <v>19</v>
      </c>
      <c r="T73" s="8" t="s">
        <v>362</v>
      </c>
      <c r="U73" s="8" t="s">
        <v>290</v>
      </c>
      <c r="V73" s="8" t="s">
        <v>155</v>
      </c>
      <c r="W73" s="8" t="s">
        <v>1621</v>
      </c>
      <c r="X73" s="8"/>
      <c r="Y73" s="8">
        <v>494</v>
      </c>
      <c r="Z73" s="8"/>
      <c r="AA73" s="8" t="s">
        <v>39</v>
      </c>
      <c r="AB73" s="8">
        <v>31</v>
      </c>
      <c r="AC73" s="13">
        <v>44071</v>
      </c>
      <c r="AD73" s="13">
        <f>N73</f>
        <v>44089</v>
      </c>
      <c r="AE73" s="8">
        <v>0</v>
      </c>
      <c r="AF73" s="8"/>
      <c r="AG73" s="8"/>
    </row>
    <row r="74" spans="1:33" hidden="1" x14ac:dyDescent="0.2">
      <c r="A74" s="8">
        <v>2504</v>
      </c>
      <c r="B74" s="9">
        <v>44074</v>
      </c>
      <c r="C74" s="8">
        <v>30012813</v>
      </c>
      <c r="D74" s="8" t="s">
        <v>28</v>
      </c>
      <c r="E74" s="8" t="s">
        <v>253</v>
      </c>
      <c r="F74" s="8" t="s">
        <v>254</v>
      </c>
      <c r="G74" s="8">
        <v>15018201</v>
      </c>
      <c r="H74" s="8">
        <v>802094737</v>
      </c>
      <c r="I74" s="8" t="s">
        <v>396</v>
      </c>
      <c r="J74" s="8" t="s">
        <v>58</v>
      </c>
      <c r="K74" s="8" t="s">
        <v>489</v>
      </c>
      <c r="L74" s="8" t="s">
        <v>896</v>
      </c>
      <c r="M74" s="9">
        <v>44050</v>
      </c>
      <c r="N74" s="9">
        <v>44072</v>
      </c>
      <c r="O74" s="8">
        <v>44.436</v>
      </c>
      <c r="P74" s="8" t="s">
        <v>48</v>
      </c>
      <c r="Q74" s="8" t="s">
        <v>59</v>
      </c>
      <c r="R74" s="8" t="s">
        <v>60</v>
      </c>
      <c r="S74" s="8">
        <v>2</v>
      </c>
      <c r="T74" s="8" t="s">
        <v>61</v>
      </c>
      <c r="U74" s="8" t="s">
        <v>756</v>
      </c>
      <c r="V74" s="8" t="s">
        <v>52</v>
      </c>
      <c r="W74" s="8" t="s">
        <v>904</v>
      </c>
      <c r="X74" s="8"/>
      <c r="Y74" s="8">
        <v>14</v>
      </c>
      <c r="Z74" s="8" t="s">
        <v>898</v>
      </c>
      <c r="AA74" s="8" t="s">
        <v>175</v>
      </c>
      <c r="AB74" s="8">
        <v>31</v>
      </c>
      <c r="AC74" s="13">
        <v>44052</v>
      </c>
      <c r="AD74" s="13">
        <v>44074</v>
      </c>
      <c r="AE74" s="8">
        <v>2</v>
      </c>
      <c r="AF74" s="8">
        <v>2</v>
      </c>
      <c r="AG74" s="8" t="s">
        <v>1681</v>
      </c>
    </row>
    <row r="75" spans="1:33" hidden="1" x14ac:dyDescent="0.2">
      <c r="A75" s="8">
        <v>2504</v>
      </c>
      <c r="B75" s="9">
        <v>44017</v>
      </c>
      <c r="C75" s="8">
        <v>30012829</v>
      </c>
      <c r="D75" s="8" t="s">
        <v>44</v>
      </c>
      <c r="E75" s="8" t="s">
        <v>45</v>
      </c>
      <c r="F75" s="8" t="s">
        <v>46</v>
      </c>
      <c r="G75" s="8">
        <v>15018494</v>
      </c>
      <c r="H75" s="8">
        <v>802095180</v>
      </c>
      <c r="I75" s="8" t="s">
        <v>708</v>
      </c>
      <c r="J75" s="8" t="s">
        <v>47</v>
      </c>
      <c r="K75" s="8" t="s">
        <v>754</v>
      </c>
      <c r="L75" s="8" t="s">
        <v>755</v>
      </c>
      <c r="M75" s="9">
        <v>44051</v>
      </c>
      <c r="N75" s="9">
        <v>44079</v>
      </c>
      <c r="O75" s="8">
        <v>30.384</v>
      </c>
      <c r="P75" s="8" t="s">
        <v>48</v>
      </c>
      <c r="Q75" s="8" t="s">
        <v>49</v>
      </c>
      <c r="R75" s="8" t="s">
        <v>50</v>
      </c>
      <c r="S75" s="8">
        <v>2</v>
      </c>
      <c r="T75" s="8" t="s">
        <v>51</v>
      </c>
      <c r="U75" s="8" t="s">
        <v>763</v>
      </c>
      <c r="V75" s="8" t="s">
        <v>43</v>
      </c>
      <c r="W75" s="8" t="s">
        <v>757</v>
      </c>
      <c r="X75" s="8"/>
      <c r="Y75" s="8">
        <v>3</v>
      </c>
      <c r="Z75" s="8" t="s">
        <v>53</v>
      </c>
      <c r="AA75" s="8" t="s">
        <v>39</v>
      </c>
      <c r="AB75" s="8">
        <v>31</v>
      </c>
      <c r="AC75" s="13">
        <f>M75</f>
        <v>44051</v>
      </c>
      <c r="AD75" s="13">
        <f>N75</f>
        <v>44079</v>
      </c>
      <c r="AE75" s="8">
        <v>0</v>
      </c>
      <c r="AF75" s="8"/>
      <c r="AG75" s="8"/>
    </row>
    <row r="76" spans="1:33" x14ac:dyDescent="0.2">
      <c r="A76" s="8">
        <v>2501</v>
      </c>
      <c r="B76" s="9">
        <v>44063</v>
      </c>
      <c r="C76" s="8">
        <v>30012776</v>
      </c>
      <c r="D76" s="8" t="s">
        <v>62</v>
      </c>
      <c r="E76" s="8" t="s">
        <v>217</v>
      </c>
      <c r="F76" s="8" t="s">
        <v>218</v>
      </c>
      <c r="G76" s="8">
        <v>15018220</v>
      </c>
      <c r="H76" s="8">
        <v>802094837</v>
      </c>
      <c r="I76" s="8" t="s">
        <v>31</v>
      </c>
      <c r="J76" s="8" t="s">
        <v>32</v>
      </c>
      <c r="K76" s="8" t="s">
        <v>1521</v>
      </c>
      <c r="L76" s="8" t="s">
        <v>1522</v>
      </c>
      <c r="M76" s="9">
        <v>44068</v>
      </c>
      <c r="N76" s="9">
        <v>44081</v>
      </c>
      <c r="O76" s="8">
        <v>487.68</v>
      </c>
      <c r="P76" s="8" t="s">
        <v>33</v>
      </c>
      <c r="Q76" s="8" t="s">
        <v>34</v>
      </c>
      <c r="R76" s="8" t="s">
        <v>35</v>
      </c>
      <c r="S76" s="8">
        <v>20</v>
      </c>
      <c r="T76" s="8" t="s">
        <v>36</v>
      </c>
      <c r="U76" s="8" t="s">
        <v>290</v>
      </c>
      <c r="V76" s="8" t="s">
        <v>43</v>
      </c>
      <c r="W76" s="8" t="s">
        <v>1523</v>
      </c>
      <c r="X76" s="8"/>
      <c r="Y76" s="8">
        <v>480</v>
      </c>
      <c r="Z76" s="8"/>
      <c r="AA76" s="8" t="s">
        <v>39</v>
      </c>
      <c r="AB76" s="8">
        <v>31</v>
      </c>
      <c r="AC76" s="13">
        <v>44072</v>
      </c>
      <c r="AD76" s="13">
        <f>N76</f>
        <v>44081</v>
      </c>
      <c r="AE76" s="8">
        <v>4</v>
      </c>
      <c r="AF76" s="8"/>
      <c r="AG76" s="8" t="s">
        <v>1684</v>
      </c>
    </row>
    <row r="77" spans="1:33" x14ac:dyDescent="0.2">
      <c r="A77" s="8">
        <v>2501</v>
      </c>
      <c r="B77" s="9">
        <v>44073</v>
      </c>
      <c r="C77" s="8">
        <v>30012778</v>
      </c>
      <c r="D77" s="8" t="s">
        <v>28</v>
      </c>
      <c r="E77" s="8" t="s">
        <v>129</v>
      </c>
      <c r="F77" s="8" t="s">
        <v>363</v>
      </c>
      <c r="G77" s="8">
        <v>15018329</v>
      </c>
      <c r="H77" s="8">
        <v>802094894</v>
      </c>
      <c r="I77" s="8" t="s">
        <v>357</v>
      </c>
      <c r="J77" s="8" t="s">
        <v>58</v>
      </c>
      <c r="K77" s="8" t="s">
        <v>790</v>
      </c>
      <c r="L77" s="8" t="s">
        <v>791</v>
      </c>
      <c r="M77" s="9">
        <v>44046</v>
      </c>
      <c r="N77" s="9">
        <v>44077</v>
      </c>
      <c r="O77" s="8">
        <v>257.58600000000001</v>
      </c>
      <c r="P77" s="8" t="s">
        <v>33</v>
      </c>
      <c r="Q77" s="8" t="s">
        <v>263</v>
      </c>
      <c r="R77" s="8" t="s">
        <v>360</v>
      </c>
      <c r="S77" s="8">
        <v>10</v>
      </c>
      <c r="T77" s="8" t="s">
        <v>72</v>
      </c>
      <c r="U77" s="8" t="s">
        <v>37</v>
      </c>
      <c r="V77" s="8" t="s">
        <v>88</v>
      </c>
      <c r="W77" s="8" t="s">
        <v>792</v>
      </c>
      <c r="X77" s="8"/>
      <c r="Y77" s="8">
        <v>110</v>
      </c>
      <c r="Z77" s="8" t="s">
        <v>596</v>
      </c>
      <c r="AA77" s="8" t="s">
        <v>39</v>
      </c>
      <c r="AB77" s="8">
        <v>31</v>
      </c>
      <c r="AC77" s="13">
        <v>44046</v>
      </c>
      <c r="AD77" s="13">
        <v>44077</v>
      </c>
      <c r="AE77" s="8">
        <v>0</v>
      </c>
      <c r="AF77" s="8">
        <v>0</v>
      </c>
      <c r="AG77" s="8"/>
    </row>
    <row r="78" spans="1:33" hidden="1" x14ac:dyDescent="0.2">
      <c r="A78" s="8">
        <v>2502</v>
      </c>
      <c r="B78" s="9">
        <v>44073</v>
      </c>
      <c r="C78" s="8">
        <v>30012840</v>
      </c>
      <c r="D78" s="8" t="s">
        <v>102</v>
      </c>
      <c r="E78" s="8" t="s">
        <v>195</v>
      </c>
      <c r="F78" s="8" t="s">
        <v>196</v>
      </c>
      <c r="G78" s="8">
        <v>15018365</v>
      </c>
      <c r="H78" s="8">
        <v>802094925</v>
      </c>
      <c r="I78" s="8" t="s">
        <v>94</v>
      </c>
      <c r="J78" s="8" t="s">
        <v>95</v>
      </c>
      <c r="K78" s="8" t="s">
        <v>1087</v>
      </c>
      <c r="L78" s="8" t="s">
        <v>760</v>
      </c>
      <c r="M78" s="9">
        <v>44060</v>
      </c>
      <c r="N78" s="9">
        <v>44081</v>
      </c>
      <c r="O78" s="8">
        <v>95.608000000000004</v>
      </c>
      <c r="P78" s="8" t="s">
        <v>492</v>
      </c>
      <c r="Q78" s="8" t="s">
        <v>166</v>
      </c>
      <c r="R78" s="8" t="s">
        <v>1088</v>
      </c>
      <c r="S78" s="8">
        <v>4</v>
      </c>
      <c r="T78" s="8" t="s">
        <v>87</v>
      </c>
      <c r="U78" s="8" t="s">
        <v>290</v>
      </c>
      <c r="V78" s="8" t="s">
        <v>493</v>
      </c>
      <c r="W78" s="8" t="s">
        <v>1089</v>
      </c>
      <c r="X78" s="8"/>
      <c r="Y78" s="8">
        <v>68</v>
      </c>
      <c r="Z78" s="8" t="s">
        <v>1090</v>
      </c>
      <c r="AA78" s="8" t="s">
        <v>39</v>
      </c>
      <c r="AB78" s="8">
        <v>31</v>
      </c>
      <c r="AC78" s="13">
        <v>44060</v>
      </c>
      <c r="AD78" s="13">
        <v>44081</v>
      </c>
      <c r="AE78" s="8">
        <v>0</v>
      </c>
      <c r="AF78" s="8"/>
      <c r="AG78" s="8"/>
    </row>
    <row r="79" spans="1:33" hidden="1" x14ac:dyDescent="0.2">
      <c r="A79" s="8">
        <v>2504</v>
      </c>
      <c r="B79" s="9">
        <v>44048</v>
      </c>
      <c r="C79" s="8">
        <v>30012814</v>
      </c>
      <c r="D79" s="8" t="s">
        <v>28</v>
      </c>
      <c r="E79" s="8" t="s">
        <v>110</v>
      </c>
      <c r="F79" s="8" t="s">
        <v>111</v>
      </c>
      <c r="G79" s="8">
        <v>15018207</v>
      </c>
      <c r="H79" s="8">
        <v>802094741</v>
      </c>
      <c r="I79" s="8" t="s">
        <v>77</v>
      </c>
      <c r="J79" s="8" t="s">
        <v>32</v>
      </c>
      <c r="K79" s="8" t="s">
        <v>920</v>
      </c>
      <c r="L79" s="8" t="s">
        <v>831</v>
      </c>
      <c r="M79" s="9">
        <v>44051</v>
      </c>
      <c r="N79" s="9">
        <v>44087</v>
      </c>
      <c r="O79" s="8">
        <v>494.31299999999999</v>
      </c>
      <c r="P79" s="8" t="s">
        <v>48</v>
      </c>
      <c r="Q79" s="8" t="s">
        <v>34</v>
      </c>
      <c r="R79" s="8" t="s">
        <v>35</v>
      </c>
      <c r="S79" s="8">
        <v>25</v>
      </c>
      <c r="T79" s="8" t="s">
        <v>140</v>
      </c>
      <c r="U79" s="8" t="s">
        <v>37</v>
      </c>
      <c r="V79" s="8" t="s">
        <v>52</v>
      </c>
      <c r="W79" s="8" t="s">
        <v>945</v>
      </c>
      <c r="X79" s="8"/>
      <c r="Y79" s="8">
        <v>475</v>
      </c>
      <c r="Z79" s="8" t="s">
        <v>946</v>
      </c>
      <c r="AA79" s="8" t="s">
        <v>39</v>
      </c>
      <c r="AB79" s="8">
        <v>31</v>
      </c>
      <c r="AC79" s="13">
        <v>44056</v>
      </c>
      <c r="AD79" s="13">
        <f t="shared" ref="AD79:AD86" si="9">N79</f>
        <v>44087</v>
      </c>
      <c r="AE79" s="8">
        <v>5</v>
      </c>
      <c r="AF79" s="8"/>
      <c r="AG79" s="8" t="s">
        <v>1681</v>
      </c>
    </row>
    <row r="80" spans="1:33" hidden="1" x14ac:dyDescent="0.2">
      <c r="A80" s="8">
        <v>2504</v>
      </c>
      <c r="B80" s="9">
        <v>44073</v>
      </c>
      <c r="C80" s="8">
        <v>30012823</v>
      </c>
      <c r="D80" s="8" t="s">
        <v>28</v>
      </c>
      <c r="E80" s="8" t="s">
        <v>129</v>
      </c>
      <c r="F80" s="8" t="s">
        <v>507</v>
      </c>
      <c r="G80" s="8">
        <v>15018339</v>
      </c>
      <c r="H80" s="8">
        <v>802095065</v>
      </c>
      <c r="I80" s="8" t="s">
        <v>77</v>
      </c>
      <c r="J80" s="8" t="s">
        <v>32</v>
      </c>
      <c r="K80" s="8" t="s">
        <v>908</v>
      </c>
      <c r="L80" s="8" t="s">
        <v>572</v>
      </c>
      <c r="M80" s="9">
        <v>44049</v>
      </c>
      <c r="N80" s="9">
        <v>44062</v>
      </c>
      <c r="O80" s="8">
        <v>484.38</v>
      </c>
      <c r="P80" s="8" t="s">
        <v>48</v>
      </c>
      <c r="Q80" s="8" t="s">
        <v>405</v>
      </c>
      <c r="R80" s="8" t="s">
        <v>406</v>
      </c>
      <c r="S80" s="8">
        <v>18</v>
      </c>
      <c r="T80" s="8" t="s">
        <v>362</v>
      </c>
      <c r="U80" s="8" t="s">
        <v>934</v>
      </c>
      <c r="V80" s="8" t="s">
        <v>155</v>
      </c>
      <c r="W80" s="8" t="s">
        <v>935</v>
      </c>
      <c r="X80" s="8"/>
      <c r="Y80" s="8">
        <v>468</v>
      </c>
      <c r="Z80" s="8"/>
      <c r="AA80" s="8" t="s">
        <v>39</v>
      </c>
      <c r="AB80" s="8">
        <v>31</v>
      </c>
      <c r="AC80" s="13">
        <v>44051</v>
      </c>
      <c r="AD80" s="13">
        <f t="shared" si="9"/>
        <v>44062</v>
      </c>
      <c r="AE80" s="8">
        <v>2</v>
      </c>
      <c r="AF80" s="8"/>
      <c r="AG80" s="8" t="s">
        <v>1681</v>
      </c>
    </row>
    <row r="81" spans="1:33" hidden="1" x14ac:dyDescent="0.2">
      <c r="A81" s="8">
        <v>2503</v>
      </c>
      <c r="B81" s="9">
        <v>44042</v>
      </c>
      <c r="C81" s="8">
        <v>30012636</v>
      </c>
      <c r="D81" s="8" t="s">
        <v>28</v>
      </c>
      <c r="E81" s="8" t="s">
        <v>98</v>
      </c>
      <c r="F81" s="8" t="s">
        <v>205</v>
      </c>
      <c r="G81" s="8">
        <v>15017923</v>
      </c>
      <c r="H81" s="8">
        <v>802093760</v>
      </c>
      <c r="I81" s="8" t="s">
        <v>31</v>
      </c>
      <c r="J81" s="8" t="s">
        <v>32</v>
      </c>
      <c r="K81" s="8" t="s">
        <v>752</v>
      </c>
      <c r="L81" s="8" t="s">
        <v>694</v>
      </c>
      <c r="M81" s="9">
        <v>44045</v>
      </c>
      <c r="N81" s="9">
        <v>44076</v>
      </c>
      <c r="O81" s="8">
        <v>494.37799999999999</v>
      </c>
      <c r="P81" s="8" t="s">
        <v>224</v>
      </c>
      <c r="Q81" s="8" t="s">
        <v>34</v>
      </c>
      <c r="R81" s="8" t="s">
        <v>35</v>
      </c>
      <c r="S81" s="8">
        <v>20</v>
      </c>
      <c r="T81" s="8" t="s">
        <v>87</v>
      </c>
      <c r="U81" s="8" t="s">
        <v>37</v>
      </c>
      <c r="V81" s="8" t="s">
        <v>88</v>
      </c>
      <c r="W81" s="8" t="s">
        <v>695</v>
      </c>
      <c r="X81" s="8"/>
      <c r="Y81" s="8">
        <v>480</v>
      </c>
      <c r="Z81" s="8"/>
      <c r="AA81" s="8" t="s">
        <v>39</v>
      </c>
      <c r="AB81" s="8">
        <v>31</v>
      </c>
      <c r="AC81" s="13">
        <v>44045</v>
      </c>
      <c r="AD81" s="13">
        <f t="shared" si="9"/>
        <v>44076</v>
      </c>
      <c r="AE81" s="8">
        <v>0</v>
      </c>
      <c r="AF81" s="8">
        <v>0</v>
      </c>
      <c r="AG81" s="8"/>
    </row>
    <row r="82" spans="1:33" hidden="1" x14ac:dyDescent="0.2">
      <c r="A82" s="8">
        <v>2503</v>
      </c>
      <c r="B82" s="9">
        <v>44042</v>
      </c>
      <c r="C82" s="8">
        <v>30012636</v>
      </c>
      <c r="D82" s="8" t="s">
        <v>28</v>
      </c>
      <c r="E82" s="8" t="s">
        <v>98</v>
      </c>
      <c r="F82" s="8" t="s">
        <v>205</v>
      </c>
      <c r="G82" s="8">
        <v>15017924</v>
      </c>
      <c r="H82" s="8">
        <v>802093761</v>
      </c>
      <c r="I82" s="8" t="s">
        <v>31</v>
      </c>
      <c r="J82" s="8" t="s">
        <v>32</v>
      </c>
      <c r="K82" s="8" t="s">
        <v>752</v>
      </c>
      <c r="L82" s="8" t="s">
        <v>694</v>
      </c>
      <c r="M82" s="9">
        <v>44045</v>
      </c>
      <c r="N82" s="9">
        <v>44076</v>
      </c>
      <c r="O82" s="8">
        <v>494.75799999999998</v>
      </c>
      <c r="P82" s="8" t="s">
        <v>224</v>
      </c>
      <c r="Q82" s="8" t="s">
        <v>34</v>
      </c>
      <c r="R82" s="8" t="s">
        <v>35</v>
      </c>
      <c r="S82" s="8">
        <v>20</v>
      </c>
      <c r="T82" s="8" t="s">
        <v>87</v>
      </c>
      <c r="U82" s="8" t="s">
        <v>37</v>
      </c>
      <c r="V82" s="8" t="s">
        <v>88</v>
      </c>
      <c r="W82" s="8" t="s">
        <v>698</v>
      </c>
      <c r="X82" s="8"/>
      <c r="Y82" s="8">
        <v>480</v>
      </c>
      <c r="Z82" s="8"/>
      <c r="AA82" s="8" t="s">
        <v>39</v>
      </c>
      <c r="AB82" s="8">
        <v>31</v>
      </c>
      <c r="AC82" s="13">
        <v>44045</v>
      </c>
      <c r="AD82" s="13">
        <f t="shared" si="9"/>
        <v>44076</v>
      </c>
      <c r="AE82" s="8">
        <v>0</v>
      </c>
      <c r="AF82" s="8">
        <v>0</v>
      </c>
      <c r="AG82" s="8"/>
    </row>
    <row r="83" spans="1:33" hidden="1" x14ac:dyDescent="0.2">
      <c r="A83" s="8">
        <v>2503</v>
      </c>
      <c r="B83" s="9">
        <v>44042</v>
      </c>
      <c r="C83" s="8">
        <v>30012636</v>
      </c>
      <c r="D83" s="8" t="s">
        <v>28</v>
      </c>
      <c r="E83" s="8" t="s">
        <v>98</v>
      </c>
      <c r="F83" s="8" t="s">
        <v>205</v>
      </c>
      <c r="G83" s="8">
        <v>15017925</v>
      </c>
      <c r="H83" s="8">
        <v>802093762</v>
      </c>
      <c r="I83" s="8" t="s">
        <v>31</v>
      </c>
      <c r="J83" s="8" t="s">
        <v>32</v>
      </c>
      <c r="K83" s="8" t="s">
        <v>752</v>
      </c>
      <c r="L83" s="8" t="s">
        <v>694</v>
      </c>
      <c r="M83" s="9">
        <v>44045</v>
      </c>
      <c r="N83" s="9">
        <v>44076</v>
      </c>
      <c r="O83" s="8">
        <v>494.24299999999999</v>
      </c>
      <c r="P83" s="8" t="s">
        <v>224</v>
      </c>
      <c r="Q83" s="8" t="s">
        <v>34</v>
      </c>
      <c r="R83" s="8" t="s">
        <v>35</v>
      </c>
      <c r="S83" s="8">
        <v>20</v>
      </c>
      <c r="T83" s="8" t="s">
        <v>87</v>
      </c>
      <c r="U83" s="8" t="s">
        <v>37</v>
      </c>
      <c r="V83" s="8" t="s">
        <v>88</v>
      </c>
      <c r="W83" s="8" t="s">
        <v>701</v>
      </c>
      <c r="X83" s="8"/>
      <c r="Y83" s="8">
        <v>480</v>
      </c>
      <c r="Z83" s="8"/>
      <c r="AA83" s="8" t="s">
        <v>39</v>
      </c>
      <c r="AB83" s="8">
        <v>31</v>
      </c>
      <c r="AC83" s="13">
        <v>44045</v>
      </c>
      <c r="AD83" s="13">
        <f t="shared" si="9"/>
        <v>44076</v>
      </c>
      <c r="AE83" s="8">
        <v>0</v>
      </c>
      <c r="AF83" s="8">
        <v>0</v>
      </c>
      <c r="AG83" s="8"/>
    </row>
    <row r="84" spans="1:33" hidden="1" x14ac:dyDescent="0.2">
      <c r="A84" s="8">
        <v>2503</v>
      </c>
      <c r="B84" s="9">
        <v>44042</v>
      </c>
      <c r="C84" s="8">
        <v>30012636</v>
      </c>
      <c r="D84" s="8" t="s">
        <v>28</v>
      </c>
      <c r="E84" s="8" t="s">
        <v>98</v>
      </c>
      <c r="F84" s="8" t="s">
        <v>205</v>
      </c>
      <c r="G84" s="8">
        <v>15017926</v>
      </c>
      <c r="H84" s="8">
        <v>802093763</v>
      </c>
      <c r="I84" s="8" t="s">
        <v>31</v>
      </c>
      <c r="J84" s="8" t="s">
        <v>32</v>
      </c>
      <c r="K84" s="8" t="s">
        <v>752</v>
      </c>
      <c r="L84" s="8" t="s">
        <v>694</v>
      </c>
      <c r="M84" s="9">
        <v>44045</v>
      </c>
      <c r="N84" s="9">
        <v>44076</v>
      </c>
      <c r="O84" s="8">
        <v>495.041</v>
      </c>
      <c r="P84" s="8" t="s">
        <v>224</v>
      </c>
      <c r="Q84" s="8" t="s">
        <v>34</v>
      </c>
      <c r="R84" s="8" t="s">
        <v>35</v>
      </c>
      <c r="S84" s="8">
        <v>20</v>
      </c>
      <c r="T84" s="8" t="s">
        <v>87</v>
      </c>
      <c r="U84" s="8" t="s">
        <v>37</v>
      </c>
      <c r="V84" s="8" t="s">
        <v>88</v>
      </c>
      <c r="W84" s="8" t="s">
        <v>704</v>
      </c>
      <c r="X84" s="8"/>
      <c r="Y84" s="8">
        <v>480</v>
      </c>
      <c r="Z84" s="8"/>
      <c r="AA84" s="8" t="s">
        <v>39</v>
      </c>
      <c r="AB84" s="8">
        <v>31</v>
      </c>
      <c r="AC84" s="13">
        <v>44045</v>
      </c>
      <c r="AD84" s="13">
        <f t="shared" si="9"/>
        <v>44076</v>
      </c>
      <c r="AE84" s="8">
        <v>0</v>
      </c>
      <c r="AF84" s="8">
        <v>0</v>
      </c>
      <c r="AG84" s="8"/>
    </row>
    <row r="85" spans="1:33" hidden="1" x14ac:dyDescent="0.2">
      <c r="A85" s="8">
        <v>2503</v>
      </c>
      <c r="B85" s="9">
        <v>44042</v>
      </c>
      <c r="C85" s="8">
        <v>30012636</v>
      </c>
      <c r="D85" s="8" t="s">
        <v>91</v>
      </c>
      <c r="E85" s="8" t="s">
        <v>745</v>
      </c>
      <c r="F85" s="8" t="s">
        <v>746</v>
      </c>
      <c r="G85" s="8">
        <v>15018202</v>
      </c>
      <c r="H85" s="8">
        <v>802094711</v>
      </c>
      <c r="I85" s="8" t="s">
        <v>747</v>
      </c>
      <c r="J85" s="8" t="s">
        <v>223</v>
      </c>
      <c r="K85" s="8" t="s">
        <v>752</v>
      </c>
      <c r="L85" s="8" t="s">
        <v>694</v>
      </c>
      <c r="M85" s="9">
        <v>44045</v>
      </c>
      <c r="N85" s="9">
        <v>44109</v>
      </c>
      <c r="O85" s="8">
        <v>429.04500000000002</v>
      </c>
      <c r="P85" s="8" t="s">
        <v>224</v>
      </c>
      <c r="Q85" s="8" t="s">
        <v>748</v>
      </c>
      <c r="R85" s="8" t="s">
        <v>749</v>
      </c>
      <c r="S85" s="8">
        <v>16</v>
      </c>
      <c r="T85" s="8" t="s">
        <v>87</v>
      </c>
      <c r="U85" s="8" t="s">
        <v>37</v>
      </c>
      <c r="V85" s="8" t="s">
        <v>88</v>
      </c>
      <c r="W85" s="8" t="s">
        <v>750</v>
      </c>
      <c r="X85" s="8"/>
      <c r="Y85" s="8">
        <v>416</v>
      </c>
      <c r="Z85" s="8"/>
      <c r="AA85" s="8" t="s">
        <v>39</v>
      </c>
      <c r="AB85" s="8">
        <v>31</v>
      </c>
      <c r="AC85" s="13">
        <v>44045</v>
      </c>
      <c r="AD85" s="13">
        <f t="shared" si="9"/>
        <v>44109</v>
      </c>
      <c r="AE85" s="8">
        <v>0</v>
      </c>
      <c r="AF85" s="8">
        <v>0</v>
      </c>
      <c r="AG85" s="8"/>
    </row>
    <row r="86" spans="1:33" hidden="1" x14ac:dyDescent="0.2">
      <c r="A86" s="8">
        <v>2504</v>
      </c>
      <c r="B86" s="9">
        <v>44073</v>
      </c>
      <c r="C86" s="8">
        <v>30012823</v>
      </c>
      <c r="D86" s="8" t="s">
        <v>28</v>
      </c>
      <c r="E86" s="8" t="s">
        <v>129</v>
      </c>
      <c r="F86" s="8" t="s">
        <v>507</v>
      </c>
      <c r="G86" s="8">
        <v>15018341</v>
      </c>
      <c r="H86" s="8">
        <v>802095066</v>
      </c>
      <c r="I86" s="8" t="s">
        <v>77</v>
      </c>
      <c r="J86" s="8" t="s">
        <v>32</v>
      </c>
      <c r="K86" s="8" t="s">
        <v>908</v>
      </c>
      <c r="L86" s="8" t="s">
        <v>572</v>
      </c>
      <c r="M86" s="9">
        <v>44049</v>
      </c>
      <c r="N86" s="9">
        <v>44062</v>
      </c>
      <c r="O86" s="8">
        <v>511.29</v>
      </c>
      <c r="P86" s="8" t="s">
        <v>48</v>
      </c>
      <c r="Q86" s="8" t="s">
        <v>405</v>
      </c>
      <c r="R86" s="8" t="s">
        <v>406</v>
      </c>
      <c r="S86" s="8">
        <v>19</v>
      </c>
      <c r="T86" s="8" t="s">
        <v>362</v>
      </c>
      <c r="U86" s="8" t="s">
        <v>934</v>
      </c>
      <c r="V86" s="8" t="s">
        <v>155</v>
      </c>
      <c r="W86" s="8" t="s">
        <v>938</v>
      </c>
      <c r="X86" s="8"/>
      <c r="Y86" s="8">
        <v>494</v>
      </c>
      <c r="Z86" s="8"/>
      <c r="AA86" s="8" t="s">
        <v>39</v>
      </c>
      <c r="AB86" s="8">
        <v>31</v>
      </c>
      <c r="AC86" s="13">
        <v>44051</v>
      </c>
      <c r="AD86" s="13">
        <f t="shared" si="9"/>
        <v>44062</v>
      </c>
      <c r="AE86" s="8">
        <v>2</v>
      </c>
      <c r="AF86" s="8"/>
      <c r="AG86" s="8" t="s">
        <v>1681</v>
      </c>
    </row>
    <row r="87" spans="1:33" x14ac:dyDescent="0.2">
      <c r="A87" s="8">
        <v>2501</v>
      </c>
      <c r="B87" s="9">
        <v>44053</v>
      </c>
      <c r="C87" s="8">
        <v>30012774</v>
      </c>
      <c r="D87" s="8" t="s">
        <v>62</v>
      </c>
      <c r="E87" s="8" t="s">
        <v>217</v>
      </c>
      <c r="F87" s="8" t="s">
        <v>218</v>
      </c>
      <c r="G87" s="8">
        <v>15018218</v>
      </c>
      <c r="H87" s="8">
        <v>802094835</v>
      </c>
      <c r="I87" s="8" t="s">
        <v>31</v>
      </c>
      <c r="J87" s="8" t="s">
        <v>32</v>
      </c>
      <c r="K87" s="8" t="s">
        <v>388</v>
      </c>
      <c r="L87" s="8" t="s">
        <v>831</v>
      </c>
      <c r="M87" s="9">
        <v>44054</v>
      </c>
      <c r="N87" s="9">
        <v>44067</v>
      </c>
      <c r="O87" s="8">
        <v>487.68</v>
      </c>
      <c r="P87" s="8" t="s">
        <v>33</v>
      </c>
      <c r="Q87" s="8" t="s">
        <v>34</v>
      </c>
      <c r="R87" s="8" t="s">
        <v>35</v>
      </c>
      <c r="S87" s="8">
        <v>20</v>
      </c>
      <c r="T87" s="8" t="s">
        <v>36</v>
      </c>
      <c r="U87" s="8" t="s">
        <v>290</v>
      </c>
      <c r="V87" s="8" t="s">
        <v>43</v>
      </c>
      <c r="W87" s="8" t="s">
        <v>985</v>
      </c>
      <c r="X87" s="8"/>
      <c r="Y87" s="8">
        <v>480</v>
      </c>
      <c r="Z87" s="8"/>
      <c r="AA87" s="8" t="s">
        <v>39</v>
      </c>
      <c r="AB87" s="8">
        <v>31</v>
      </c>
      <c r="AC87" s="13">
        <v>44057.125</v>
      </c>
      <c r="AD87" s="13">
        <f>N87</f>
        <v>44067</v>
      </c>
      <c r="AE87" s="8">
        <v>3</v>
      </c>
      <c r="AF87" s="8"/>
      <c r="AG87" s="8" t="s">
        <v>1684</v>
      </c>
    </row>
    <row r="88" spans="1:33" hidden="1" x14ac:dyDescent="0.2">
      <c r="A88" s="8">
        <v>2504</v>
      </c>
      <c r="B88" s="9">
        <v>44053</v>
      </c>
      <c r="C88" s="8">
        <v>30012807</v>
      </c>
      <c r="D88" s="8" t="s">
        <v>62</v>
      </c>
      <c r="E88" s="8" t="s">
        <v>217</v>
      </c>
      <c r="F88" s="8" t="s">
        <v>218</v>
      </c>
      <c r="G88" s="8">
        <v>15018222</v>
      </c>
      <c r="H88" s="8">
        <v>802094743</v>
      </c>
      <c r="I88" s="8" t="s">
        <v>77</v>
      </c>
      <c r="J88" s="8" t="s">
        <v>32</v>
      </c>
      <c r="K88" s="8" t="s">
        <v>390</v>
      </c>
      <c r="L88" s="8" t="s">
        <v>954</v>
      </c>
      <c r="M88" s="9">
        <v>44052</v>
      </c>
      <c r="N88" s="9">
        <v>44079</v>
      </c>
      <c r="O88" s="8">
        <v>499.27699999999999</v>
      </c>
      <c r="P88" s="8" t="s">
        <v>48</v>
      </c>
      <c r="Q88" s="8" t="s">
        <v>34</v>
      </c>
      <c r="R88" s="8" t="s">
        <v>35</v>
      </c>
      <c r="S88" s="8">
        <v>20</v>
      </c>
      <c r="T88" s="8" t="s">
        <v>36</v>
      </c>
      <c r="U88" s="8" t="s">
        <v>37</v>
      </c>
      <c r="V88" s="8" t="s">
        <v>65</v>
      </c>
      <c r="W88" s="8" t="s">
        <v>955</v>
      </c>
      <c r="X88" s="8"/>
      <c r="Y88" s="8">
        <v>480</v>
      </c>
      <c r="Z88" s="8"/>
      <c r="AA88" s="8" t="s">
        <v>39</v>
      </c>
      <c r="AB88" s="8">
        <v>31</v>
      </c>
      <c r="AC88" s="13">
        <v>44055</v>
      </c>
      <c r="AD88" s="13">
        <v>44082</v>
      </c>
      <c r="AE88" s="8">
        <v>3</v>
      </c>
      <c r="AF88" s="8">
        <v>3</v>
      </c>
      <c r="AG88" s="8" t="s">
        <v>1681</v>
      </c>
    </row>
    <row r="89" spans="1:33" x14ac:dyDescent="0.2">
      <c r="A89" s="8">
        <v>2501</v>
      </c>
      <c r="B89" s="9">
        <v>44058</v>
      </c>
      <c r="C89" s="8">
        <v>30012775</v>
      </c>
      <c r="D89" s="8" t="s">
        <v>62</v>
      </c>
      <c r="E89" s="8" t="s">
        <v>217</v>
      </c>
      <c r="F89" s="8" t="s">
        <v>218</v>
      </c>
      <c r="G89" s="8">
        <v>15018219</v>
      </c>
      <c r="H89" s="8">
        <v>802094836</v>
      </c>
      <c r="I89" s="8" t="s">
        <v>31</v>
      </c>
      <c r="J89" s="8" t="s">
        <v>32</v>
      </c>
      <c r="K89" s="8" t="s">
        <v>500</v>
      </c>
      <c r="L89" s="8" t="s">
        <v>1081</v>
      </c>
      <c r="M89" s="9">
        <v>44061</v>
      </c>
      <c r="N89" s="9">
        <v>44074</v>
      </c>
      <c r="O89" s="8">
        <v>512.06399999999996</v>
      </c>
      <c r="P89" s="8" t="s">
        <v>33</v>
      </c>
      <c r="Q89" s="8" t="s">
        <v>34</v>
      </c>
      <c r="R89" s="8" t="s">
        <v>35</v>
      </c>
      <c r="S89" s="8">
        <v>21</v>
      </c>
      <c r="T89" s="8" t="s">
        <v>36</v>
      </c>
      <c r="U89" s="8" t="s">
        <v>290</v>
      </c>
      <c r="V89" s="8" t="s">
        <v>43</v>
      </c>
      <c r="W89" s="8" t="s">
        <v>1195</v>
      </c>
      <c r="X89" s="8"/>
      <c r="Y89" s="8">
        <v>504</v>
      </c>
      <c r="Z89" s="8"/>
      <c r="AA89" s="8" t="s">
        <v>39</v>
      </c>
      <c r="AB89" s="8">
        <v>31</v>
      </c>
      <c r="AC89" s="13">
        <v>44065</v>
      </c>
      <c r="AD89" s="13">
        <f t="shared" ref="AD89:AD90" si="10">N89</f>
        <v>44074</v>
      </c>
      <c r="AE89" s="8">
        <v>4</v>
      </c>
      <c r="AF89" s="8"/>
      <c r="AG89" s="8" t="s">
        <v>1684</v>
      </c>
    </row>
    <row r="90" spans="1:33" x14ac:dyDescent="0.2">
      <c r="A90" s="8">
        <v>2501</v>
      </c>
      <c r="B90" s="9">
        <v>44048</v>
      </c>
      <c r="C90" s="8">
        <v>30012860</v>
      </c>
      <c r="D90" s="8" t="s">
        <v>62</v>
      </c>
      <c r="E90" s="8" t="s">
        <v>324</v>
      </c>
      <c r="F90" s="8" t="s">
        <v>325</v>
      </c>
      <c r="G90" s="8">
        <v>15018214</v>
      </c>
      <c r="H90" s="8">
        <v>802094832</v>
      </c>
      <c r="I90" s="8" t="s">
        <v>31</v>
      </c>
      <c r="J90" s="8" t="s">
        <v>32</v>
      </c>
      <c r="K90" s="8" t="s">
        <v>500</v>
      </c>
      <c r="L90" s="8" t="s">
        <v>1081</v>
      </c>
      <c r="M90" s="9">
        <v>44064</v>
      </c>
      <c r="N90" s="9">
        <v>44074</v>
      </c>
      <c r="O90" s="8">
        <v>501.904</v>
      </c>
      <c r="P90" s="8" t="s">
        <v>33</v>
      </c>
      <c r="Q90" s="8" t="s">
        <v>34</v>
      </c>
      <c r="R90" s="8" t="s">
        <v>35</v>
      </c>
      <c r="S90" s="8">
        <v>26</v>
      </c>
      <c r="T90" s="8" t="s">
        <v>140</v>
      </c>
      <c r="U90" s="8" t="s">
        <v>290</v>
      </c>
      <c r="V90" s="8" t="s">
        <v>38</v>
      </c>
      <c r="W90" s="8" t="s">
        <v>1411</v>
      </c>
      <c r="X90" s="8"/>
      <c r="Y90" s="8">
        <v>494</v>
      </c>
      <c r="Z90" s="8"/>
      <c r="AA90" s="8" t="s">
        <v>39</v>
      </c>
      <c r="AB90" s="8">
        <v>31</v>
      </c>
      <c r="AC90" s="13">
        <v>44065</v>
      </c>
      <c r="AD90" s="13">
        <f t="shared" si="10"/>
        <v>44074</v>
      </c>
      <c r="AE90" s="8">
        <v>1</v>
      </c>
      <c r="AF90" s="8"/>
      <c r="AG90" s="8" t="s">
        <v>1684</v>
      </c>
    </row>
    <row r="91" spans="1:33" hidden="1" x14ac:dyDescent="0.2">
      <c r="A91" s="8">
        <v>2504</v>
      </c>
      <c r="B91" s="9">
        <v>44073</v>
      </c>
      <c r="C91" s="8">
        <v>30012806</v>
      </c>
      <c r="D91" s="8" t="s">
        <v>74</v>
      </c>
      <c r="E91" s="8" t="s">
        <v>75</v>
      </c>
      <c r="F91" s="8" t="s">
        <v>76</v>
      </c>
      <c r="G91" s="8">
        <v>15018248</v>
      </c>
      <c r="H91" s="8">
        <v>802095108</v>
      </c>
      <c r="I91" s="8" t="s">
        <v>77</v>
      </c>
      <c r="J91" s="8" t="s">
        <v>32</v>
      </c>
      <c r="K91" s="8" t="s">
        <v>959</v>
      </c>
      <c r="L91" s="8" t="s">
        <v>960</v>
      </c>
      <c r="M91" s="9">
        <v>44053</v>
      </c>
      <c r="N91" s="9">
        <v>44115</v>
      </c>
      <c r="O91" s="8">
        <v>299.654</v>
      </c>
      <c r="P91" s="8" t="s">
        <v>48</v>
      </c>
      <c r="Q91" s="8" t="s">
        <v>78</v>
      </c>
      <c r="R91" s="8" t="s">
        <v>79</v>
      </c>
      <c r="S91" s="8">
        <v>12</v>
      </c>
      <c r="T91" s="8" t="s">
        <v>36</v>
      </c>
      <c r="U91" s="8" t="s">
        <v>37</v>
      </c>
      <c r="V91" s="8" t="s">
        <v>73</v>
      </c>
      <c r="W91" s="8" t="s">
        <v>961</v>
      </c>
      <c r="X91" s="8"/>
      <c r="Y91" s="8">
        <v>288</v>
      </c>
      <c r="Z91" s="8" t="s">
        <v>962</v>
      </c>
      <c r="AA91" s="8" t="s">
        <v>39</v>
      </c>
      <c r="AB91" s="8">
        <v>31</v>
      </c>
      <c r="AC91" s="13">
        <f>M91</f>
        <v>44053</v>
      </c>
      <c r="AD91" s="13">
        <f>N91</f>
        <v>44115</v>
      </c>
      <c r="AE91" s="8">
        <v>0</v>
      </c>
      <c r="AF91" s="8"/>
      <c r="AG91" s="8"/>
    </row>
    <row r="92" spans="1:33" hidden="1" x14ac:dyDescent="0.2">
      <c r="A92" s="8">
        <v>2502</v>
      </c>
      <c r="B92" s="9">
        <v>44073</v>
      </c>
      <c r="C92" s="8">
        <v>30012796</v>
      </c>
      <c r="D92" s="8" t="s">
        <v>54</v>
      </c>
      <c r="E92" s="8" t="s">
        <v>879</v>
      </c>
      <c r="F92" s="8" t="s">
        <v>880</v>
      </c>
      <c r="G92" s="8">
        <v>15018293</v>
      </c>
      <c r="H92" s="8">
        <v>802094854</v>
      </c>
      <c r="I92" s="8" t="s">
        <v>883</v>
      </c>
      <c r="J92" s="8" t="s">
        <v>83</v>
      </c>
      <c r="K92" s="8" t="s">
        <v>144</v>
      </c>
      <c r="L92" s="8" t="s">
        <v>1094</v>
      </c>
      <c r="M92" s="9">
        <v>44061</v>
      </c>
      <c r="N92" s="9">
        <v>44071</v>
      </c>
      <c r="O92" s="8">
        <v>184.32</v>
      </c>
      <c r="P92" s="8" t="s">
        <v>492</v>
      </c>
      <c r="Q92" s="8" t="s">
        <v>105</v>
      </c>
      <c r="R92" s="8" t="s">
        <v>106</v>
      </c>
      <c r="S92" s="8">
        <v>8</v>
      </c>
      <c r="T92" s="8" t="s">
        <v>87</v>
      </c>
      <c r="U92" s="8" t="s">
        <v>290</v>
      </c>
      <c r="V92" s="8" t="s">
        <v>43</v>
      </c>
      <c r="W92" s="8" t="s">
        <v>1095</v>
      </c>
      <c r="X92" s="8"/>
      <c r="Y92" s="8">
        <v>192</v>
      </c>
      <c r="Z92" s="8" t="s">
        <v>1096</v>
      </c>
      <c r="AA92" s="8" t="s">
        <v>39</v>
      </c>
      <c r="AB92" s="8">
        <v>31</v>
      </c>
      <c r="AC92" s="13">
        <f t="shared" ref="AC92:AC93" si="11">M92</f>
        <v>44061</v>
      </c>
      <c r="AD92" s="13">
        <f t="shared" ref="AD92:AD93" si="12">N92</f>
        <v>44071</v>
      </c>
      <c r="AE92" s="8">
        <v>0</v>
      </c>
      <c r="AF92" s="8">
        <v>0</v>
      </c>
      <c r="AG92" s="8"/>
    </row>
    <row r="93" spans="1:33" hidden="1" x14ac:dyDescent="0.2">
      <c r="A93" s="8">
        <v>2502</v>
      </c>
      <c r="B93" s="9">
        <v>44073</v>
      </c>
      <c r="C93" s="8">
        <v>30012796</v>
      </c>
      <c r="D93" s="8" t="s">
        <v>91</v>
      </c>
      <c r="E93" s="8" t="s">
        <v>107</v>
      </c>
      <c r="F93" s="8" t="s">
        <v>537</v>
      </c>
      <c r="G93" s="8">
        <v>15018298</v>
      </c>
      <c r="H93" s="8">
        <v>802094859</v>
      </c>
      <c r="I93" s="8" t="s">
        <v>31</v>
      </c>
      <c r="J93" s="8" t="s">
        <v>32</v>
      </c>
      <c r="K93" s="8" t="s">
        <v>144</v>
      </c>
      <c r="L93" s="8" t="s">
        <v>1094</v>
      </c>
      <c r="M93" s="9">
        <v>44061</v>
      </c>
      <c r="N93" s="9">
        <v>44071</v>
      </c>
      <c r="O93" s="8">
        <v>247.94</v>
      </c>
      <c r="P93" s="8" t="s">
        <v>492</v>
      </c>
      <c r="Q93" s="8" t="s">
        <v>105</v>
      </c>
      <c r="R93" s="8" t="s">
        <v>106</v>
      </c>
      <c r="S93" s="8">
        <v>11</v>
      </c>
      <c r="T93" s="8" t="s">
        <v>87</v>
      </c>
      <c r="U93" s="8" t="s">
        <v>290</v>
      </c>
      <c r="V93" s="8" t="s">
        <v>43</v>
      </c>
      <c r="W93" s="8" t="s">
        <v>1099</v>
      </c>
      <c r="X93" s="8"/>
      <c r="Y93" s="8">
        <v>253</v>
      </c>
      <c r="Z93" s="8" t="s">
        <v>713</v>
      </c>
      <c r="AA93" s="8" t="s">
        <v>109</v>
      </c>
      <c r="AB93" s="8">
        <v>31</v>
      </c>
      <c r="AC93" s="13">
        <f t="shared" si="11"/>
        <v>44061</v>
      </c>
      <c r="AD93" s="13">
        <f t="shared" si="12"/>
        <v>44071</v>
      </c>
      <c r="AE93" s="8">
        <v>0</v>
      </c>
      <c r="AF93" s="8">
        <v>0</v>
      </c>
      <c r="AG93" s="8"/>
    </row>
    <row r="94" spans="1:33" hidden="1" x14ac:dyDescent="0.2">
      <c r="A94" s="8">
        <v>2504</v>
      </c>
      <c r="B94" s="9">
        <v>44073</v>
      </c>
      <c r="C94" s="8">
        <v>30012806</v>
      </c>
      <c r="D94" s="8" t="s">
        <v>74</v>
      </c>
      <c r="E94" s="8" t="s">
        <v>75</v>
      </c>
      <c r="F94" s="8" t="s">
        <v>76</v>
      </c>
      <c r="G94" s="8">
        <v>15018249</v>
      </c>
      <c r="H94" s="8">
        <v>802094753</v>
      </c>
      <c r="I94" s="8" t="s">
        <v>77</v>
      </c>
      <c r="J94" s="8" t="s">
        <v>32</v>
      </c>
      <c r="K94" s="8" t="s">
        <v>959</v>
      </c>
      <c r="L94" s="8" t="s">
        <v>960</v>
      </c>
      <c r="M94" s="9">
        <v>44053</v>
      </c>
      <c r="N94" s="9">
        <v>44115</v>
      </c>
      <c r="O94" s="8">
        <v>224.77199999999999</v>
      </c>
      <c r="P94" s="8" t="s">
        <v>48</v>
      </c>
      <c r="Q94" s="8" t="s">
        <v>78</v>
      </c>
      <c r="R94" s="8" t="s">
        <v>79</v>
      </c>
      <c r="S94" s="8">
        <v>9</v>
      </c>
      <c r="T94" s="8" t="s">
        <v>72</v>
      </c>
      <c r="U94" s="8" t="s">
        <v>37</v>
      </c>
      <c r="V94" s="8" t="s">
        <v>73</v>
      </c>
      <c r="W94" s="8" t="s">
        <v>965</v>
      </c>
      <c r="X94" s="8"/>
      <c r="Y94" s="8">
        <v>216</v>
      </c>
      <c r="Z94" s="8" t="s">
        <v>653</v>
      </c>
      <c r="AA94" s="8" t="s">
        <v>39</v>
      </c>
      <c r="AB94" s="8">
        <v>31</v>
      </c>
      <c r="AC94" s="13">
        <f>M94</f>
        <v>44053</v>
      </c>
      <c r="AD94" s="13">
        <f>N94</f>
        <v>44115</v>
      </c>
      <c r="AE94" s="8">
        <v>0</v>
      </c>
      <c r="AF94" s="8"/>
      <c r="AG94" s="8"/>
    </row>
    <row r="95" spans="1:33" x14ac:dyDescent="0.2">
      <c r="A95" s="8">
        <v>2501</v>
      </c>
      <c r="B95" s="9">
        <v>44027</v>
      </c>
      <c r="C95" s="8">
        <v>30012665</v>
      </c>
      <c r="D95" s="8" t="s">
        <v>102</v>
      </c>
      <c r="E95" s="8" t="s">
        <v>662</v>
      </c>
      <c r="F95" s="8" t="s">
        <v>663</v>
      </c>
      <c r="G95" s="8">
        <v>15017882</v>
      </c>
      <c r="H95" s="8">
        <v>802093910</v>
      </c>
      <c r="I95" s="8" t="s">
        <v>112</v>
      </c>
      <c r="J95" s="8" t="s">
        <v>32</v>
      </c>
      <c r="K95" s="8" t="s">
        <v>526</v>
      </c>
      <c r="L95" s="8" t="s">
        <v>527</v>
      </c>
      <c r="M95" s="9">
        <v>44045</v>
      </c>
      <c r="N95" s="9">
        <v>44054</v>
      </c>
      <c r="O95" s="8">
        <v>400.12299999999999</v>
      </c>
      <c r="P95" s="8" t="s">
        <v>114</v>
      </c>
      <c r="Q95" s="8" t="s">
        <v>131</v>
      </c>
      <c r="R95" s="8" t="s">
        <v>132</v>
      </c>
      <c r="S95" s="8">
        <v>0</v>
      </c>
      <c r="T95" s="8" t="s">
        <v>117</v>
      </c>
      <c r="U95" s="8" t="s">
        <v>304</v>
      </c>
      <c r="V95" s="8" t="s">
        <v>118</v>
      </c>
      <c r="W95" s="8"/>
      <c r="X95" s="8"/>
      <c r="Y95" s="8">
        <v>394</v>
      </c>
      <c r="Z95" s="8"/>
      <c r="AA95" s="8" t="s">
        <v>39</v>
      </c>
      <c r="AB95" s="8">
        <v>32</v>
      </c>
      <c r="AC95" s="13">
        <v>44047</v>
      </c>
      <c r="AD95" s="13">
        <f t="shared" ref="AD95:AD106" si="13">N95</f>
        <v>44054</v>
      </c>
      <c r="AE95" s="8">
        <v>2</v>
      </c>
      <c r="AF95" s="8"/>
      <c r="AG95" s="8" t="s">
        <v>1686</v>
      </c>
    </row>
    <row r="96" spans="1:33" x14ac:dyDescent="0.2">
      <c r="A96" s="8">
        <v>2501</v>
      </c>
      <c r="B96" s="9">
        <v>44042</v>
      </c>
      <c r="C96" s="8">
        <v>30012665</v>
      </c>
      <c r="D96" s="8" t="s">
        <v>28</v>
      </c>
      <c r="E96" s="8" t="s">
        <v>29</v>
      </c>
      <c r="F96" s="8" t="s">
        <v>30</v>
      </c>
      <c r="G96" s="8">
        <v>15017943</v>
      </c>
      <c r="H96" s="8">
        <v>802093921</v>
      </c>
      <c r="I96" s="8" t="s">
        <v>112</v>
      </c>
      <c r="J96" s="8" t="s">
        <v>32</v>
      </c>
      <c r="K96" s="8" t="s">
        <v>526</v>
      </c>
      <c r="L96" s="8" t="s">
        <v>527</v>
      </c>
      <c r="M96" s="9">
        <v>44045</v>
      </c>
      <c r="N96" s="9">
        <v>44077</v>
      </c>
      <c r="O96" s="8">
        <v>498.71499999999997</v>
      </c>
      <c r="P96" s="8" t="s">
        <v>114</v>
      </c>
      <c r="Q96" s="8" t="s">
        <v>115</v>
      </c>
      <c r="R96" s="8" t="s">
        <v>332</v>
      </c>
      <c r="S96" s="8">
        <v>0</v>
      </c>
      <c r="T96" s="8" t="s">
        <v>117</v>
      </c>
      <c r="U96" s="8" t="s">
        <v>304</v>
      </c>
      <c r="V96" s="8" t="s">
        <v>118</v>
      </c>
      <c r="W96" s="8"/>
      <c r="X96" s="8"/>
      <c r="Y96" s="8">
        <v>492</v>
      </c>
      <c r="Z96" s="8"/>
      <c r="AA96" s="8" t="s">
        <v>39</v>
      </c>
      <c r="AB96" s="8">
        <v>32</v>
      </c>
      <c r="AC96" s="13">
        <v>44047</v>
      </c>
      <c r="AD96" s="13">
        <f t="shared" si="13"/>
        <v>44077</v>
      </c>
      <c r="AE96" s="8">
        <v>2</v>
      </c>
      <c r="AF96" s="8"/>
      <c r="AG96" s="8" t="s">
        <v>1686</v>
      </c>
    </row>
    <row r="97" spans="1:33" x14ac:dyDescent="0.2">
      <c r="A97" s="8">
        <v>2501</v>
      </c>
      <c r="B97" s="9">
        <v>44042</v>
      </c>
      <c r="C97" s="8">
        <v>30012665</v>
      </c>
      <c r="D97" s="8" t="s">
        <v>28</v>
      </c>
      <c r="E97" s="8" t="s">
        <v>29</v>
      </c>
      <c r="F97" s="8" t="s">
        <v>30</v>
      </c>
      <c r="G97" s="8">
        <v>15017944</v>
      </c>
      <c r="H97" s="8">
        <v>802093922</v>
      </c>
      <c r="I97" s="8" t="s">
        <v>112</v>
      </c>
      <c r="J97" s="8" t="s">
        <v>32</v>
      </c>
      <c r="K97" s="8" t="s">
        <v>526</v>
      </c>
      <c r="L97" s="8" t="s">
        <v>527</v>
      </c>
      <c r="M97" s="9">
        <v>44045</v>
      </c>
      <c r="N97" s="9">
        <v>44077</v>
      </c>
      <c r="O97" s="8">
        <v>501.11</v>
      </c>
      <c r="P97" s="8" t="s">
        <v>114</v>
      </c>
      <c r="Q97" s="8" t="s">
        <v>115</v>
      </c>
      <c r="R97" s="8" t="s">
        <v>332</v>
      </c>
      <c r="S97" s="8">
        <v>0</v>
      </c>
      <c r="T97" s="8" t="s">
        <v>117</v>
      </c>
      <c r="U97" s="8" t="s">
        <v>304</v>
      </c>
      <c r="V97" s="8" t="s">
        <v>118</v>
      </c>
      <c r="W97" s="8"/>
      <c r="X97" s="8"/>
      <c r="Y97" s="8">
        <v>492</v>
      </c>
      <c r="Z97" s="8"/>
      <c r="AA97" s="8" t="s">
        <v>39</v>
      </c>
      <c r="AB97" s="8">
        <v>32</v>
      </c>
      <c r="AC97" s="13">
        <v>44047</v>
      </c>
      <c r="AD97" s="13">
        <f t="shared" si="13"/>
        <v>44077</v>
      </c>
      <c r="AE97" s="8">
        <v>2</v>
      </c>
      <c r="AF97" s="8"/>
      <c r="AG97" s="8" t="s">
        <v>1686</v>
      </c>
    </row>
    <row r="98" spans="1:33" x14ac:dyDescent="0.2">
      <c r="A98" s="8">
        <v>2501</v>
      </c>
      <c r="B98" s="9">
        <v>44042</v>
      </c>
      <c r="C98" s="8">
        <v>30012665</v>
      </c>
      <c r="D98" s="8" t="s">
        <v>28</v>
      </c>
      <c r="E98" s="8" t="s">
        <v>29</v>
      </c>
      <c r="F98" s="8" t="s">
        <v>30</v>
      </c>
      <c r="G98" s="8">
        <v>15017945</v>
      </c>
      <c r="H98" s="8">
        <v>802093923</v>
      </c>
      <c r="I98" s="8" t="s">
        <v>112</v>
      </c>
      <c r="J98" s="8" t="s">
        <v>32</v>
      </c>
      <c r="K98" s="8" t="s">
        <v>526</v>
      </c>
      <c r="L98" s="8" t="s">
        <v>527</v>
      </c>
      <c r="M98" s="9">
        <v>44045</v>
      </c>
      <c r="N98" s="9">
        <v>44077</v>
      </c>
      <c r="O98" s="8">
        <v>501.09300000000002</v>
      </c>
      <c r="P98" s="8" t="s">
        <v>114</v>
      </c>
      <c r="Q98" s="8" t="s">
        <v>115</v>
      </c>
      <c r="R98" s="8" t="s">
        <v>332</v>
      </c>
      <c r="S98" s="8">
        <v>0</v>
      </c>
      <c r="T98" s="8" t="s">
        <v>117</v>
      </c>
      <c r="U98" s="8" t="s">
        <v>304</v>
      </c>
      <c r="V98" s="8" t="s">
        <v>118</v>
      </c>
      <c r="W98" s="8"/>
      <c r="X98" s="8"/>
      <c r="Y98" s="8">
        <v>492</v>
      </c>
      <c r="Z98" s="8"/>
      <c r="AA98" s="8" t="s">
        <v>39</v>
      </c>
      <c r="AB98" s="8">
        <v>32</v>
      </c>
      <c r="AC98" s="13">
        <v>44047</v>
      </c>
      <c r="AD98" s="13">
        <f t="shared" si="13"/>
        <v>44077</v>
      </c>
      <c r="AE98" s="8">
        <v>2</v>
      </c>
      <c r="AF98" s="8"/>
      <c r="AG98" s="8" t="s">
        <v>1686</v>
      </c>
    </row>
    <row r="99" spans="1:33" x14ac:dyDescent="0.2">
      <c r="A99" s="8">
        <v>2501</v>
      </c>
      <c r="B99" s="9">
        <v>44042</v>
      </c>
      <c r="C99" s="8">
        <v>30012665</v>
      </c>
      <c r="D99" s="8" t="s">
        <v>28</v>
      </c>
      <c r="E99" s="8" t="s">
        <v>29</v>
      </c>
      <c r="F99" s="8" t="s">
        <v>30</v>
      </c>
      <c r="G99" s="8">
        <v>15017946</v>
      </c>
      <c r="H99" s="8">
        <v>802093924</v>
      </c>
      <c r="I99" s="8" t="s">
        <v>112</v>
      </c>
      <c r="J99" s="8" t="s">
        <v>32</v>
      </c>
      <c r="K99" s="8" t="s">
        <v>526</v>
      </c>
      <c r="L99" s="8" t="s">
        <v>527</v>
      </c>
      <c r="M99" s="9">
        <v>44045</v>
      </c>
      <c r="N99" s="9">
        <v>44077</v>
      </c>
      <c r="O99" s="8">
        <v>501.178</v>
      </c>
      <c r="P99" s="8" t="s">
        <v>114</v>
      </c>
      <c r="Q99" s="8" t="s">
        <v>115</v>
      </c>
      <c r="R99" s="8" t="s">
        <v>332</v>
      </c>
      <c r="S99" s="8">
        <v>0</v>
      </c>
      <c r="T99" s="8" t="s">
        <v>117</v>
      </c>
      <c r="U99" s="8" t="s">
        <v>304</v>
      </c>
      <c r="V99" s="8" t="s">
        <v>118</v>
      </c>
      <c r="W99" s="8"/>
      <c r="X99" s="8"/>
      <c r="Y99" s="8">
        <v>492</v>
      </c>
      <c r="Z99" s="8"/>
      <c r="AA99" s="8" t="s">
        <v>39</v>
      </c>
      <c r="AB99" s="8">
        <v>32</v>
      </c>
      <c r="AC99" s="13">
        <v>44047</v>
      </c>
      <c r="AD99" s="13">
        <f t="shared" si="13"/>
        <v>44077</v>
      </c>
      <c r="AE99" s="8">
        <v>2</v>
      </c>
      <c r="AF99" s="8"/>
      <c r="AG99" s="8" t="s">
        <v>1686</v>
      </c>
    </row>
    <row r="100" spans="1:33" x14ac:dyDescent="0.2">
      <c r="A100" s="8">
        <v>2501</v>
      </c>
      <c r="B100" s="9">
        <v>44017</v>
      </c>
      <c r="C100" s="8">
        <v>30012665</v>
      </c>
      <c r="D100" s="8" t="s">
        <v>91</v>
      </c>
      <c r="E100" s="8" t="s">
        <v>191</v>
      </c>
      <c r="F100" s="8" t="s">
        <v>192</v>
      </c>
      <c r="G100" s="8">
        <v>15018015</v>
      </c>
      <c r="H100" s="8">
        <v>802093995</v>
      </c>
      <c r="I100" s="8" t="s">
        <v>112</v>
      </c>
      <c r="J100" s="8" t="s">
        <v>32</v>
      </c>
      <c r="K100" s="8" t="s">
        <v>526</v>
      </c>
      <c r="L100" s="8" t="s">
        <v>527</v>
      </c>
      <c r="M100" s="9">
        <v>44045</v>
      </c>
      <c r="N100" s="9">
        <v>44058</v>
      </c>
      <c r="O100" s="8">
        <v>259.34500000000003</v>
      </c>
      <c r="P100" s="8" t="s">
        <v>114</v>
      </c>
      <c r="Q100" s="8" t="s">
        <v>182</v>
      </c>
      <c r="R100" s="8" t="s">
        <v>183</v>
      </c>
      <c r="S100" s="8">
        <v>0</v>
      </c>
      <c r="T100" s="8" t="s">
        <v>117</v>
      </c>
      <c r="U100" s="8" t="s">
        <v>304</v>
      </c>
      <c r="V100" s="8" t="s">
        <v>118</v>
      </c>
      <c r="W100" s="8"/>
      <c r="X100" s="8"/>
      <c r="Y100" s="8">
        <v>256</v>
      </c>
      <c r="Z100" s="8"/>
      <c r="AA100" s="8" t="s">
        <v>39</v>
      </c>
      <c r="AB100" s="8">
        <v>32</v>
      </c>
      <c r="AC100" s="13">
        <v>44047</v>
      </c>
      <c r="AD100" s="13">
        <f t="shared" si="13"/>
        <v>44058</v>
      </c>
      <c r="AE100" s="8">
        <v>2</v>
      </c>
      <c r="AF100" s="8"/>
      <c r="AG100" s="8" t="s">
        <v>1686</v>
      </c>
    </row>
    <row r="101" spans="1:33" x14ac:dyDescent="0.2">
      <c r="A101" s="8">
        <v>2501</v>
      </c>
      <c r="B101" s="9">
        <v>44027</v>
      </c>
      <c r="C101" s="8">
        <v>30012665</v>
      </c>
      <c r="D101" s="8" t="s">
        <v>102</v>
      </c>
      <c r="E101" s="8" t="s">
        <v>322</v>
      </c>
      <c r="F101" s="8" t="s">
        <v>331</v>
      </c>
      <c r="G101" s="8">
        <v>15018035</v>
      </c>
      <c r="H101" s="8">
        <v>802094029</v>
      </c>
      <c r="I101" s="8" t="s">
        <v>112</v>
      </c>
      <c r="J101" s="8" t="s">
        <v>32</v>
      </c>
      <c r="K101" s="8" t="s">
        <v>526</v>
      </c>
      <c r="L101" s="8" t="s">
        <v>527</v>
      </c>
      <c r="M101" s="9">
        <v>44045</v>
      </c>
      <c r="N101" s="9">
        <v>44054</v>
      </c>
      <c r="O101" s="8">
        <v>50</v>
      </c>
      <c r="P101" s="8" t="s">
        <v>114</v>
      </c>
      <c r="Q101" s="8" t="s">
        <v>131</v>
      </c>
      <c r="R101" s="8" t="s">
        <v>132</v>
      </c>
      <c r="S101" s="8">
        <v>0</v>
      </c>
      <c r="T101" s="8" t="s">
        <v>117</v>
      </c>
      <c r="U101" s="8" t="s">
        <v>290</v>
      </c>
      <c r="V101" s="8" t="s">
        <v>118</v>
      </c>
      <c r="W101" s="8"/>
      <c r="X101" s="8"/>
      <c r="Y101" s="8">
        <v>50</v>
      </c>
      <c r="Z101" s="8"/>
      <c r="AA101" s="8" t="s">
        <v>39</v>
      </c>
      <c r="AB101" s="8">
        <v>32</v>
      </c>
      <c r="AC101" s="13">
        <v>44047</v>
      </c>
      <c r="AD101" s="13">
        <f t="shared" si="13"/>
        <v>44054</v>
      </c>
      <c r="AE101" s="8">
        <v>2</v>
      </c>
      <c r="AF101" s="8"/>
      <c r="AG101" s="8" t="s">
        <v>1686</v>
      </c>
    </row>
    <row r="102" spans="1:33" x14ac:dyDescent="0.2">
      <c r="A102" s="8">
        <v>2501</v>
      </c>
      <c r="B102" s="9">
        <v>44042</v>
      </c>
      <c r="C102" s="8">
        <v>30012665</v>
      </c>
      <c r="D102" s="8" t="s">
        <v>28</v>
      </c>
      <c r="E102" s="8" t="s">
        <v>129</v>
      </c>
      <c r="F102" s="8" t="s">
        <v>130</v>
      </c>
      <c r="G102" s="8">
        <v>15018038</v>
      </c>
      <c r="H102" s="8">
        <v>802094043</v>
      </c>
      <c r="I102" s="8" t="s">
        <v>112</v>
      </c>
      <c r="J102" s="8" t="s">
        <v>32</v>
      </c>
      <c r="K102" s="8" t="s">
        <v>526</v>
      </c>
      <c r="L102" s="8" t="s">
        <v>527</v>
      </c>
      <c r="M102" s="9">
        <v>44045</v>
      </c>
      <c r="N102" s="9">
        <v>44057</v>
      </c>
      <c r="O102" s="8">
        <v>499.06299999999999</v>
      </c>
      <c r="P102" s="8" t="s">
        <v>114</v>
      </c>
      <c r="Q102" s="8" t="s">
        <v>85</v>
      </c>
      <c r="R102" s="8" t="s">
        <v>86</v>
      </c>
      <c r="S102" s="8">
        <v>0</v>
      </c>
      <c r="T102" s="8" t="s">
        <v>117</v>
      </c>
      <c r="U102" s="8" t="s">
        <v>304</v>
      </c>
      <c r="V102" s="8" t="s">
        <v>118</v>
      </c>
      <c r="W102" s="8"/>
      <c r="X102" s="8"/>
      <c r="Y102" s="8">
        <v>492</v>
      </c>
      <c r="Z102" s="8"/>
      <c r="AA102" s="8" t="s">
        <v>39</v>
      </c>
      <c r="AB102" s="8">
        <v>32</v>
      </c>
      <c r="AC102" s="13">
        <v>44047</v>
      </c>
      <c r="AD102" s="13">
        <f t="shared" si="13"/>
        <v>44057</v>
      </c>
      <c r="AE102" s="8">
        <v>2</v>
      </c>
      <c r="AF102" s="8"/>
      <c r="AG102" s="8" t="s">
        <v>1686</v>
      </c>
    </row>
    <row r="103" spans="1:33" x14ac:dyDescent="0.2">
      <c r="A103" s="8">
        <v>2501</v>
      </c>
      <c r="B103" s="9">
        <v>44042</v>
      </c>
      <c r="C103" s="8">
        <v>30012665</v>
      </c>
      <c r="D103" s="8" t="s">
        <v>28</v>
      </c>
      <c r="E103" s="8" t="s">
        <v>129</v>
      </c>
      <c r="F103" s="8" t="s">
        <v>130</v>
      </c>
      <c r="G103" s="8">
        <v>15018039</v>
      </c>
      <c r="H103" s="8">
        <v>802094044</v>
      </c>
      <c r="I103" s="8" t="s">
        <v>112</v>
      </c>
      <c r="J103" s="8" t="s">
        <v>32</v>
      </c>
      <c r="K103" s="8" t="s">
        <v>526</v>
      </c>
      <c r="L103" s="8" t="s">
        <v>527</v>
      </c>
      <c r="M103" s="9">
        <v>44045</v>
      </c>
      <c r="N103" s="9">
        <v>44057</v>
      </c>
      <c r="O103" s="8">
        <v>498.70499999999998</v>
      </c>
      <c r="P103" s="8" t="s">
        <v>114</v>
      </c>
      <c r="Q103" s="8" t="s">
        <v>85</v>
      </c>
      <c r="R103" s="8" t="s">
        <v>86</v>
      </c>
      <c r="S103" s="8">
        <v>0</v>
      </c>
      <c r="T103" s="8" t="s">
        <v>117</v>
      </c>
      <c r="U103" s="8" t="s">
        <v>304</v>
      </c>
      <c r="V103" s="8" t="s">
        <v>118</v>
      </c>
      <c r="W103" s="8"/>
      <c r="X103" s="8"/>
      <c r="Y103" s="8">
        <v>492</v>
      </c>
      <c r="Z103" s="8"/>
      <c r="AA103" s="8" t="s">
        <v>39</v>
      </c>
      <c r="AB103" s="8">
        <v>32</v>
      </c>
      <c r="AC103" s="13">
        <v>44047</v>
      </c>
      <c r="AD103" s="13">
        <f t="shared" si="13"/>
        <v>44057</v>
      </c>
      <c r="AE103" s="8">
        <v>2</v>
      </c>
      <c r="AF103" s="8"/>
      <c r="AG103" s="8" t="s">
        <v>1686</v>
      </c>
    </row>
    <row r="104" spans="1:33" x14ac:dyDescent="0.2">
      <c r="A104" s="8">
        <v>2501</v>
      </c>
      <c r="B104" s="9">
        <v>44042</v>
      </c>
      <c r="C104" s="8">
        <v>30012665</v>
      </c>
      <c r="D104" s="8" t="s">
        <v>28</v>
      </c>
      <c r="E104" s="8" t="s">
        <v>129</v>
      </c>
      <c r="F104" s="8" t="s">
        <v>130</v>
      </c>
      <c r="G104" s="8">
        <v>15018040</v>
      </c>
      <c r="H104" s="8">
        <v>802094045</v>
      </c>
      <c r="I104" s="8" t="s">
        <v>112</v>
      </c>
      <c r="J104" s="8" t="s">
        <v>32</v>
      </c>
      <c r="K104" s="8" t="s">
        <v>526</v>
      </c>
      <c r="L104" s="8" t="s">
        <v>527</v>
      </c>
      <c r="M104" s="9">
        <v>44045</v>
      </c>
      <c r="N104" s="9">
        <v>44057</v>
      </c>
      <c r="O104" s="8">
        <v>500</v>
      </c>
      <c r="P104" s="8" t="s">
        <v>114</v>
      </c>
      <c r="Q104" s="8" t="s">
        <v>85</v>
      </c>
      <c r="R104" s="8" t="s">
        <v>86</v>
      </c>
      <c r="S104" s="8">
        <v>0</v>
      </c>
      <c r="T104" s="8" t="s">
        <v>117</v>
      </c>
      <c r="U104" s="8" t="s">
        <v>290</v>
      </c>
      <c r="V104" s="8" t="s">
        <v>118</v>
      </c>
      <c r="W104" s="8"/>
      <c r="X104" s="8"/>
      <c r="Y104" s="8">
        <v>493</v>
      </c>
      <c r="Z104" s="8"/>
      <c r="AA104" s="8" t="s">
        <v>39</v>
      </c>
      <c r="AB104" s="8">
        <v>32</v>
      </c>
      <c r="AC104" s="13">
        <v>44047</v>
      </c>
      <c r="AD104" s="13">
        <f t="shared" si="13"/>
        <v>44057</v>
      </c>
      <c r="AE104" s="8">
        <v>2</v>
      </c>
      <c r="AF104" s="8"/>
      <c r="AG104" s="8" t="s">
        <v>1686</v>
      </c>
    </row>
    <row r="105" spans="1:33" x14ac:dyDescent="0.2">
      <c r="A105" s="8">
        <v>2501</v>
      </c>
      <c r="B105" s="9">
        <v>44042</v>
      </c>
      <c r="C105" s="8">
        <v>30012665</v>
      </c>
      <c r="D105" s="8" t="s">
        <v>28</v>
      </c>
      <c r="E105" s="8" t="s">
        <v>129</v>
      </c>
      <c r="F105" s="8" t="s">
        <v>130</v>
      </c>
      <c r="G105" s="8">
        <v>15018041</v>
      </c>
      <c r="H105" s="8">
        <v>802094046</v>
      </c>
      <c r="I105" s="8" t="s">
        <v>112</v>
      </c>
      <c r="J105" s="8" t="s">
        <v>32</v>
      </c>
      <c r="K105" s="8" t="s">
        <v>526</v>
      </c>
      <c r="L105" s="8" t="s">
        <v>527</v>
      </c>
      <c r="M105" s="9">
        <v>44045</v>
      </c>
      <c r="N105" s="9">
        <v>44057</v>
      </c>
      <c r="O105" s="8">
        <v>498.73500000000001</v>
      </c>
      <c r="P105" s="8" t="s">
        <v>114</v>
      </c>
      <c r="Q105" s="8" t="s">
        <v>85</v>
      </c>
      <c r="R105" s="8" t="s">
        <v>86</v>
      </c>
      <c r="S105" s="8">
        <v>0</v>
      </c>
      <c r="T105" s="8" t="s">
        <v>117</v>
      </c>
      <c r="U105" s="8" t="s">
        <v>304</v>
      </c>
      <c r="V105" s="8" t="s">
        <v>118</v>
      </c>
      <c r="W105" s="8"/>
      <c r="X105" s="8"/>
      <c r="Y105" s="8">
        <v>492</v>
      </c>
      <c r="Z105" s="8"/>
      <c r="AA105" s="8" t="s">
        <v>39</v>
      </c>
      <c r="AB105" s="8">
        <v>32</v>
      </c>
      <c r="AC105" s="13">
        <v>44047</v>
      </c>
      <c r="AD105" s="13">
        <f t="shared" si="13"/>
        <v>44057</v>
      </c>
      <c r="AE105" s="8">
        <v>2</v>
      </c>
      <c r="AF105" s="8"/>
      <c r="AG105" s="8" t="s">
        <v>1686</v>
      </c>
    </row>
    <row r="106" spans="1:33" x14ac:dyDescent="0.2">
      <c r="A106" s="8">
        <v>2501</v>
      </c>
      <c r="B106" s="9">
        <v>44027</v>
      </c>
      <c r="C106" s="8">
        <v>30012665</v>
      </c>
      <c r="D106" s="8" t="s">
        <v>102</v>
      </c>
      <c r="E106" s="8" t="s">
        <v>322</v>
      </c>
      <c r="F106" s="8" t="s">
        <v>687</v>
      </c>
      <c r="G106" s="8">
        <v>15018053</v>
      </c>
      <c r="H106" s="8">
        <v>802094083</v>
      </c>
      <c r="I106" s="8" t="s">
        <v>112</v>
      </c>
      <c r="J106" s="8" t="s">
        <v>32</v>
      </c>
      <c r="K106" s="8" t="s">
        <v>526</v>
      </c>
      <c r="L106" s="8" t="s">
        <v>527</v>
      </c>
      <c r="M106" s="9">
        <v>44045</v>
      </c>
      <c r="N106" s="9">
        <v>44054</v>
      </c>
      <c r="O106" s="8">
        <v>202.03700000000001</v>
      </c>
      <c r="P106" s="8" t="s">
        <v>114</v>
      </c>
      <c r="Q106" s="8" t="s">
        <v>131</v>
      </c>
      <c r="R106" s="8" t="s">
        <v>132</v>
      </c>
      <c r="S106" s="8">
        <v>0</v>
      </c>
      <c r="T106" s="8" t="s">
        <v>117</v>
      </c>
      <c r="U106" s="8" t="s">
        <v>304</v>
      </c>
      <c r="V106" s="8" t="s">
        <v>118</v>
      </c>
      <c r="W106" s="8"/>
      <c r="X106" s="8"/>
      <c r="Y106" s="8">
        <v>198</v>
      </c>
      <c r="Z106" s="8"/>
      <c r="AA106" s="8" t="s">
        <v>39</v>
      </c>
      <c r="AB106" s="8">
        <v>32</v>
      </c>
      <c r="AC106" s="13">
        <v>44047</v>
      </c>
      <c r="AD106" s="13">
        <f t="shared" si="13"/>
        <v>44054</v>
      </c>
      <c r="AE106" s="8">
        <v>2</v>
      </c>
      <c r="AF106" s="8"/>
      <c r="AG106" s="8" t="s">
        <v>1686</v>
      </c>
    </row>
    <row r="107" spans="1:33" hidden="1" x14ac:dyDescent="0.2">
      <c r="A107" s="8">
        <v>2504</v>
      </c>
      <c r="B107" s="9">
        <v>44073</v>
      </c>
      <c r="C107" s="8">
        <v>30012806</v>
      </c>
      <c r="D107" s="8" t="s">
        <v>74</v>
      </c>
      <c r="E107" s="8" t="s">
        <v>75</v>
      </c>
      <c r="F107" s="8" t="s">
        <v>966</v>
      </c>
      <c r="G107" s="8">
        <v>15018454</v>
      </c>
      <c r="H107" s="8">
        <v>802095133</v>
      </c>
      <c r="I107" s="8" t="s">
        <v>77</v>
      </c>
      <c r="J107" s="8" t="s">
        <v>32</v>
      </c>
      <c r="K107" s="8" t="s">
        <v>959</v>
      </c>
      <c r="L107" s="8" t="s">
        <v>960</v>
      </c>
      <c r="M107" s="9">
        <v>44053</v>
      </c>
      <c r="N107" s="9">
        <v>44110</v>
      </c>
      <c r="O107" s="8">
        <v>499.76100000000002</v>
      </c>
      <c r="P107" s="8" t="s">
        <v>48</v>
      </c>
      <c r="Q107" s="8" t="s">
        <v>149</v>
      </c>
      <c r="R107" s="8" t="s">
        <v>150</v>
      </c>
      <c r="S107" s="8">
        <v>20</v>
      </c>
      <c r="T107" s="8" t="s">
        <v>72</v>
      </c>
      <c r="U107" s="8" t="s">
        <v>37</v>
      </c>
      <c r="V107" s="8" t="s">
        <v>73</v>
      </c>
      <c r="W107" s="8" t="s">
        <v>969</v>
      </c>
      <c r="X107" s="8"/>
      <c r="Y107" s="8">
        <v>480</v>
      </c>
      <c r="Z107" s="8"/>
      <c r="AA107" s="8" t="s">
        <v>39</v>
      </c>
      <c r="AB107" s="8">
        <v>31</v>
      </c>
      <c r="AC107" s="13">
        <f>M107</f>
        <v>44053</v>
      </c>
      <c r="AD107" s="13">
        <f>N107</f>
        <v>44110</v>
      </c>
      <c r="AE107" s="8">
        <v>0</v>
      </c>
      <c r="AF107" s="8"/>
      <c r="AG107" s="8"/>
    </row>
    <row r="108" spans="1:33" hidden="1" x14ac:dyDescent="0.2">
      <c r="A108" s="8">
        <v>2504</v>
      </c>
      <c r="B108" s="9">
        <v>44055</v>
      </c>
      <c r="C108" s="8">
        <v>30012815</v>
      </c>
      <c r="D108" s="8" t="s">
        <v>62</v>
      </c>
      <c r="E108" s="8" t="s">
        <v>167</v>
      </c>
      <c r="F108" s="8" t="s">
        <v>168</v>
      </c>
      <c r="G108" s="8">
        <v>15018191</v>
      </c>
      <c r="H108" s="8">
        <v>802094729</v>
      </c>
      <c r="I108" s="8" t="s">
        <v>77</v>
      </c>
      <c r="J108" s="8" t="s">
        <v>32</v>
      </c>
      <c r="K108" s="8" t="s">
        <v>136</v>
      </c>
      <c r="L108" s="8" t="s">
        <v>973</v>
      </c>
      <c r="M108" s="9">
        <v>44053</v>
      </c>
      <c r="N108" s="9">
        <v>44082</v>
      </c>
      <c r="O108" s="8">
        <v>199.02699999999999</v>
      </c>
      <c r="P108" s="8" t="s">
        <v>48</v>
      </c>
      <c r="Q108" s="8" t="s">
        <v>166</v>
      </c>
      <c r="R108" s="8" t="s">
        <v>169</v>
      </c>
      <c r="S108" s="8">
        <v>8</v>
      </c>
      <c r="T108" s="8" t="s">
        <v>36</v>
      </c>
      <c r="U108" s="8" t="s">
        <v>37</v>
      </c>
      <c r="V108" s="8" t="s">
        <v>52</v>
      </c>
      <c r="W108" s="8" t="s">
        <v>974</v>
      </c>
      <c r="X108" s="8"/>
      <c r="Y108" s="8">
        <v>192</v>
      </c>
      <c r="Z108" s="8" t="s">
        <v>799</v>
      </c>
      <c r="AA108" s="8" t="s">
        <v>39</v>
      </c>
      <c r="AB108" s="8">
        <v>31</v>
      </c>
      <c r="AC108" s="13">
        <f>M108</f>
        <v>44053</v>
      </c>
      <c r="AD108" s="13">
        <f>N108</f>
        <v>44082</v>
      </c>
      <c r="AE108" s="8">
        <v>0</v>
      </c>
      <c r="AF108" s="8"/>
      <c r="AG108" s="8"/>
    </row>
    <row r="109" spans="1:33" x14ac:dyDescent="0.2">
      <c r="A109" s="8">
        <v>2501</v>
      </c>
      <c r="B109" s="9">
        <v>44043</v>
      </c>
      <c r="C109" s="8">
        <v>30012681</v>
      </c>
      <c r="D109" s="8" t="s">
        <v>54</v>
      </c>
      <c r="E109" s="8" t="s">
        <v>55</v>
      </c>
      <c r="F109" s="8" t="s">
        <v>56</v>
      </c>
      <c r="G109" s="8">
        <v>15017985</v>
      </c>
      <c r="H109" s="8">
        <v>802093925</v>
      </c>
      <c r="I109" s="8" t="s">
        <v>57</v>
      </c>
      <c r="J109" s="8" t="s">
        <v>58</v>
      </c>
      <c r="K109" s="8" t="s">
        <v>293</v>
      </c>
      <c r="L109" s="8" t="s">
        <v>512</v>
      </c>
      <c r="M109" s="9">
        <v>44045</v>
      </c>
      <c r="N109" s="9">
        <v>44055</v>
      </c>
      <c r="O109" s="8">
        <v>93.787999999999997</v>
      </c>
      <c r="P109" s="8" t="s">
        <v>33</v>
      </c>
      <c r="Q109" s="8" t="s">
        <v>59</v>
      </c>
      <c r="R109" s="8" t="s">
        <v>60</v>
      </c>
      <c r="S109" s="8">
        <v>4</v>
      </c>
      <c r="T109" s="8" t="s">
        <v>61</v>
      </c>
      <c r="U109" s="8" t="s">
        <v>37</v>
      </c>
      <c r="V109" s="8" t="s">
        <v>52</v>
      </c>
      <c r="W109" s="8" t="s">
        <v>640</v>
      </c>
      <c r="X109" s="8"/>
      <c r="Y109" s="8">
        <v>40</v>
      </c>
      <c r="Z109" s="8" t="s">
        <v>615</v>
      </c>
      <c r="AA109" s="8" t="s">
        <v>39</v>
      </c>
      <c r="AB109" s="8">
        <v>31</v>
      </c>
      <c r="AC109" s="13">
        <v>44047.291666666657</v>
      </c>
      <c r="AD109" s="13">
        <f t="shared" ref="AD109:AD112" si="14">N109</f>
        <v>44055</v>
      </c>
      <c r="AE109" s="8">
        <v>2</v>
      </c>
      <c r="AF109" s="8"/>
      <c r="AG109" s="8" t="s">
        <v>1684</v>
      </c>
    </row>
    <row r="110" spans="1:33" x14ac:dyDescent="0.2">
      <c r="A110" s="8">
        <v>2501</v>
      </c>
      <c r="B110" s="9">
        <v>44043</v>
      </c>
      <c r="C110" s="8">
        <v>30012681</v>
      </c>
      <c r="D110" s="8" t="s">
        <v>62</v>
      </c>
      <c r="E110" s="8" t="s">
        <v>641</v>
      </c>
      <c r="F110" s="8" t="s">
        <v>642</v>
      </c>
      <c r="G110" s="8">
        <v>15017988</v>
      </c>
      <c r="H110" s="8">
        <v>802093928</v>
      </c>
      <c r="I110" s="8" t="s">
        <v>63</v>
      </c>
      <c r="J110" s="8" t="s">
        <v>64</v>
      </c>
      <c r="K110" s="8" t="s">
        <v>293</v>
      </c>
      <c r="L110" s="8" t="s">
        <v>512</v>
      </c>
      <c r="M110" s="9">
        <v>44045</v>
      </c>
      <c r="N110" s="9">
        <v>44055</v>
      </c>
      <c r="O110" s="8">
        <v>193.55</v>
      </c>
      <c r="P110" s="8" t="s">
        <v>33</v>
      </c>
      <c r="Q110" s="8" t="s">
        <v>59</v>
      </c>
      <c r="R110" s="8" t="s">
        <v>60</v>
      </c>
      <c r="S110" s="8">
        <v>8</v>
      </c>
      <c r="T110" s="8" t="s">
        <v>36</v>
      </c>
      <c r="U110" s="8" t="s">
        <v>37</v>
      </c>
      <c r="V110" s="8" t="s">
        <v>52</v>
      </c>
      <c r="W110" s="8" t="s">
        <v>645</v>
      </c>
      <c r="X110" s="8"/>
      <c r="Y110" s="8">
        <v>192</v>
      </c>
      <c r="Z110" s="8" t="s">
        <v>615</v>
      </c>
      <c r="AA110" s="8" t="s">
        <v>39</v>
      </c>
      <c r="AB110" s="8">
        <v>31</v>
      </c>
      <c r="AC110" s="13">
        <v>44047.291666666657</v>
      </c>
      <c r="AD110" s="13">
        <f t="shared" si="14"/>
        <v>44055</v>
      </c>
      <c r="AE110" s="8">
        <v>2</v>
      </c>
      <c r="AF110" s="8"/>
      <c r="AG110" s="8" t="s">
        <v>1684</v>
      </c>
    </row>
    <row r="111" spans="1:33" x14ac:dyDescent="0.2">
      <c r="A111" s="8">
        <v>2501</v>
      </c>
      <c r="B111" s="9">
        <v>44043</v>
      </c>
      <c r="C111" s="8">
        <v>30012681</v>
      </c>
      <c r="D111" s="8" t="s">
        <v>54</v>
      </c>
      <c r="E111" s="8" t="s">
        <v>369</v>
      </c>
      <c r="F111" s="8" t="s">
        <v>370</v>
      </c>
      <c r="G111" s="8">
        <v>15017989</v>
      </c>
      <c r="H111" s="8">
        <v>802093929</v>
      </c>
      <c r="I111" s="8" t="s">
        <v>63</v>
      </c>
      <c r="J111" s="8" t="s">
        <v>64</v>
      </c>
      <c r="K111" s="8" t="s">
        <v>293</v>
      </c>
      <c r="L111" s="8" t="s">
        <v>512</v>
      </c>
      <c r="M111" s="9">
        <v>44045</v>
      </c>
      <c r="N111" s="9">
        <v>44055</v>
      </c>
      <c r="O111" s="8">
        <v>290.15199999999999</v>
      </c>
      <c r="P111" s="8" t="s">
        <v>33</v>
      </c>
      <c r="Q111" s="8" t="s">
        <v>59</v>
      </c>
      <c r="R111" s="8" t="s">
        <v>60</v>
      </c>
      <c r="S111" s="8">
        <v>12</v>
      </c>
      <c r="T111" s="8" t="s">
        <v>36</v>
      </c>
      <c r="U111" s="8" t="s">
        <v>37</v>
      </c>
      <c r="V111" s="8" t="s">
        <v>52</v>
      </c>
      <c r="W111" s="8" t="s">
        <v>648</v>
      </c>
      <c r="X111" s="8"/>
      <c r="Y111" s="8">
        <v>288</v>
      </c>
      <c r="Z111" s="8" t="s">
        <v>649</v>
      </c>
      <c r="AA111" s="8" t="s">
        <v>39</v>
      </c>
      <c r="AB111" s="8">
        <v>31</v>
      </c>
      <c r="AC111" s="13">
        <v>44047.291666666657</v>
      </c>
      <c r="AD111" s="13">
        <f t="shared" si="14"/>
        <v>44055</v>
      </c>
      <c r="AE111" s="8">
        <v>2</v>
      </c>
      <c r="AF111" s="8"/>
      <c r="AG111" s="8" t="s">
        <v>1684</v>
      </c>
    </row>
    <row r="112" spans="1:33" x14ac:dyDescent="0.2">
      <c r="A112" s="8">
        <v>2501</v>
      </c>
      <c r="B112" s="9">
        <v>44043</v>
      </c>
      <c r="C112" s="8">
        <v>30012681</v>
      </c>
      <c r="D112" s="8" t="s">
        <v>54</v>
      </c>
      <c r="E112" s="8" t="s">
        <v>369</v>
      </c>
      <c r="F112" s="8" t="s">
        <v>370</v>
      </c>
      <c r="G112" s="8">
        <v>15017990</v>
      </c>
      <c r="H112" s="8">
        <v>802093930</v>
      </c>
      <c r="I112" s="8" t="s">
        <v>63</v>
      </c>
      <c r="J112" s="8" t="s">
        <v>64</v>
      </c>
      <c r="K112" s="8" t="s">
        <v>293</v>
      </c>
      <c r="L112" s="8" t="s">
        <v>512</v>
      </c>
      <c r="M112" s="9">
        <v>44045</v>
      </c>
      <c r="N112" s="9">
        <v>44055</v>
      </c>
      <c r="O112" s="8">
        <v>290.20699999999999</v>
      </c>
      <c r="P112" s="8" t="s">
        <v>33</v>
      </c>
      <c r="Q112" s="8" t="s">
        <v>59</v>
      </c>
      <c r="R112" s="8" t="s">
        <v>60</v>
      </c>
      <c r="S112" s="8">
        <v>12</v>
      </c>
      <c r="T112" s="8" t="s">
        <v>36</v>
      </c>
      <c r="U112" s="8" t="s">
        <v>37</v>
      </c>
      <c r="V112" s="8" t="s">
        <v>52</v>
      </c>
      <c r="W112" s="8" t="s">
        <v>652</v>
      </c>
      <c r="X112" s="8"/>
      <c r="Y112" s="8">
        <v>288</v>
      </c>
      <c r="Z112" s="8" t="s">
        <v>649</v>
      </c>
      <c r="AA112" s="8" t="s">
        <v>39</v>
      </c>
      <c r="AB112" s="8">
        <v>31</v>
      </c>
      <c r="AC112" s="13">
        <v>44047.291666666657</v>
      </c>
      <c r="AD112" s="13">
        <f t="shared" si="14"/>
        <v>44055</v>
      </c>
      <c r="AE112" s="8">
        <v>2</v>
      </c>
      <c r="AF112" s="8"/>
      <c r="AG112" s="8" t="s">
        <v>1684</v>
      </c>
    </row>
    <row r="113" spans="1:33" hidden="1" x14ac:dyDescent="0.2">
      <c r="A113" s="8">
        <v>2504</v>
      </c>
      <c r="B113" s="9">
        <v>44073</v>
      </c>
      <c r="C113" s="8">
        <v>30012815</v>
      </c>
      <c r="D113" s="8" t="s">
        <v>91</v>
      </c>
      <c r="E113" s="8" t="s">
        <v>164</v>
      </c>
      <c r="F113" s="8" t="s">
        <v>165</v>
      </c>
      <c r="G113" s="8">
        <v>15018194</v>
      </c>
      <c r="H113" s="8">
        <v>802094732</v>
      </c>
      <c r="I113" s="8" t="s">
        <v>77</v>
      </c>
      <c r="J113" s="8" t="s">
        <v>32</v>
      </c>
      <c r="K113" s="8" t="s">
        <v>136</v>
      </c>
      <c r="L113" s="8" t="s">
        <v>973</v>
      </c>
      <c r="M113" s="9">
        <v>44053</v>
      </c>
      <c r="N113" s="9">
        <v>44082</v>
      </c>
      <c r="O113" s="8">
        <v>291.26400000000001</v>
      </c>
      <c r="P113" s="8" t="s">
        <v>48</v>
      </c>
      <c r="Q113" s="8" t="s">
        <v>166</v>
      </c>
      <c r="R113" s="8" t="s">
        <v>169</v>
      </c>
      <c r="S113" s="8">
        <v>14</v>
      </c>
      <c r="T113" s="8" t="s">
        <v>42</v>
      </c>
      <c r="U113" s="8" t="s">
        <v>37</v>
      </c>
      <c r="V113" s="8" t="s">
        <v>52</v>
      </c>
      <c r="W113" s="8" t="s">
        <v>977</v>
      </c>
      <c r="X113" s="8"/>
      <c r="Y113" s="8">
        <v>280</v>
      </c>
      <c r="Z113" s="8" t="s">
        <v>497</v>
      </c>
      <c r="AA113" s="8" t="s">
        <v>39</v>
      </c>
      <c r="AB113" s="8">
        <v>31</v>
      </c>
      <c r="AC113" s="13">
        <f>M113</f>
        <v>44053</v>
      </c>
      <c r="AD113" s="13">
        <f>N113</f>
        <v>44082</v>
      </c>
      <c r="AE113" s="8">
        <v>0</v>
      </c>
      <c r="AF113" s="8"/>
      <c r="AG113" s="8"/>
    </row>
    <row r="114" spans="1:33" hidden="1" x14ac:dyDescent="0.2">
      <c r="A114" s="8">
        <v>2504</v>
      </c>
      <c r="B114" s="9">
        <v>44055</v>
      </c>
      <c r="C114" s="8">
        <v>30012815</v>
      </c>
      <c r="D114" s="8" t="s">
        <v>62</v>
      </c>
      <c r="E114" s="8" t="s">
        <v>248</v>
      </c>
      <c r="F114" s="8" t="s">
        <v>249</v>
      </c>
      <c r="G114" s="8">
        <v>15018195</v>
      </c>
      <c r="H114" s="8">
        <v>802094733</v>
      </c>
      <c r="I114" s="8" t="s">
        <v>77</v>
      </c>
      <c r="J114" s="8" t="s">
        <v>32</v>
      </c>
      <c r="K114" s="8" t="s">
        <v>136</v>
      </c>
      <c r="L114" s="8" t="s">
        <v>973</v>
      </c>
      <c r="M114" s="9">
        <v>44053</v>
      </c>
      <c r="N114" s="9">
        <v>44082</v>
      </c>
      <c r="O114" s="8">
        <v>311.78100000000001</v>
      </c>
      <c r="P114" s="8" t="s">
        <v>48</v>
      </c>
      <c r="Q114" s="8" t="s">
        <v>166</v>
      </c>
      <c r="R114" s="8" t="s">
        <v>250</v>
      </c>
      <c r="S114" s="8">
        <v>15</v>
      </c>
      <c r="T114" s="8" t="s">
        <v>42</v>
      </c>
      <c r="U114" s="8" t="s">
        <v>37</v>
      </c>
      <c r="V114" s="8" t="s">
        <v>52</v>
      </c>
      <c r="W114" s="8" t="s">
        <v>980</v>
      </c>
      <c r="X114" s="8"/>
      <c r="Y114" s="8">
        <v>300</v>
      </c>
      <c r="Z114" s="8" t="s">
        <v>981</v>
      </c>
      <c r="AA114" s="8" t="s">
        <v>39</v>
      </c>
      <c r="AB114" s="8">
        <v>31</v>
      </c>
      <c r="AC114" s="13">
        <f>M114</f>
        <v>44053</v>
      </c>
      <c r="AD114" s="13">
        <f>N114</f>
        <v>44082</v>
      </c>
      <c r="AE114" s="8">
        <v>0</v>
      </c>
      <c r="AF114" s="8"/>
      <c r="AG114" s="8"/>
    </row>
    <row r="115" spans="1:33" hidden="1" x14ac:dyDescent="0.2">
      <c r="A115" s="8">
        <v>2504</v>
      </c>
      <c r="B115" s="9">
        <v>44055</v>
      </c>
      <c r="C115" s="8">
        <v>30012788</v>
      </c>
      <c r="D115" s="8" t="s">
        <v>54</v>
      </c>
      <c r="E115" s="8" t="s">
        <v>541</v>
      </c>
      <c r="F115" s="8" t="s">
        <v>542</v>
      </c>
      <c r="G115" s="8">
        <v>15018089</v>
      </c>
      <c r="H115" s="8">
        <v>802094725</v>
      </c>
      <c r="I115" s="8" t="s">
        <v>77</v>
      </c>
      <c r="J115" s="8" t="s">
        <v>32</v>
      </c>
      <c r="K115" s="8" t="s">
        <v>404</v>
      </c>
      <c r="L115" s="8" t="s">
        <v>622</v>
      </c>
      <c r="M115" s="9">
        <v>44054</v>
      </c>
      <c r="N115" s="9">
        <v>44077</v>
      </c>
      <c r="O115" s="8">
        <v>496.8</v>
      </c>
      <c r="P115" s="8" t="s">
        <v>48</v>
      </c>
      <c r="Q115" s="8" t="s">
        <v>498</v>
      </c>
      <c r="R115" s="8" t="s">
        <v>499</v>
      </c>
      <c r="S115" s="8">
        <v>20</v>
      </c>
      <c r="T115" s="8" t="s">
        <v>36</v>
      </c>
      <c r="U115" s="8" t="s">
        <v>1028</v>
      </c>
      <c r="V115" s="8" t="s">
        <v>155</v>
      </c>
      <c r="W115" s="8" t="s">
        <v>1029</v>
      </c>
      <c r="X115" s="8"/>
      <c r="Y115" s="8">
        <v>480</v>
      </c>
      <c r="Z115" s="8" t="s">
        <v>611</v>
      </c>
      <c r="AA115" s="8" t="s">
        <v>39</v>
      </c>
      <c r="AB115" s="8">
        <v>31</v>
      </c>
      <c r="AC115" s="13">
        <v>44058</v>
      </c>
      <c r="AD115" s="13">
        <v>44081</v>
      </c>
      <c r="AE115" s="8">
        <v>4</v>
      </c>
      <c r="AF115" s="8">
        <v>4</v>
      </c>
      <c r="AG115" s="8" t="s">
        <v>1681</v>
      </c>
    </row>
    <row r="116" spans="1:33" hidden="1" x14ac:dyDescent="0.2">
      <c r="A116" s="8">
        <v>2504</v>
      </c>
      <c r="B116" s="9">
        <v>44048</v>
      </c>
      <c r="C116" s="8">
        <v>30012788</v>
      </c>
      <c r="D116" s="8" t="s">
        <v>28</v>
      </c>
      <c r="E116" s="8" t="s">
        <v>110</v>
      </c>
      <c r="F116" s="8" t="s">
        <v>1030</v>
      </c>
      <c r="G116" s="8">
        <v>15018210</v>
      </c>
      <c r="H116" s="8">
        <v>802094742</v>
      </c>
      <c r="I116" s="8" t="s">
        <v>77</v>
      </c>
      <c r="J116" s="8" t="s">
        <v>32</v>
      </c>
      <c r="K116" s="8" t="s">
        <v>404</v>
      </c>
      <c r="L116" s="8" t="s">
        <v>622</v>
      </c>
      <c r="M116" s="9">
        <v>44054</v>
      </c>
      <c r="N116" s="9">
        <v>44078</v>
      </c>
      <c r="O116" s="8">
        <v>499.9</v>
      </c>
      <c r="P116" s="8" t="s">
        <v>48</v>
      </c>
      <c r="Q116" s="8" t="s">
        <v>134</v>
      </c>
      <c r="R116" s="8" t="s">
        <v>135</v>
      </c>
      <c r="S116" s="8">
        <v>20</v>
      </c>
      <c r="T116" s="8" t="s">
        <v>72</v>
      </c>
      <c r="U116" s="8" t="s">
        <v>37</v>
      </c>
      <c r="V116" s="8" t="s">
        <v>155</v>
      </c>
      <c r="W116" s="8" t="s">
        <v>1033</v>
      </c>
      <c r="X116" s="8"/>
      <c r="Y116" s="8">
        <v>480</v>
      </c>
      <c r="Z116" s="8" t="s">
        <v>946</v>
      </c>
      <c r="AA116" s="8" t="s">
        <v>39</v>
      </c>
      <c r="AB116" s="8">
        <v>31</v>
      </c>
      <c r="AC116" s="13">
        <v>44058</v>
      </c>
      <c r="AD116" s="13">
        <v>44081</v>
      </c>
      <c r="AE116" s="8">
        <v>4</v>
      </c>
      <c r="AF116" s="8">
        <v>3</v>
      </c>
      <c r="AG116" s="8" t="s">
        <v>1681</v>
      </c>
    </row>
    <row r="117" spans="1:33" hidden="1" x14ac:dyDescent="0.2">
      <c r="A117" s="8">
        <v>2504</v>
      </c>
      <c r="B117" s="9">
        <v>44053</v>
      </c>
      <c r="C117" s="8">
        <v>30012810</v>
      </c>
      <c r="D117" s="8" t="s">
        <v>62</v>
      </c>
      <c r="E117" s="8" t="s">
        <v>212</v>
      </c>
      <c r="F117" s="8" t="s">
        <v>213</v>
      </c>
      <c r="G117" s="8">
        <v>15018205</v>
      </c>
      <c r="H117" s="8">
        <v>802094740</v>
      </c>
      <c r="I117" s="8" t="s">
        <v>77</v>
      </c>
      <c r="J117" s="8" t="s">
        <v>32</v>
      </c>
      <c r="K117" s="8" t="s">
        <v>500</v>
      </c>
      <c r="L117" s="8" t="s">
        <v>1081</v>
      </c>
      <c r="M117" s="9">
        <v>44055</v>
      </c>
      <c r="N117" s="9">
        <v>44080</v>
      </c>
      <c r="O117" s="8">
        <v>512.86800000000005</v>
      </c>
      <c r="P117" s="8" t="s">
        <v>48</v>
      </c>
      <c r="Q117" s="8" t="s">
        <v>115</v>
      </c>
      <c r="R117" s="8" t="s">
        <v>116</v>
      </c>
      <c r="S117" s="8">
        <v>26</v>
      </c>
      <c r="T117" s="8" t="s">
        <v>140</v>
      </c>
      <c r="U117" s="8" t="s">
        <v>37</v>
      </c>
      <c r="V117" s="8" t="s">
        <v>43</v>
      </c>
      <c r="W117" s="8" t="s">
        <v>1082</v>
      </c>
      <c r="X117" s="8"/>
      <c r="Y117" s="8">
        <v>494</v>
      </c>
      <c r="Z117" s="8" t="s">
        <v>1083</v>
      </c>
      <c r="AA117" s="8" t="s">
        <v>39</v>
      </c>
      <c r="AB117" s="8">
        <v>31</v>
      </c>
      <c r="AC117" s="13">
        <f>M117</f>
        <v>44055</v>
      </c>
      <c r="AD117" s="13">
        <f>N117</f>
        <v>44080</v>
      </c>
      <c r="AE117" s="8">
        <v>0</v>
      </c>
      <c r="AF117" s="8"/>
      <c r="AG117" s="8"/>
    </row>
    <row r="118" spans="1:33" hidden="1" x14ac:dyDescent="0.2">
      <c r="A118" s="8">
        <v>2504</v>
      </c>
      <c r="B118" s="9">
        <v>44058</v>
      </c>
      <c r="C118" s="8">
        <v>30012853</v>
      </c>
      <c r="D118" s="8" t="s">
        <v>91</v>
      </c>
      <c r="E118" s="8" t="s">
        <v>258</v>
      </c>
      <c r="F118" s="8" t="s">
        <v>259</v>
      </c>
      <c r="G118" s="8">
        <v>15018485</v>
      </c>
      <c r="H118" s="8">
        <v>802095175</v>
      </c>
      <c r="I118" s="8" t="s">
        <v>77</v>
      </c>
      <c r="J118" s="8" t="s">
        <v>32</v>
      </c>
      <c r="K118" s="8" t="s">
        <v>144</v>
      </c>
      <c r="L118" s="8" t="s">
        <v>1094</v>
      </c>
      <c r="M118" s="9">
        <v>44058</v>
      </c>
      <c r="N118" s="9">
        <v>44080</v>
      </c>
      <c r="O118" s="8">
        <v>198.72</v>
      </c>
      <c r="P118" s="8" t="s">
        <v>48</v>
      </c>
      <c r="Q118" s="8" t="s">
        <v>134</v>
      </c>
      <c r="R118" s="8" t="s">
        <v>135</v>
      </c>
      <c r="S118" s="8">
        <v>8</v>
      </c>
      <c r="T118" s="8" t="s">
        <v>36</v>
      </c>
      <c r="U118" s="8" t="s">
        <v>1139</v>
      </c>
      <c r="V118" s="8" t="s">
        <v>52</v>
      </c>
      <c r="W118" s="8" t="s">
        <v>1140</v>
      </c>
      <c r="X118" s="8"/>
      <c r="Y118" s="8">
        <v>192</v>
      </c>
      <c r="Z118" s="8"/>
      <c r="AA118" s="8" t="s">
        <v>39</v>
      </c>
      <c r="AB118" s="8">
        <v>31</v>
      </c>
      <c r="AC118" s="13">
        <f t="shared" ref="AC118:AC125" si="15">M118</f>
        <v>44058</v>
      </c>
      <c r="AD118" s="13">
        <f t="shared" ref="AD118:AD125" si="16">N118</f>
        <v>44080</v>
      </c>
      <c r="AE118" s="8">
        <v>0</v>
      </c>
      <c r="AF118" s="8"/>
      <c r="AG118" s="8"/>
    </row>
    <row r="119" spans="1:33" hidden="1" x14ac:dyDescent="0.2">
      <c r="A119" s="8">
        <v>2504</v>
      </c>
      <c r="B119" s="9">
        <v>44048</v>
      </c>
      <c r="C119" s="8">
        <v>30012804</v>
      </c>
      <c r="D119" s="8" t="s">
        <v>91</v>
      </c>
      <c r="E119" s="8" t="s">
        <v>242</v>
      </c>
      <c r="F119" s="8" t="s">
        <v>243</v>
      </c>
      <c r="G119" s="8">
        <v>15017476</v>
      </c>
      <c r="H119" s="8">
        <v>802094721</v>
      </c>
      <c r="I119" s="8" t="s">
        <v>244</v>
      </c>
      <c r="J119" s="8" t="s">
        <v>47</v>
      </c>
      <c r="K119" s="8" t="s">
        <v>503</v>
      </c>
      <c r="L119" s="8" t="s">
        <v>1116</v>
      </c>
      <c r="M119" s="9">
        <v>44058</v>
      </c>
      <c r="N119" s="9">
        <v>44078</v>
      </c>
      <c r="O119" s="8">
        <v>94.7</v>
      </c>
      <c r="P119" s="8" t="s">
        <v>48</v>
      </c>
      <c r="Q119" s="8" t="s">
        <v>100</v>
      </c>
      <c r="R119" s="8" t="s">
        <v>101</v>
      </c>
      <c r="S119" s="8">
        <v>5</v>
      </c>
      <c r="T119" s="8" t="s">
        <v>140</v>
      </c>
      <c r="U119" s="8" t="s">
        <v>758</v>
      </c>
      <c r="V119" s="8" t="s">
        <v>155</v>
      </c>
      <c r="W119" s="8" t="s">
        <v>1122</v>
      </c>
      <c r="X119" s="8"/>
      <c r="Y119" s="8">
        <v>10</v>
      </c>
      <c r="Z119" s="8" t="s">
        <v>53</v>
      </c>
      <c r="AA119" s="8" t="s">
        <v>39</v>
      </c>
      <c r="AB119" s="8">
        <v>31</v>
      </c>
      <c r="AC119" s="13">
        <f t="shared" si="15"/>
        <v>44058</v>
      </c>
      <c r="AD119" s="13">
        <f t="shared" si="16"/>
        <v>44078</v>
      </c>
      <c r="AE119" s="8">
        <v>0</v>
      </c>
      <c r="AF119" s="8"/>
      <c r="AG119" s="8"/>
    </row>
    <row r="120" spans="1:33" hidden="1" x14ac:dyDescent="0.2">
      <c r="A120" s="8">
        <v>2504</v>
      </c>
      <c r="B120" s="9">
        <v>44048</v>
      </c>
      <c r="C120" s="8">
        <v>30012804</v>
      </c>
      <c r="D120" s="8" t="s">
        <v>91</v>
      </c>
      <c r="E120" s="8" t="s">
        <v>242</v>
      </c>
      <c r="F120" s="8" t="s">
        <v>243</v>
      </c>
      <c r="G120" s="8">
        <v>15017477</v>
      </c>
      <c r="H120" s="8">
        <v>802094722</v>
      </c>
      <c r="I120" s="8" t="s">
        <v>246</v>
      </c>
      <c r="J120" s="8" t="s">
        <v>47</v>
      </c>
      <c r="K120" s="8" t="s">
        <v>503</v>
      </c>
      <c r="L120" s="8" t="s">
        <v>1116</v>
      </c>
      <c r="M120" s="9">
        <v>44058</v>
      </c>
      <c r="N120" s="9">
        <v>44078</v>
      </c>
      <c r="O120" s="8">
        <v>151.61600000000001</v>
      </c>
      <c r="P120" s="8" t="s">
        <v>48</v>
      </c>
      <c r="Q120" s="8" t="s">
        <v>100</v>
      </c>
      <c r="R120" s="8" t="s">
        <v>101</v>
      </c>
      <c r="S120" s="8">
        <v>8</v>
      </c>
      <c r="T120" s="8" t="s">
        <v>140</v>
      </c>
      <c r="U120" s="8" t="s">
        <v>758</v>
      </c>
      <c r="V120" s="8" t="s">
        <v>155</v>
      </c>
      <c r="W120" s="8" t="s">
        <v>1125</v>
      </c>
      <c r="X120" s="8"/>
      <c r="Y120" s="8">
        <v>16</v>
      </c>
      <c r="Z120" s="8" t="s">
        <v>53</v>
      </c>
      <c r="AA120" s="8" t="s">
        <v>39</v>
      </c>
      <c r="AB120" s="8">
        <v>31</v>
      </c>
      <c r="AC120" s="13">
        <f t="shared" si="15"/>
        <v>44058</v>
      </c>
      <c r="AD120" s="13">
        <f t="shared" si="16"/>
        <v>44078</v>
      </c>
      <c r="AE120" s="8">
        <v>0</v>
      </c>
      <c r="AF120" s="8"/>
      <c r="AG120" s="8"/>
    </row>
    <row r="121" spans="1:33" hidden="1" x14ac:dyDescent="0.2">
      <c r="A121" s="8">
        <v>2504</v>
      </c>
      <c r="B121" s="9">
        <v>44063</v>
      </c>
      <c r="C121" s="8">
        <v>30012804</v>
      </c>
      <c r="D121" s="8" t="s">
        <v>91</v>
      </c>
      <c r="E121" s="8" t="s">
        <v>553</v>
      </c>
      <c r="F121" s="8" t="s">
        <v>554</v>
      </c>
      <c r="G121" s="8">
        <v>15017812</v>
      </c>
      <c r="H121" s="8">
        <v>802094724</v>
      </c>
      <c r="I121" s="8" t="s">
        <v>77</v>
      </c>
      <c r="J121" s="8" t="s">
        <v>32</v>
      </c>
      <c r="K121" s="8" t="s">
        <v>503</v>
      </c>
      <c r="L121" s="8" t="s">
        <v>1116</v>
      </c>
      <c r="M121" s="9">
        <v>44058</v>
      </c>
      <c r="N121" s="9">
        <v>44078</v>
      </c>
      <c r="O121" s="8">
        <v>298.08</v>
      </c>
      <c r="P121" s="8" t="s">
        <v>48</v>
      </c>
      <c r="Q121" s="8" t="s">
        <v>100</v>
      </c>
      <c r="R121" s="8" t="s">
        <v>101</v>
      </c>
      <c r="S121" s="8">
        <v>12</v>
      </c>
      <c r="T121" s="8" t="s">
        <v>36</v>
      </c>
      <c r="U121" s="8" t="s">
        <v>1028</v>
      </c>
      <c r="V121" s="8" t="s">
        <v>155</v>
      </c>
      <c r="W121" s="8" t="s">
        <v>1128</v>
      </c>
      <c r="X121" s="8"/>
      <c r="Y121" s="8">
        <v>288</v>
      </c>
      <c r="Z121" s="8"/>
      <c r="AA121" s="8" t="s">
        <v>39</v>
      </c>
      <c r="AB121" s="8">
        <v>31</v>
      </c>
      <c r="AC121" s="13">
        <f t="shared" si="15"/>
        <v>44058</v>
      </c>
      <c r="AD121" s="13">
        <f t="shared" si="16"/>
        <v>44078</v>
      </c>
      <c r="AE121" s="8">
        <v>0</v>
      </c>
      <c r="AF121" s="8"/>
      <c r="AG121" s="8"/>
    </row>
    <row r="122" spans="1:33" hidden="1" x14ac:dyDescent="0.2">
      <c r="A122" s="8">
        <v>2504</v>
      </c>
      <c r="B122" s="9">
        <v>44058</v>
      </c>
      <c r="C122" s="8">
        <v>30012817</v>
      </c>
      <c r="D122" s="8" t="s">
        <v>62</v>
      </c>
      <c r="E122" s="8" t="s">
        <v>217</v>
      </c>
      <c r="F122" s="8" t="s">
        <v>218</v>
      </c>
      <c r="G122" s="8">
        <v>15018224</v>
      </c>
      <c r="H122" s="8">
        <v>802094745</v>
      </c>
      <c r="I122" s="8" t="s">
        <v>77</v>
      </c>
      <c r="J122" s="8" t="s">
        <v>32</v>
      </c>
      <c r="K122" s="8" t="s">
        <v>503</v>
      </c>
      <c r="L122" s="8" t="s">
        <v>1116</v>
      </c>
      <c r="M122" s="9">
        <v>44058</v>
      </c>
      <c r="N122" s="9">
        <v>44090</v>
      </c>
      <c r="O122" s="8">
        <v>496.8</v>
      </c>
      <c r="P122" s="8" t="s">
        <v>48</v>
      </c>
      <c r="Q122" s="8" t="s">
        <v>34</v>
      </c>
      <c r="R122" s="8" t="s">
        <v>35</v>
      </c>
      <c r="S122" s="8">
        <v>20</v>
      </c>
      <c r="T122" s="8" t="s">
        <v>36</v>
      </c>
      <c r="U122" s="8" t="s">
        <v>1028</v>
      </c>
      <c r="V122" s="8" t="s">
        <v>52</v>
      </c>
      <c r="W122" s="8" t="s">
        <v>1132</v>
      </c>
      <c r="X122" s="8"/>
      <c r="Y122" s="8">
        <v>480</v>
      </c>
      <c r="Z122" s="8"/>
      <c r="AA122" s="8" t="s">
        <v>39</v>
      </c>
      <c r="AB122" s="8">
        <v>31</v>
      </c>
      <c r="AC122" s="13">
        <f t="shared" si="15"/>
        <v>44058</v>
      </c>
      <c r="AD122" s="13">
        <f t="shared" si="16"/>
        <v>44090</v>
      </c>
      <c r="AE122" s="8">
        <v>0</v>
      </c>
      <c r="AF122" s="8"/>
      <c r="AG122" s="8"/>
    </row>
    <row r="123" spans="1:33" hidden="1" x14ac:dyDescent="0.2">
      <c r="A123" s="8">
        <v>2504</v>
      </c>
      <c r="B123" s="9">
        <v>44073</v>
      </c>
      <c r="C123" s="8">
        <v>30012817</v>
      </c>
      <c r="D123" s="8" t="s">
        <v>28</v>
      </c>
      <c r="E123" s="8" t="s">
        <v>98</v>
      </c>
      <c r="F123" s="8" t="s">
        <v>205</v>
      </c>
      <c r="G123" s="8">
        <v>15018319</v>
      </c>
      <c r="H123" s="8">
        <v>802095064</v>
      </c>
      <c r="I123" s="8" t="s">
        <v>77</v>
      </c>
      <c r="J123" s="8" t="s">
        <v>32</v>
      </c>
      <c r="K123" s="8" t="s">
        <v>503</v>
      </c>
      <c r="L123" s="8" t="s">
        <v>1116</v>
      </c>
      <c r="M123" s="9">
        <v>44058</v>
      </c>
      <c r="N123" s="9">
        <v>44090</v>
      </c>
      <c r="O123" s="8">
        <v>496.8</v>
      </c>
      <c r="P123" s="8" t="s">
        <v>48</v>
      </c>
      <c r="Q123" s="8" t="s">
        <v>34</v>
      </c>
      <c r="R123" s="8" t="s">
        <v>35</v>
      </c>
      <c r="S123" s="8">
        <v>20</v>
      </c>
      <c r="T123" s="8" t="s">
        <v>36</v>
      </c>
      <c r="U123" s="8" t="s">
        <v>1028</v>
      </c>
      <c r="V123" s="8" t="s">
        <v>52</v>
      </c>
      <c r="W123" s="8" t="s">
        <v>1135</v>
      </c>
      <c r="X123" s="8"/>
      <c r="Y123" s="8">
        <v>480</v>
      </c>
      <c r="Z123" s="8"/>
      <c r="AA123" s="8" t="s">
        <v>39</v>
      </c>
      <c r="AB123" s="8">
        <v>31</v>
      </c>
      <c r="AC123" s="13">
        <f t="shared" si="15"/>
        <v>44058</v>
      </c>
      <c r="AD123" s="13">
        <f t="shared" si="16"/>
        <v>44090</v>
      </c>
      <c r="AE123" s="8">
        <v>0</v>
      </c>
      <c r="AF123" s="8"/>
      <c r="AG123" s="8"/>
    </row>
    <row r="124" spans="1:33" hidden="1" x14ac:dyDescent="0.2">
      <c r="A124" s="8">
        <v>2504</v>
      </c>
      <c r="B124" s="9">
        <v>44058</v>
      </c>
      <c r="C124" s="8">
        <v>30012808</v>
      </c>
      <c r="D124" s="8" t="s">
        <v>62</v>
      </c>
      <c r="E124" s="8" t="s">
        <v>217</v>
      </c>
      <c r="F124" s="8" t="s">
        <v>218</v>
      </c>
      <c r="G124" s="8">
        <v>15018223</v>
      </c>
      <c r="H124" s="8">
        <v>802094744</v>
      </c>
      <c r="I124" s="8" t="s">
        <v>77</v>
      </c>
      <c r="J124" s="8" t="s">
        <v>32</v>
      </c>
      <c r="K124" s="8" t="s">
        <v>494</v>
      </c>
      <c r="L124" s="8" t="s">
        <v>1152</v>
      </c>
      <c r="M124" s="9">
        <v>44059</v>
      </c>
      <c r="N124" s="9">
        <v>44085</v>
      </c>
      <c r="O124" s="8">
        <v>496.8</v>
      </c>
      <c r="P124" s="8" t="s">
        <v>48</v>
      </c>
      <c r="Q124" s="8" t="s">
        <v>34</v>
      </c>
      <c r="R124" s="8" t="s">
        <v>35</v>
      </c>
      <c r="S124" s="8">
        <v>20</v>
      </c>
      <c r="T124" s="8" t="s">
        <v>36</v>
      </c>
      <c r="U124" s="8" t="s">
        <v>763</v>
      </c>
      <c r="V124" s="8" t="s">
        <v>65</v>
      </c>
      <c r="W124" s="8" t="s">
        <v>1167</v>
      </c>
      <c r="X124" s="8"/>
      <c r="Y124" s="8">
        <v>480</v>
      </c>
      <c r="Z124" s="8"/>
      <c r="AA124" s="8" t="s">
        <v>39</v>
      </c>
      <c r="AB124" s="8">
        <v>31</v>
      </c>
      <c r="AC124" s="13">
        <f t="shared" si="15"/>
        <v>44059</v>
      </c>
      <c r="AD124" s="13">
        <f t="shared" si="16"/>
        <v>44085</v>
      </c>
      <c r="AE124" s="8">
        <v>0</v>
      </c>
      <c r="AF124" s="8"/>
      <c r="AG124" s="8"/>
    </row>
    <row r="125" spans="1:33" hidden="1" x14ac:dyDescent="0.2">
      <c r="A125" s="8">
        <v>2504</v>
      </c>
      <c r="B125" s="9">
        <v>44073</v>
      </c>
      <c r="C125" s="8">
        <v>30012808</v>
      </c>
      <c r="D125" s="8" t="s">
        <v>28</v>
      </c>
      <c r="E125" s="8" t="s">
        <v>98</v>
      </c>
      <c r="F125" s="8" t="s">
        <v>205</v>
      </c>
      <c r="G125" s="8">
        <v>15018320</v>
      </c>
      <c r="H125" s="8">
        <v>802095106</v>
      </c>
      <c r="I125" s="8" t="s">
        <v>77</v>
      </c>
      <c r="J125" s="8" t="s">
        <v>32</v>
      </c>
      <c r="K125" s="8" t="s">
        <v>494</v>
      </c>
      <c r="L125" s="8" t="s">
        <v>1152</v>
      </c>
      <c r="M125" s="9">
        <v>44059</v>
      </c>
      <c r="N125" s="9">
        <v>44085</v>
      </c>
      <c r="O125" s="8">
        <v>198.72</v>
      </c>
      <c r="P125" s="8" t="s">
        <v>48</v>
      </c>
      <c r="Q125" s="8" t="s">
        <v>34</v>
      </c>
      <c r="R125" s="8" t="s">
        <v>35</v>
      </c>
      <c r="S125" s="8">
        <v>8</v>
      </c>
      <c r="T125" s="8" t="s">
        <v>36</v>
      </c>
      <c r="U125" s="8" t="s">
        <v>763</v>
      </c>
      <c r="V125" s="8" t="s">
        <v>65</v>
      </c>
      <c r="W125" s="8" t="s">
        <v>1170</v>
      </c>
      <c r="X125" s="8"/>
      <c r="Y125" s="8">
        <v>192</v>
      </c>
      <c r="Z125" s="8"/>
      <c r="AA125" s="8" t="s">
        <v>39</v>
      </c>
      <c r="AB125" s="8">
        <v>31</v>
      </c>
      <c r="AC125" s="13">
        <f t="shared" si="15"/>
        <v>44059</v>
      </c>
      <c r="AD125" s="13">
        <f t="shared" si="16"/>
        <v>44085</v>
      </c>
      <c r="AE125" s="8">
        <v>0</v>
      </c>
      <c r="AF125" s="8"/>
      <c r="AG125" s="8"/>
    </row>
    <row r="126" spans="1:33" x14ac:dyDescent="0.2">
      <c r="A126" s="8">
        <v>2501</v>
      </c>
      <c r="B126" s="9">
        <v>44058</v>
      </c>
      <c r="C126" s="8">
        <v>30012769</v>
      </c>
      <c r="D126" s="8" t="s">
        <v>91</v>
      </c>
      <c r="E126" s="8" t="s">
        <v>217</v>
      </c>
      <c r="F126" s="8" t="s">
        <v>218</v>
      </c>
      <c r="G126" s="8">
        <v>15018173</v>
      </c>
      <c r="H126" s="8">
        <v>802094823</v>
      </c>
      <c r="I126" s="8" t="s">
        <v>63</v>
      </c>
      <c r="J126" s="8" t="s">
        <v>64</v>
      </c>
      <c r="K126" s="8" t="s">
        <v>739</v>
      </c>
      <c r="L126" s="8" t="s">
        <v>740</v>
      </c>
      <c r="M126" s="9">
        <v>44052</v>
      </c>
      <c r="N126" s="9">
        <v>44071</v>
      </c>
      <c r="O126" s="8">
        <v>414.12</v>
      </c>
      <c r="P126" s="8" t="s">
        <v>33</v>
      </c>
      <c r="Q126" s="8" t="s">
        <v>34</v>
      </c>
      <c r="R126" s="8" t="s">
        <v>268</v>
      </c>
      <c r="S126" s="8">
        <v>17</v>
      </c>
      <c r="T126" s="8" t="s">
        <v>36</v>
      </c>
      <c r="U126" s="8" t="s">
        <v>290</v>
      </c>
      <c r="V126" s="8" t="s">
        <v>65</v>
      </c>
      <c r="W126" s="8" t="s">
        <v>950</v>
      </c>
      <c r="X126" s="8"/>
      <c r="Y126" s="8">
        <v>408</v>
      </c>
      <c r="Z126" s="8"/>
      <c r="AA126" s="8" t="s">
        <v>39</v>
      </c>
      <c r="AB126" s="8">
        <v>31</v>
      </c>
      <c r="AC126" s="13">
        <v>44056.25</v>
      </c>
      <c r="AD126" s="13">
        <f>N126</f>
        <v>44071</v>
      </c>
      <c r="AE126" s="8">
        <v>4</v>
      </c>
      <c r="AF126" s="8"/>
      <c r="AG126" s="8" t="s">
        <v>1684</v>
      </c>
    </row>
    <row r="127" spans="1:33" x14ac:dyDescent="0.2">
      <c r="A127" s="8">
        <v>2501</v>
      </c>
      <c r="B127" s="9">
        <v>44048</v>
      </c>
      <c r="C127" s="8">
        <v>30012768</v>
      </c>
      <c r="D127" s="8" t="s">
        <v>170</v>
      </c>
      <c r="E127" s="8" t="s">
        <v>171</v>
      </c>
      <c r="F127" s="8" t="s">
        <v>172</v>
      </c>
      <c r="G127" s="8">
        <v>15018180</v>
      </c>
      <c r="H127" s="8">
        <v>802094824</v>
      </c>
      <c r="I127" s="8" t="s">
        <v>176</v>
      </c>
      <c r="J127" s="8" t="s">
        <v>58</v>
      </c>
      <c r="K127" s="8" t="s">
        <v>784</v>
      </c>
      <c r="L127" s="8" t="s">
        <v>785</v>
      </c>
      <c r="M127" s="9">
        <v>44046</v>
      </c>
      <c r="N127" s="9">
        <v>44052</v>
      </c>
      <c r="O127" s="8">
        <v>135.16</v>
      </c>
      <c r="P127" s="8" t="s">
        <v>33</v>
      </c>
      <c r="Q127" s="8" t="s">
        <v>173</v>
      </c>
      <c r="R127" s="8" t="s">
        <v>174</v>
      </c>
      <c r="S127" s="8">
        <v>6</v>
      </c>
      <c r="T127" s="8" t="s">
        <v>61</v>
      </c>
      <c r="U127" s="8" t="s">
        <v>37</v>
      </c>
      <c r="V127" s="8" t="s">
        <v>65</v>
      </c>
      <c r="W127" s="8" t="s">
        <v>786</v>
      </c>
      <c r="X127" s="8"/>
      <c r="Y127" s="8">
        <v>42</v>
      </c>
      <c r="Z127" s="8"/>
      <c r="AA127" s="8" t="s">
        <v>175</v>
      </c>
      <c r="AB127" s="8">
        <v>31</v>
      </c>
      <c r="AC127" s="13">
        <v>44046.583333333343</v>
      </c>
      <c r="AD127" s="13">
        <f>N127</f>
        <v>44052</v>
      </c>
      <c r="AE127" s="8">
        <v>0</v>
      </c>
      <c r="AF127" s="8"/>
      <c r="AG127" s="8"/>
    </row>
    <row r="128" spans="1:33" hidden="1" x14ac:dyDescent="0.2">
      <c r="A128" s="8">
        <v>2504</v>
      </c>
      <c r="B128" s="9">
        <v>44073</v>
      </c>
      <c r="C128" s="8">
        <v>30012841</v>
      </c>
      <c r="D128" s="8" t="s">
        <v>365</v>
      </c>
      <c r="E128" s="8" t="s">
        <v>543</v>
      </c>
      <c r="F128" s="8" t="s">
        <v>575</v>
      </c>
      <c r="G128" s="8">
        <v>15018441</v>
      </c>
      <c r="H128" s="8">
        <v>802095159</v>
      </c>
      <c r="I128" s="8" t="s">
        <v>77</v>
      </c>
      <c r="J128" s="8" t="s">
        <v>32</v>
      </c>
      <c r="K128" s="8" t="s">
        <v>494</v>
      </c>
      <c r="L128" s="8" t="s">
        <v>1152</v>
      </c>
      <c r="M128" s="9">
        <v>44059</v>
      </c>
      <c r="N128" s="9">
        <v>44077</v>
      </c>
      <c r="O128" s="8">
        <v>496.8</v>
      </c>
      <c r="P128" s="8" t="s">
        <v>48</v>
      </c>
      <c r="Q128" s="8" t="s">
        <v>576</v>
      </c>
      <c r="R128" s="8" t="s">
        <v>577</v>
      </c>
      <c r="S128" s="8">
        <v>24</v>
      </c>
      <c r="T128" s="8" t="s">
        <v>42</v>
      </c>
      <c r="U128" s="8" t="s">
        <v>1139</v>
      </c>
      <c r="V128" s="8" t="s">
        <v>241</v>
      </c>
      <c r="W128" s="8" t="s">
        <v>1178</v>
      </c>
      <c r="X128" s="8"/>
      <c r="Y128" s="8">
        <v>480</v>
      </c>
      <c r="Z128" s="8"/>
      <c r="AA128" s="8" t="s">
        <v>39</v>
      </c>
      <c r="AB128" s="8">
        <v>31</v>
      </c>
      <c r="AC128" s="13">
        <f t="shared" ref="AC128:AC129" si="17">M128</f>
        <v>44059</v>
      </c>
      <c r="AD128" s="13">
        <f t="shared" ref="AD128:AD129" si="18">N128</f>
        <v>44077</v>
      </c>
      <c r="AE128" s="8">
        <v>0</v>
      </c>
      <c r="AF128" s="8"/>
      <c r="AG128" s="8"/>
    </row>
    <row r="129" spans="1:33" hidden="1" x14ac:dyDescent="0.2">
      <c r="A129" s="8">
        <v>2504</v>
      </c>
      <c r="B129" s="9">
        <v>44063</v>
      </c>
      <c r="C129" s="8">
        <v>30012818</v>
      </c>
      <c r="D129" s="8" t="s">
        <v>62</v>
      </c>
      <c r="E129" s="8" t="s">
        <v>217</v>
      </c>
      <c r="F129" s="8" t="s">
        <v>218</v>
      </c>
      <c r="G129" s="8">
        <v>15018227</v>
      </c>
      <c r="H129" s="8">
        <v>802094748</v>
      </c>
      <c r="I129" s="8" t="s">
        <v>77</v>
      </c>
      <c r="J129" s="8" t="s">
        <v>32</v>
      </c>
      <c r="K129" s="8" t="s">
        <v>522</v>
      </c>
      <c r="L129" s="8" t="s">
        <v>1182</v>
      </c>
      <c r="M129" s="9">
        <v>44060</v>
      </c>
      <c r="N129" s="9">
        <v>44089</v>
      </c>
      <c r="O129" s="8">
        <v>496.8</v>
      </c>
      <c r="P129" s="8" t="s">
        <v>48</v>
      </c>
      <c r="Q129" s="8" t="s">
        <v>34</v>
      </c>
      <c r="R129" s="8" t="s">
        <v>35</v>
      </c>
      <c r="S129" s="8">
        <v>20</v>
      </c>
      <c r="T129" s="8" t="s">
        <v>36</v>
      </c>
      <c r="U129" s="8" t="s">
        <v>1139</v>
      </c>
      <c r="V129" s="8" t="s">
        <v>52</v>
      </c>
      <c r="W129" s="8" t="s">
        <v>1183</v>
      </c>
      <c r="X129" s="8"/>
      <c r="Y129" s="8">
        <v>480</v>
      </c>
      <c r="Z129" s="8"/>
      <c r="AA129" s="8" t="s">
        <v>39</v>
      </c>
      <c r="AB129" s="8">
        <v>31</v>
      </c>
      <c r="AC129" s="13">
        <f t="shared" si="17"/>
        <v>44060</v>
      </c>
      <c r="AD129" s="13">
        <f t="shared" si="18"/>
        <v>44089</v>
      </c>
      <c r="AE129" s="8">
        <v>0</v>
      </c>
      <c r="AF129" s="8"/>
      <c r="AG129" s="8"/>
    </row>
    <row r="130" spans="1:33" hidden="1" x14ac:dyDescent="0.2">
      <c r="A130" s="8">
        <v>2503</v>
      </c>
      <c r="B130" s="9">
        <v>44048</v>
      </c>
      <c r="C130" s="8">
        <v>30012761</v>
      </c>
      <c r="D130" s="8" t="s">
        <v>74</v>
      </c>
      <c r="E130" s="8" t="s">
        <v>75</v>
      </c>
      <c r="F130" s="8" t="s">
        <v>285</v>
      </c>
      <c r="G130" s="8">
        <v>15018166</v>
      </c>
      <c r="H130" s="8">
        <v>802094769</v>
      </c>
      <c r="I130" s="8" t="s">
        <v>491</v>
      </c>
      <c r="J130" s="8" t="s">
        <v>286</v>
      </c>
      <c r="K130" s="8" t="s">
        <v>773</v>
      </c>
      <c r="L130" s="8" t="s">
        <v>622</v>
      </c>
      <c r="M130" s="9">
        <v>44044</v>
      </c>
      <c r="N130" s="9">
        <v>44069</v>
      </c>
      <c r="O130" s="8">
        <v>19.577000000000002</v>
      </c>
      <c r="P130" s="8" t="s">
        <v>287</v>
      </c>
      <c r="Q130" s="8" t="s">
        <v>288</v>
      </c>
      <c r="R130" s="8" t="s">
        <v>289</v>
      </c>
      <c r="S130" s="8">
        <v>1</v>
      </c>
      <c r="T130" s="8" t="s">
        <v>87</v>
      </c>
      <c r="U130" s="8" t="s">
        <v>37</v>
      </c>
      <c r="V130" s="8" t="s">
        <v>65</v>
      </c>
      <c r="W130" s="8" t="s">
        <v>774</v>
      </c>
      <c r="X130" s="8"/>
      <c r="Y130" s="8">
        <v>19</v>
      </c>
      <c r="Z130" s="8" t="s">
        <v>592</v>
      </c>
      <c r="AA130" s="8" t="s">
        <v>109</v>
      </c>
      <c r="AB130" s="8">
        <v>31</v>
      </c>
      <c r="AC130" s="13">
        <v>44044</v>
      </c>
      <c r="AD130" s="13">
        <f>N130</f>
        <v>44069</v>
      </c>
      <c r="AE130" s="8">
        <v>0</v>
      </c>
      <c r="AF130" s="8">
        <v>0</v>
      </c>
      <c r="AG130" s="8"/>
    </row>
    <row r="131" spans="1:33" hidden="1" x14ac:dyDescent="0.2">
      <c r="A131" s="8">
        <v>2503</v>
      </c>
      <c r="B131" s="9">
        <v>44048</v>
      </c>
      <c r="C131" s="8">
        <v>30012761</v>
      </c>
      <c r="D131" s="8" t="s">
        <v>74</v>
      </c>
      <c r="E131" s="8" t="s">
        <v>75</v>
      </c>
      <c r="F131" s="8" t="s">
        <v>285</v>
      </c>
      <c r="G131" s="8">
        <v>15018167</v>
      </c>
      <c r="H131" s="8">
        <v>802094770</v>
      </c>
      <c r="I131" s="8" t="s">
        <v>222</v>
      </c>
      <c r="J131" s="8" t="s">
        <v>223</v>
      </c>
      <c r="K131" s="8" t="s">
        <v>773</v>
      </c>
      <c r="L131" s="8" t="s">
        <v>622</v>
      </c>
      <c r="M131" s="9">
        <v>44044</v>
      </c>
      <c r="N131" s="9">
        <v>44069</v>
      </c>
      <c r="O131" s="8">
        <v>19.617000000000001</v>
      </c>
      <c r="P131" s="8" t="s">
        <v>287</v>
      </c>
      <c r="Q131" s="8" t="s">
        <v>288</v>
      </c>
      <c r="R131" s="8" t="s">
        <v>289</v>
      </c>
      <c r="S131" s="8">
        <v>1</v>
      </c>
      <c r="T131" s="8" t="s">
        <v>87</v>
      </c>
      <c r="U131" s="8" t="s">
        <v>37</v>
      </c>
      <c r="V131" s="8" t="s">
        <v>65</v>
      </c>
      <c r="W131" s="8" t="s">
        <v>777</v>
      </c>
      <c r="X131" s="8"/>
      <c r="Y131" s="8">
        <v>19</v>
      </c>
      <c r="Z131" s="8" t="s">
        <v>592</v>
      </c>
      <c r="AA131" s="8" t="s">
        <v>109</v>
      </c>
      <c r="AB131" s="8">
        <v>31</v>
      </c>
      <c r="AC131" s="13">
        <v>44044</v>
      </c>
      <c r="AD131" s="13">
        <f>N131</f>
        <v>44069</v>
      </c>
      <c r="AE131" s="8">
        <v>0</v>
      </c>
      <c r="AF131" s="8">
        <v>0</v>
      </c>
      <c r="AG131" s="8"/>
    </row>
    <row r="132" spans="1:33" x14ac:dyDescent="0.2">
      <c r="A132" s="8">
        <v>2501</v>
      </c>
      <c r="B132" s="9">
        <v>44048</v>
      </c>
      <c r="C132" s="8">
        <v>30012772</v>
      </c>
      <c r="D132" s="8" t="s">
        <v>137</v>
      </c>
      <c r="E132" s="8" t="s">
        <v>156</v>
      </c>
      <c r="F132" s="8" t="s">
        <v>157</v>
      </c>
      <c r="G132" s="8">
        <v>15018368</v>
      </c>
      <c r="H132" s="8">
        <v>802095011</v>
      </c>
      <c r="I132" s="8" t="s">
        <v>158</v>
      </c>
      <c r="J132" s="8" t="s">
        <v>58</v>
      </c>
      <c r="K132" s="8" t="s">
        <v>908</v>
      </c>
      <c r="L132" s="8" t="s">
        <v>572</v>
      </c>
      <c r="M132" s="9">
        <v>44050</v>
      </c>
      <c r="N132" s="9">
        <v>44067</v>
      </c>
      <c r="O132" s="8">
        <v>102.52</v>
      </c>
      <c r="P132" s="8" t="s">
        <v>33</v>
      </c>
      <c r="Q132" s="8" t="s">
        <v>159</v>
      </c>
      <c r="R132" s="8" t="s">
        <v>160</v>
      </c>
      <c r="S132" s="8">
        <v>4</v>
      </c>
      <c r="T132" s="8" t="s">
        <v>72</v>
      </c>
      <c r="U132" s="8" t="s">
        <v>290</v>
      </c>
      <c r="V132" s="8" t="s">
        <v>43</v>
      </c>
      <c r="W132" s="8" t="s">
        <v>909</v>
      </c>
      <c r="X132" s="8"/>
      <c r="Y132" s="8">
        <v>44</v>
      </c>
      <c r="Z132" s="8"/>
      <c r="AA132" s="8" t="s">
        <v>39</v>
      </c>
      <c r="AB132" s="8">
        <v>31</v>
      </c>
      <c r="AC132" s="13">
        <v>44054</v>
      </c>
      <c r="AD132" s="13">
        <f t="shared" ref="AD132:AD133" si="19">N132</f>
        <v>44067</v>
      </c>
      <c r="AE132" s="8">
        <v>4</v>
      </c>
      <c r="AF132" s="8"/>
      <c r="AG132" s="8" t="s">
        <v>1684</v>
      </c>
    </row>
    <row r="133" spans="1:33" x14ac:dyDescent="0.2">
      <c r="A133" s="8">
        <v>2501</v>
      </c>
      <c r="B133" s="9">
        <v>44048</v>
      </c>
      <c r="C133" s="8">
        <v>30012772</v>
      </c>
      <c r="D133" s="8" t="s">
        <v>137</v>
      </c>
      <c r="E133" s="8" t="s">
        <v>156</v>
      </c>
      <c r="F133" s="8" t="s">
        <v>157</v>
      </c>
      <c r="G133" s="8">
        <v>15018369</v>
      </c>
      <c r="H133" s="8">
        <v>802095012</v>
      </c>
      <c r="I133" s="8" t="s">
        <v>161</v>
      </c>
      <c r="J133" s="8" t="s">
        <v>58</v>
      </c>
      <c r="K133" s="8" t="s">
        <v>908</v>
      </c>
      <c r="L133" s="8" t="s">
        <v>572</v>
      </c>
      <c r="M133" s="9">
        <v>44050</v>
      </c>
      <c r="N133" s="9">
        <v>44067</v>
      </c>
      <c r="O133" s="8">
        <v>102.48</v>
      </c>
      <c r="P133" s="8" t="s">
        <v>33</v>
      </c>
      <c r="Q133" s="8" t="s">
        <v>159</v>
      </c>
      <c r="R133" s="8" t="s">
        <v>160</v>
      </c>
      <c r="S133" s="8">
        <v>4</v>
      </c>
      <c r="T133" s="8" t="s">
        <v>72</v>
      </c>
      <c r="U133" s="8" t="s">
        <v>290</v>
      </c>
      <c r="V133" s="8" t="s">
        <v>43</v>
      </c>
      <c r="W133" s="8" t="s">
        <v>912</v>
      </c>
      <c r="X133" s="8"/>
      <c r="Y133" s="8">
        <v>40</v>
      </c>
      <c r="Z133" s="8"/>
      <c r="AA133" s="8" t="s">
        <v>39</v>
      </c>
      <c r="AB133" s="8">
        <v>31</v>
      </c>
      <c r="AC133" s="13">
        <v>44054</v>
      </c>
      <c r="AD133" s="13">
        <f t="shared" si="19"/>
        <v>44067</v>
      </c>
      <c r="AE133" s="8">
        <v>4</v>
      </c>
      <c r="AF133" s="8"/>
      <c r="AG133" s="8" t="s">
        <v>1684</v>
      </c>
    </row>
    <row r="134" spans="1:33" hidden="1" x14ac:dyDescent="0.2">
      <c r="A134" s="8">
        <v>2504</v>
      </c>
      <c r="B134" s="9">
        <v>44058</v>
      </c>
      <c r="C134" s="8">
        <v>30012818</v>
      </c>
      <c r="D134" s="8" t="s">
        <v>62</v>
      </c>
      <c r="E134" s="8" t="s">
        <v>217</v>
      </c>
      <c r="F134" s="8" t="s">
        <v>218</v>
      </c>
      <c r="G134" s="8">
        <v>15018228</v>
      </c>
      <c r="H134" s="8">
        <v>802094749</v>
      </c>
      <c r="I134" s="8" t="s">
        <v>77</v>
      </c>
      <c r="J134" s="8" t="s">
        <v>32</v>
      </c>
      <c r="K134" s="8" t="s">
        <v>522</v>
      </c>
      <c r="L134" s="8" t="s">
        <v>1182</v>
      </c>
      <c r="M134" s="9">
        <v>44060</v>
      </c>
      <c r="N134" s="9">
        <v>44089</v>
      </c>
      <c r="O134" s="8">
        <v>496.8</v>
      </c>
      <c r="P134" s="8" t="s">
        <v>48</v>
      </c>
      <c r="Q134" s="8" t="s">
        <v>34</v>
      </c>
      <c r="R134" s="8" t="s">
        <v>35</v>
      </c>
      <c r="S134" s="8">
        <v>20</v>
      </c>
      <c r="T134" s="8" t="s">
        <v>36</v>
      </c>
      <c r="U134" s="8" t="s">
        <v>1139</v>
      </c>
      <c r="V134" s="8" t="s">
        <v>52</v>
      </c>
      <c r="W134" s="8" t="s">
        <v>1186</v>
      </c>
      <c r="X134" s="8"/>
      <c r="Y134" s="8">
        <v>480</v>
      </c>
      <c r="Z134" s="8"/>
      <c r="AA134" s="8" t="s">
        <v>39</v>
      </c>
      <c r="AB134" s="8">
        <v>31</v>
      </c>
      <c r="AC134" s="13">
        <f t="shared" ref="AC134:AC135" si="20">M134</f>
        <v>44060</v>
      </c>
      <c r="AD134" s="13">
        <f t="shared" ref="AD134:AD135" si="21">N134</f>
        <v>44089</v>
      </c>
      <c r="AE134" s="8">
        <v>0</v>
      </c>
      <c r="AF134" s="8"/>
      <c r="AG134" s="8"/>
    </row>
    <row r="135" spans="1:33" hidden="1" x14ac:dyDescent="0.2">
      <c r="A135" s="8">
        <v>2504</v>
      </c>
      <c r="B135" s="9">
        <v>44055</v>
      </c>
      <c r="C135" s="8">
        <v>30012816</v>
      </c>
      <c r="D135" s="8" t="s">
        <v>62</v>
      </c>
      <c r="E135" s="8" t="s">
        <v>167</v>
      </c>
      <c r="F135" s="8" t="s">
        <v>168</v>
      </c>
      <c r="G135" s="8">
        <v>15018192</v>
      </c>
      <c r="H135" s="8">
        <v>802094730</v>
      </c>
      <c r="I135" s="8" t="s">
        <v>77</v>
      </c>
      <c r="J135" s="8" t="s">
        <v>32</v>
      </c>
      <c r="K135" s="8" t="s">
        <v>1087</v>
      </c>
      <c r="L135" s="8" t="s">
        <v>760</v>
      </c>
      <c r="M135" s="9">
        <v>44061</v>
      </c>
      <c r="N135" s="9">
        <v>44081</v>
      </c>
      <c r="O135" s="8">
        <v>198.72</v>
      </c>
      <c r="P135" s="8" t="s">
        <v>48</v>
      </c>
      <c r="Q135" s="8" t="s">
        <v>166</v>
      </c>
      <c r="R135" s="8" t="s">
        <v>169</v>
      </c>
      <c r="S135" s="8">
        <v>8</v>
      </c>
      <c r="T135" s="8" t="s">
        <v>36</v>
      </c>
      <c r="U135" s="8" t="s">
        <v>1139</v>
      </c>
      <c r="V135" s="8" t="s">
        <v>52</v>
      </c>
      <c r="W135" s="8" t="s">
        <v>1204</v>
      </c>
      <c r="X135" s="8"/>
      <c r="Y135" s="8">
        <v>192</v>
      </c>
      <c r="Z135" s="8" t="s">
        <v>1205</v>
      </c>
      <c r="AA135" s="8" t="s">
        <v>39</v>
      </c>
      <c r="AB135" s="8">
        <v>31</v>
      </c>
      <c r="AC135" s="13">
        <f t="shared" si="20"/>
        <v>44061</v>
      </c>
      <c r="AD135" s="13">
        <f t="shared" si="21"/>
        <v>44081</v>
      </c>
      <c r="AE135" s="8">
        <v>0</v>
      </c>
      <c r="AF135" s="8"/>
      <c r="AG135" s="8"/>
    </row>
    <row r="136" spans="1:33" x14ac:dyDescent="0.2">
      <c r="A136" s="8">
        <v>2501</v>
      </c>
      <c r="B136" s="9">
        <v>44073</v>
      </c>
      <c r="C136" s="8">
        <v>30012764</v>
      </c>
      <c r="D136" s="8" t="s">
        <v>74</v>
      </c>
      <c r="E136" s="8" t="s">
        <v>75</v>
      </c>
      <c r="F136" s="8" t="s">
        <v>147</v>
      </c>
      <c r="G136" s="8">
        <v>15018250</v>
      </c>
      <c r="H136" s="8">
        <v>802094839</v>
      </c>
      <c r="I136" s="8" t="s">
        <v>148</v>
      </c>
      <c r="J136" s="8" t="s">
        <v>58</v>
      </c>
      <c r="K136" s="8" t="s">
        <v>1103</v>
      </c>
      <c r="L136" s="8" t="s">
        <v>1104</v>
      </c>
      <c r="M136" s="9">
        <v>44057</v>
      </c>
      <c r="N136" s="9">
        <v>44102</v>
      </c>
      <c r="O136" s="8">
        <v>69.093000000000004</v>
      </c>
      <c r="P136" s="8" t="s">
        <v>33</v>
      </c>
      <c r="Q136" s="8" t="s">
        <v>149</v>
      </c>
      <c r="R136" s="8" t="s">
        <v>150</v>
      </c>
      <c r="S136" s="8">
        <v>3</v>
      </c>
      <c r="T136" s="8" t="s">
        <v>61</v>
      </c>
      <c r="U136" s="8" t="s">
        <v>290</v>
      </c>
      <c r="V136" s="8" t="s">
        <v>73</v>
      </c>
      <c r="W136" s="8" t="s">
        <v>1105</v>
      </c>
      <c r="X136" s="8"/>
      <c r="Y136" s="8">
        <v>27</v>
      </c>
      <c r="Z136" s="8"/>
      <c r="AA136" s="8" t="s">
        <v>39</v>
      </c>
      <c r="AB136" s="8">
        <v>31</v>
      </c>
      <c r="AC136" s="13">
        <f>M136</f>
        <v>44057</v>
      </c>
      <c r="AD136" s="13">
        <f>N136</f>
        <v>44102</v>
      </c>
      <c r="AE136" s="8">
        <v>0</v>
      </c>
      <c r="AF136" s="8"/>
      <c r="AG136" s="8"/>
    </row>
    <row r="137" spans="1:33" x14ac:dyDescent="0.2">
      <c r="A137" s="8">
        <v>2501</v>
      </c>
      <c r="B137" s="9">
        <v>44073</v>
      </c>
      <c r="C137" s="8">
        <v>30012764</v>
      </c>
      <c r="D137" s="8" t="s">
        <v>74</v>
      </c>
      <c r="E137" s="8" t="s">
        <v>75</v>
      </c>
      <c r="F137" s="8" t="s">
        <v>147</v>
      </c>
      <c r="G137" s="8">
        <v>15018251</v>
      </c>
      <c r="H137" s="8">
        <v>802094840</v>
      </c>
      <c r="I137" s="8" t="s">
        <v>151</v>
      </c>
      <c r="J137" s="8" t="s">
        <v>58</v>
      </c>
      <c r="K137" s="8" t="s">
        <v>1103</v>
      </c>
      <c r="L137" s="8" t="s">
        <v>1104</v>
      </c>
      <c r="M137" s="9">
        <v>44057</v>
      </c>
      <c r="N137" s="9">
        <v>44102</v>
      </c>
      <c r="O137" s="8">
        <v>69.066000000000003</v>
      </c>
      <c r="P137" s="8" t="s">
        <v>33</v>
      </c>
      <c r="Q137" s="8" t="s">
        <v>149</v>
      </c>
      <c r="R137" s="8" t="s">
        <v>150</v>
      </c>
      <c r="S137" s="8">
        <v>3</v>
      </c>
      <c r="T137" s="8" t="s">
        <v>61</v>
      </c>
      <c r="U137" s="8" t="s">
        <v>290</v>
      </c>
      <c r="V137" s="8" t="s">
        <v>73</v>
      </c>
      <c r="W137" s="8" t="s">
        <v>1108</v>
      </c>
      <c r="X137" s="8"/>
      <c r="Y137" s="8">
        <v>27</v>
      </c>
      <c r="Z137" s="8"/>
      <c r="AA137" s="8" t="s">
        <v>39</v>
      </c>
      <c r="AB137" s="8">
        <v>31</v>
      </c>
      <c r="AC137" s="13">
        <f t="shared" ref="AC137:AC151" si="22">M137</f>
        <v>44057</v>
      </c>
      <c r="AD137" s="13">
        <f t="shared" ref="AD137:AD151" si="23">N137</f>
        <v>44102</v>
      </c>
      <c r="AE137" s="8">
        <v>0</v>
      </c>
      <c r="AF137" s="8"/>
      <c r="AG137" s="8"/>
    </row>
    <row r="138" spans="1:33" x14ac:dyDescent="0.2">
      <c r="A138" s="8">
        <v>2501</v>
      </c>
      <c r="B138" s="9">
        <v>44048</v>
      </c>
      <c r="C138" s="8">
        <v>30012762</v>
      </c>
      <c r="D138" s="8" t="s">
        <v>62</v>
      </c>
      <c r="E138" s="8" t="s">
        <v>324</v>
      </c>
      <c r="F138" s="8" t="s">
        <v>325</v>
      </c>
      <c r="G138" s="8">
        <v>15018211</v>
      </c>
      <c r="H138" s="8">
        <v>802094829</v>
      </c>
      <c r="I138" s="8" t="s">
        <v>112</v>
      </c>
      <c r="J138" s="8" t="s">
        <v>32</v>
      </c>
      <c r="K138" s="8" t="s">
        <v>1051</v>
      </c>
      <c r="L138" s="8" t="s">
        <v>113</v>
      </c>
      <c r="M138" s="9">
        <v>44055</v>
      </c>
      <c r="N138" s="9">
        <v>44078</v>
      </c>
      <c r="O138" s="8">
        <v>500</v>
      </c>
      <c r="P138" s="8" t="s">
        <v>114</v>
      </c>
      <c r="Q138" s="8" t="s">
        <v>115</v>
      </c>
      <c r="R138" s="8" t="s">
        <v>116</v>
      </c>
      <c r="S138" s="8">
        <v>0</v>
      </c>
      <c r="T138" s="8" t="s">
        <v>117</v>
      </c>
      <c r="U138" s="8" t="s">
        <v>290</v>
      </c>
      <c r="V138" s="8" t="s">
        <v>118</v>
      </c>
      <c r="W138" s="8"/>
      <c r="X138" s="8"/>
      <c r="Y138" s="8">
        <v>493</v>
      </c>
      <c r="Z138" s="8"/>
      <c r="AA138" s="8" t="s">
        <v>39</v>
      </c>
      <c r="AB138" s="8">
        <v>32</v>
      </c>
      <c r="AC138" s="13">
        <f t="shared" si="22"/>
        <v>44055</v>
      </c>
      <c r="AD138" s="13">
        <f t="shared" si="23"/>
        <v>44078</v>
      </c>
      <c r="AE138" s="8">
        <v>0</v>
      </c>
      <c r="AF138" s="8"/>
      <c r="AG138" s="8"/>
    </row>
    <row r="139" spans="1:33" x14ac:dyDescent="0.2">
      <c r="A139" s="8">
        <v>2501</v>
      </c>
      <c r="B139" s="9">
        <v>44048</v>
      </c>
      <c r="C139" s="8">
        <v>30012762</v>
      </c>
      <c r="D139" s="8" t="s">
        <v>62</v>
      </c>
      <c r="E139" s="8" t="s">
        <v>324</v>
      </c>
      <c r="F139" s="8" t="s">
        <v>325</v>
      </c>
      <c r="G139" s="8">
        <v>15018212</v>
      </c>
      <c r="H139" s="8">
        <v>802094830</v>
      </c>
      <c r="I139" s="8" t="s">
        <v>112</v>
      </c>
      <c r="J139" s="8" t="s">
        <v>32</v>
      </c>
      <c r="K139" s="8" t="s">
        <v>1051</v>
      </c>
      <c r="L139" s="8" t="s">
        <v>113</v>
      </c>
      <c r="M139" s="9">
        <v>44055</v>
      </c>
      <c r="N139" s="9">
        <v>44078</v>
      </c>
      <c r="O139" s="8">
        <v>500</v>
      </c>
      <c r="P139" s="8" t="s">
        <v>114</v>
      </c>
      <c r="Q139" s="8" t="s">
        <v>115</v>
      </c>
      <c r="R139" s="8" t="s">
        <v>116</v>
      </c>
      <c r="S139" s="8">
        <v>0</v>
      </c>
      <c r="T139" s="8" t="s">
        <v>117</v>
      </c>
      <c r="U139" s="8" t="s">
        <v>290</v>
      </c>
      <c r="V139" s="8" t="s">
        <v>118</v>
      </c>
      <c r="W139" s="8"/>
      <c r="X139" s="8"/>
      <c r="Y139" s="8">
        <v>493</v>
      </c>
      <c r="Z139" s="8"/>
      <c r="AA139" s="8" t="s">
        <v>39</v>
      </c>
      <c r="AB139" s="8">
        <v>32</v>
      </c>
      <c r="AC139" s="13">
        <f t="shared" si="22"/>
        <v>44055</v>
      </c>
      <c r="AD139" s="13">
        <f t="shared" si="23"/>
        <v>44078</v>
      </c>
      <c r="AE139" s="8">
        <v>0</v>
      </c>
      <c r="AF139" s="8"/>
      <c r="AG139" s="8"/>
    </row>
    <row r="140" spans="1:33" x14ac:dyDescent="0.2">
      <c r="A140" s="8">
        <v>2501</v>
      </c>
      <c r="B140" s="9">
        <v>44058</v>
      </c>
      <c r="C140" s="8">
        <v>30012762</v>
      </c>
      <c r="D140" s="8" t="s">
        <v>102</v>
      </c>
      <c r="E140" s="8" t="s">
        <v>662</v>
      </c>
      <c r="F140" s="8" t="s">
        <v>663</v>
      </c>
      <c r="G140" s="8">
        <v>15018258</v>
      </c>
      <c r="H140" s="8">
        <v>802094841</v>
      </c>
      <c r="I140" s="8" t="s">
        <v>112</v>
      </c>
      <c r="J140" s="8" t="s">
        <v>32</v>
      </c>
      <c r="K140" s="8" t="s">
        <v>1051</v>
      </c>
      <c r="L140" s="8" t="s">
        <v>113</v>
      </c>
      <c r="M140" s="9">
        <v>44055</v>
      </c>
      <c r="N140" s="9">
        <v>44089</v>
      </c>
      <c r="O140" s="8">
        <v>400</v>
      </c>
      <c r="P140" s="8" t="s">
        <v>114</v>
      </c>
      <c r="Q140" s="8" t="s">
        <v>131</v>
      </c>
      <c r="R140" s="8" t="s">
        <v>132</v>
      </c>
      <c r="S140" s="8">
        <v>0</v>
      </c>
      <c r="T140" s="8" t="s">
        <v>117</v>
      </c>
      <c r="U140" s="8" t="s">
        <v>290</v>
      </c>
      <c r="V140" s="8" t="s">
        <v>118</v>
      </c>
      <c r="W140" s="8"/>
      <c r="X140" s="8"/>
      <c r="Y140" s="8">
        <v>395</v>
      </c>
      <c r="Z140" s="8"/>
      <c r="AA140" s="8" t="s">
        <v>39</v>
      </c>
      <c r="AB140" s="8">
        <v>32</v>
      </c>
      <c r="AC140" s="13">
        <f t="shared" si="22"/>
        <v>44055</v>
      </c>
      <c r="AD140" s="13">
        <f t="shared" si="23"/>
        <v>44089</v>
      </c>
      <c r="AE140" s="8">
        <v>0</v>
      </c>
      <c r="AF140" s="8"/>
      <c r="AG140" s="8"/>
    </row>
    <row r="141" spans="1:33" x14ac:dyDescent="0.2">
      <c r="A141" s="8">
        <v>2501</v>
      </c>
      <c r="B141" s="9">
        <v>44058</v>
      </c>
      <c r="C141" s="8">
        <v>30012762</v>
      </c>
      <c r="D141" s="8" t="s">
        <v>102</v>
      </c>
      <c r="E141" s="8" t="s">
        <v>123</v>
      </c>
      <c r="F141" s="8" t="s">
        <v>124</v>
      </c>
      <c r="G141" s="8">
        <v>15018314</v>
      </c>
      <c r="H141" s="8">
        <v>802094874</v>
      </c>
      <c r="I141" s="8" t="s">
        <v>125</v>
      </c>
      <c r="J141" s="8" t="s">
        <v>58</v>
      </c>
      <c r="K141" s="8" t="s">
        <v>1051</v>
      </c>
      <c r="L141" s="8" t="s">
        <v>113</v>
      </c>
      <c r="M141" s="9">
        <v>44055</v>
      </c>
      <c r="N141" s="9">
        <v>44086</v>
      </c>
      <c r="O141" s="8">
        <v>45</v>
      </c>
      <c r="P141" s="8" t="s">
        <v>114</v>
      </c>
      <c r="Q141" s="8" t="s">
        <v>85</v>
      </c>
      <c r="R141" s="8" t="s">
        <v>86</v>
      </c>
      <c r="S141" s="8">
        <v>0</v>
      </c>
      <c r="T141" s="8" t="s">
        <v>117</v>
      </c>
      <c r="U141" s="8" t="s">
        <v>290</v>
      </c>
      <c r="V141" s="8" t="s">
        <v>118</v>
      </c>
      <c r="W141" s="8"/>
      <c r="X141" s="8"/>
      <c r="Y141" s="8">
        <v>22</v>
      </c>
      <c r="Z141" s="8"/>
      <c r="AA141" s="8" t="s">
        <v>39</v>
      </c>
      <c r="AB141" s="8">
        <v>32</v>
      </c>
      <c r="AC141" s="13">
        <f t="shared" si="22"/>
        <v>44055</v>
      </c>
      <c r="AD141" s="13">
        <f t="shared" si="23"/>
        <v>44086</v>
      </c>
      <c r="AE141" s="8">
        <v>0</v>
      </c>
      <c r="AF141" s="8"/>
      <c r="AG141" s="8"/>
    </row>
    <row r="142" spans="1:33" x14ac:dyDescent="0.2">
      <c r="A142" s="8">
        <v>2501</v>
      </c>
      <c r="B142" s="9">
        <v>44058</v>
      </c>
      <c r="C142" s="8">
        <v>30012762</v>
      </c>
      <c r="D142" s="8" t="s">
        <v>102</v>
      </c>
      <c r="E142" s="8" t="s">
        <v>123</v>
      </c>
      <c r="F142" s="8" t="s">
        <v>124</v>
      </c>
      <c r="G142" s="8">
        <v>15018315</v>
      </c>
      <c r="H142" s="8">
        <v>802094875</v>
      </c>
      <c r="I142" s="8" t="s">
        <v>126</v>
      </c>
      <c r="J142" s="8" t="s">
        <v>58</v>
      </c>
      <c r="K142" s="8" t="s">
        <v>1051</v>
      </c>
      <c r="L142" s="8" t="s">
        <v>113</v>
      </c>
      <c r="M142" s="9">
        <v>44055</v>
      </c>
      <c r="N142" s="9">
        <v>44086</v>
      </c>
      <c r="O142" s="8">
        <v>15</v>
      </c>
      <c r="P142" s="8" t="s">
        <v>114</v>
      </c>
      <c r="Q142" s="8" t="s">
        <v>85</v>
      </c>
      <c r="R142" s="8" t="s">
        <v>86</v>
      </c>
      <c r="S142" s="8">
        <v>0</v>
      </c>
      <c r="T142" s="8" t="s">
        <v>117</v>
      </c>
      <c r="U142" s="8" t="s">
        <v>290</v>
      </c>
      <c r="V142" s="8" t="s">
        <v>118</v>
      </c>
      <c r="W142" s="8"/>
      <c r="X142" s="8"/>
      <c r="Y142" s="8">
        <v>13</v>
      </c>
      <c r="Z142" s="8"/>
      <c r="AA142" s="8" t="s">
        <v>39</v>
      </c>
      <c r="AB142" s="8">
        <v>32</v>
      </c>
      <c r="AC142" s="13">
        <f t="shared" si="22"/>
        <v>44055</v>
      </c>
      <c r="AD142" s="13">
        <f t="shared" si="23"/>
        <v>44086</v>
      </c>
      <c r="AE142" s="8">
        <v>0</v>
      </c>
      <c r="AF142" s="8"/>
      <c r="AG142" s="8"/>
    </row>
    <row r="143" spans="1:33" x14ac:dyDescent="0.2">
      <c r="A143" s="8">
        <v>2501</v>
      </c>
      <c r="B143" s="9">
        <v>44058</v>
      </c>
      <c r="C143" s="8">
        <v>30012762</v>
      </c>
      <c r="D143" s="8" t="s">
        <v>102</v>
      </c>
      <c r="E143" s="8" t="s">
        <v>127</v>
      </c>
      <c r="F143" s="8" t="s">
        <v>124</v>
      </c>
      <c r="G143" s="8">
        <v>15018316</v>
      </c>
      <c r="H143" s="8">
        <v>802094876</v>
      </c>
      <c r="I143" s="8" t="s">
        <v>125</v>
      </c>
      <c r="J143" s="8" t="s">
        <v>58</v>
      </c>
      <c r="K143" s="8" t="s">
        <v>1051</v>
      </c>
      <c r="L143" s="8" t="s">
        <v>113</v>
      </c>
      <c r="M143" s="9">
        <v>44055</v>
      </c>
      <c r="N143" s="9">
        <v>44086</v>
      </c>
      <c r="O143" s="8">
        <v>60</v>
      </c>
      <c r="P143" s="8" t="s">
        <v>114</v>
      </c>
      <c r="Q143" s="8" t="s">
        <v>85</v>
      </c>
      <c r="R143" s="8" t="s">
        <v>86</v>
      </c>
      <c r="S143" s="8">
        <v>0</v>
      </c>
      <c r="T143" s="8" t="s">
        <v>117</v>
      </c>
      <c r="U143" s="8" t="s">
        <v>290</v>
      </c>
      <c r="V143" s="8" t="s">
        <v>118</v>
      </c>
      <c r="W143" s="8"/>
      <c r="X143" s="8"/>
      <c r="Y143" s="8">
        <v>29</v>
      </c>
      <c r="Z143" s="8"/>
      <c r="AA143" s="8" t="s">
        <v>39</v>
      </c>
      <c r="AB143" s="8">
        <v>32</v>
      </c>
      <c r="AC143" s="13">
        <f t="shared" si="22"/>
        <v>44055</v>
      </c>
      <c r="AD143" s="13">
        <f t="shared" si="23"/>
        <v>44086</v>
      </c>
      <c r="AE143" s="8">
        <v>0</v>
      </c>
      <c r="AF143" s="8"/>
      <c r="AG143" s="8"/>
    </row>
    <row r="144" spans="1:33" x14ac:dyDescent="0.2">
      <c r="A144" s="8">
        <v>2501</v>
      </c>
      <c r="B144" s="9">
        <v>44058</v>
      </c>
      <c r="C144" s="8">
        <v>30012762</v>
      </c>
      <c r="D144" s="8" t="s">
        <v>102</v>
      </c>
      <c r="E144" s="8" t="s">
        <v>128</v>
      </c>
      <c r="F144" s="8" t="s">
        <v>124</v>
      </c>
      <c r="G144" s="8">
        <v>15018317</v>
      </c>
      <c r="H144" s="8">
        <v>802094877</v>
      </c>
      <c r="I144" s="8" t="s">
        <v>125</v>
      </c>
      <c r="J144" s="8" t="s">
        <v>58</v>
      </c>
      <c r="K144" s="8" t="s">
        <v>1051</v>
      </c>
      <c r="L144" s="8" t="s">
        <v>113</v>
      </c>
      <c r="M144" s="9">
        <v>44055</v>
      </c>
      <c r="N144" s="9">
        <v>44086</v>
      </c>
      <c r="O144" s="8">
        <v>20</v>
      </c>
      <c r="P144" s="8" t="s">
        <v>114</v>
      </c>
      <c r="Q144" s="8" t="s">
        <v>85</v>
      </c>
      <c r="R144" s="8" t="s">
        <v>86</v>
      </c>
      <c r="S144" s="8">
        <v>0</v>
      </c>
      <c r="T144" s="8" t="s">
        <v>117</v>
      </c>
      <c r="U144" s="8" t="s">
        <v>290</v>
      </c>
      <c r="V144" s="8" t="s">
        <v>118</v>
      </c>
      <c r="W144" s="8"/>
      <c r="X144" s="8"/>
      <c r="Y144" s="8">
        <v>10</v>
      </c>
      <c r="Z144" s="8"/>
      <c r="AA144" s="8" t="s">
        <v>39</v>
      </c>
      <c r="AB144" s="8">
        <v>32</v>
      </c>
      <c r="AC144" s="13">
        <f t="shared" si="22"/>
        <v>44055</v>
      </c>
      <c r="AD144" s="13">
        <f t="shared" si="23"/>
        <v>44086</v>
      </c>
      <c r="AE144" s="8">
        <v>0</v>
      </c>
      <c r="AF144" s="8"/>
      <c r="AG144" s="8"/>
    </row>
    <row r="145" spans="1:33" x14ac:dyDescent="0.2">
      <c r="A145" s="8">
        <v>2501</v>
      </c>
      <c r="B145" s="9">
        <v>44058</v>
      </c>
      <c r="C145" s="8">
        <v>30012762</v>
      </c>
      <c r="D145" s="8" t="s">
        <v>102</v>
      </c>
      <c r="E145" s="8" t="s">
        <v>322</v>
      </c>
      <c r="F145" s="8" t="s">
        <v>331</v>
      </c>
      <c r="G145" s="8">
        <v>15018330</v>
      </c>
      <c r="H145" s="8">
        <v>802094895</v>
      </c>
      <c r="I145" s="8" t="s">
        <v>112</v>
      </c>
      <c r="J145" s="8" t="s">
        <v>32</v>
      </c>
      <c r="K145" s="8" t="s">
        <v>1051</v>
      </c>
      <c r="L145" s="8" t="s">
        <v>113</v>
      </c>
      <c r="M145" s="9">
        <v>44055</v>
      </c>
      <c r="N145" s="9">
        <v>44089</v>
      </c>
      <c r="O145" s="8">
        <v>50</v>
      </c>
      <c r="P145" s="8" t="s">
        <v>114</v>
      </c>
      <c r="Q145" s="8" t="s">
        <v>131</v>
      </c>
      <c r="R145" s="8" t="s">
        <v>132</v>
      </c>
      <c r="S145" s="8">
        <v>0</v>
      </c>
      <c r="T145" s="8" t="s">
        <v>117</v>
      </c>
      <c r="U145" s="8" t="s">
        <v>290</v>
      </c>
      <c r="V145" s="8" t="s">
        <v>118</v>
      </c>
      <c r="W145" s="8"/>
      <c r="X145" s="8"/>
      <c r="Y145" s="8">
        <v>50</v>
      </c>
      <c r="Z145" s="8"/>
      <c r="AA145" s="8" t="s">
        <v>39</v>
      </c>
      <c r="AB145" s="8">
        <v>32</v>
      </c>
      <c r="AC145" s="13">
        <f t="shared" si="22"/>
        <v>44055</v>
      </c>
      <c r="AD145" s="13">
        <f t="shared" si="23"/>
        <v>44089</v>
      </c>
      <c r="AE145" s="8">
        <v>0</v>
      </c>
      <c r="AF145" s="8"/>
      <c r="AG145" s="8"/>
    </row>
    <row r="146" spans="1:33" x14ac:dyDescent="0.2">
      <c r="A146" s="8">
        <v>2501</v>
      </c>
      <c r="B146" s="9">
        <v>44058</v>
      </c>
      <c r="C146" s="8">
        <v>30012762</v>
      </c>
      <c r="D146" s="8" t="s">
        <v>102</v>
      </c>
      <c r="E146" s="8" t="s">
        <v>322</v>
      </c>
      <c r="F146" s="8" t="s">
        <v>687</v>
      </c>
      <c r="G146" s="8">
        <v>15018332</v>
      </c>
      <c r="H146" s="8">
        <v>802094897</v>
      </c>
      <c r="I146" s="8" t="s">
        <v>112</v>
      </c>
      <c r="J146" s="8" t="s">
        <v>32</v>
      </c>
      <c r="K146" s="8" t="s">
        <v>1051</v>
      </c>
      <c r="L146" s="8" t="s">
        <v>113</v>
      </c>
      <c r="M146" s="9">
        <v>44055</v>
      </c>
      <c r="N146" s="9">
        <v>44089</v>
      </c>
      <c r="O146" s="8">
        <v>200</v>
      </c>
      <c r="P146" s="8" t="s">
        <v>114</v>
      </c>
      <c r="Q146" s="8" t="s">
        <v>131</v>
      </c>
      <c r="R146" s="8" t="s">
        <v>132</v>
      </c>
      <c r="S146" s="8">
        <v>0</v>
      </c>
      <c r="T146" s="8" t="s">
        <v>117</v>
      </c>
      <c r="U146" s="8" t="s">
        <v>290</v>
      </c>
      <c r="V146" s="8" t="s">
        <v>118</v>
      </c>
      <c r="W146" s="8"/>
      <c r="X146" s="8"/>
      <c r="Y146" s="8">
        <v>197</v>
      </c>
      <c r="Z146" s="8"/>
      <c r="AA146" s="8" t="s">
        <v>39</v>
      </c>
      <c r="AB146" s="8">
        <v>32</v>
      </c>
      <c r="AC146" s="13">
        <f t="shared" si="22"/>
        <v>44055</v>
      </c>
      <c r="AD146" s="13">
        <f t="shared" si="23"/>
        <v>44089</v>
      </c>
      <c r="AE146" s="8">
        <v>0</v>
      </c>
      <c r="AF146" s="8"/>
      <c r="AG146" s="8"/>
    </row>
    <row r="147" spans="1:33" x14ac:dyDescent="0.2">
      <c r="A147" s="8">
        <v>2501</v>
      </c>
      <c r="B147" s="9">
        <v>44073</v>
      </c>
      <c r="C147" s="8">
        <v>30012762</v>
      </c>
      <c r="D147" s="8" t="s">
        <v>28</v>
      </c>
      <c r="E147" s="8" t="s">
        <v>29</v>
      </c>
      <c r="F147" s="8" t="s">
        <v>41</v>
      </c>
      <c r="G147" s="8">
        <v>15018334</v>
      </c>
      <c r="H147" s="8">
        <v>802094899</v>
      </c>
      <c r="I147" s="8" t="s">
        <v>112</v>
      </c>
      <c r="J147" s="8" t="s">
        <v>32</v>
      </c>
      <c r="K147" s="8" t="s">
        <v>1051</v>
      </c>
      <c r="L147" s="8" t="s">
        <v>113</v>
      </c>
      <c r="M147" s="9">
        <v>44055</v>
      </c>
      <c r="N147" s="9">
        <v>44078</v>
      </c>
      <c r="O147" s="8">
        <v>500</v>
      </c>
      <c r="P147" s="8" t="s">
        <v>114</v>
      </c>
      <c r="Q147" s="8" t="s">
        <v>115</v>
      </c>
      <c r="R147" s="8" t="s">
        <v>116</v>
      </c>
      <c r="S147" s="8">
        <v>0</v>
      </c>
      <c r="T147" s="8" t="s">
        <v>117</v>
      </c>
      <c r="U147" s="8" t="s">
        <v>290</v>
      </c>
      <c r="V147" s="8" t="s">
        <v>118</v>
      </c>
      <c r="W147" s="8"/>
      <c r="X147" s="8"/>
      <c r="Y147" s="8">
        <v>493</v>
      </c>
      <c r="Z147" s="8"/>
      <c r="AA147" s="8" t="s">
        <v>39</v>
      </c>
      <c r="AB147" s="8">
        <v>32</v>
      </c>
      <c r="AC147" s="13">
        <f t="shared" si="22"/>
        <v>44055</v>
      </c>
      <c r="AD147" s="13">
        <f t="shared" si="23"/>
        <v>44078</v>
      </c>
      <c r="AE147" s="8">
        <v>0</v>
      </c>
      <c r="AF147" s="8"/>
      <c r="AG147" s="8"/>
    </row>
    <row r="148" spans="1:33" x14ac:dyDescent="0.2">
      <c r="A148" s="8">
        <v>2501</v>
      </c>
      <c r="B148" s="9">
        <v>44073</v>
      </c>
      <c r="C148" s="8">
        <v>30012762</v>
      </c>
      <c r="D148" s="8" t="s">
        <v>28</v>
      </c>
      <c r="E148" s="8" t="s">
        <v>29</v>
      </c>
      <c r="F148" s="8" t="s">
        <v>41</v>
      </c>
      <c r="G148" s="8">
        <v>15018335</v>
      </c>
      <c r="H148" s="8">
        <v>802094900</v>
      </c>
      <c r="I148" s="8" t="s">
        <v>112</v>
      </c>
      <c r="J148" s="8" t="s">
        <v>32</v>
      </c>
      <c r="K148" s="8" t="s">
        <v>1051</v>
      </c>
      <c r="L148" s="8" t="s">
        <v>113</v>
      </c>
      <c r="M148" s="9">
        <v>44055</v>
      </c>
      <c r="N148" s="9">
        <v>44078</v>
      </c>
      <c r="O148" s="8">
        <v>500</v>
      </c>
      <c r="P148" s="8" t="s">
        <v>114</v>
      </c>
      <c r="Q148" s="8" t="s">
        <v>115</v>
      </c>
      <c r="R148" s="8" t="s">
        <v>116</v>
      </c>
      <c r="S148" s="8">
        <v>0</v>
      </c>
      <c r="T148" s="8" t="s">
        <v>117</v>
      </c>
      <c r="U148" s="8" t="s">
        <v>290</v>
      </c>
      <c r="V148" s="8" t="s">
        <v>118</v>
      </c>
      <c r="W148" s="8"/>
      <c r="X148" s="8"/>
      <c r="Y148" s="8">
        <v>493</v>
      </c>
      <c r="Z148" s="8"/>
      <c r="AA148" s="8" t="s">
        <v>39</v>
      </c>
      <c r="AB148" s="8">
        <v>32</v>
      </c>
      <c r="AC148" s="13">
        <f t="shared" si="22"/>
        <v>44055</v>
      </c>
      <c r="AD148" s="13">
        <f t="shared" si="23"/>
        <v>44078</v>
      </c>
      <c r="AE148" s="8">
        <v>0</v>
      </c>
      <c r="AF148" s="8"/>
      <c r="AG148" s="8"/>
    </row>
    <row r="149" spans="1:33" x14ac:dyDescent="0.2">
      <c r="A149" s="8">
        <v>2501</v>
      </c>
      <c r="B149" s="9">
        <v>44048</v>
      </c>
      <c r="C149" s="8">
        <v>30012762</v>
      </c>
      <c r="D149" s="8" t="s">
        <v>62</v>
      </c>
      <c r="E149" s="8" t="s">
        <v>119</v>
      </c>
      <c r="F149" s="8" t="s">
        <v>120</v>
      </c>
      <c r="G149" s="8">
        <v>15018370</v>
      </c>
      <c r="H149" s="8">
        <v>802095013</v>
      </c>
      <c r="I149" s="8" t="s">
        <v>121</v>
      </c>
      <c r="J149" s="8" t="s">
        <v>58</v>
      </c>
      <c r="K149" s="8" t="s">
        <v>1051</v>
      </c>
      <c r="L149" s="8" t="s">
        <v>113</v>
      </c>
      <c r="M149" s="9">
        <v>44055</v>
      </c>
      <c r="N149" s="9">
        <v>44078</v>
      </c>
      <c r="O149" s="8">
        <v>200</v>
      </c>
      <c r="P149" s="8" t="s">
        <v>114</v>
      </c>
      <c r="Q149" s="8" t="s">
        <v>115</v>
      </c>
      <c r="R149" s="8" t="s">
        <v>122</v>
      </c>
      <c r="S149" s="8">
        <v>0</v>
      </c>
      <c r="T149" s="8" t="s">
        <v>117</v>
      </c>
      <c r="U149" s="8" t="s">
        <v>290</v>
      </c>
      <c r="V149" s="8" t="s">
        <v>118</v>
      </c>
      <c r="W149" s="8"/>
      <c r="X149" s="8"/>
      <c r="Y149" s="8">
        <v>84</v>
      </c>
      <c r="Z149" s="8"/>
      <c r="AA149" s="8" t="s">
        <v>39</v>
      </c>
      <c r="AB149" s="8">
        <v>32</v>
      </c>
      <c r="AC149" s="13">
        <f t="shared" si="22"/>
        <v>44055</v>
      </c>
      <c r="AD149" s="13">
        <f t="shared" si="23"/>
        <v>44078</v>
      </c>
      <c r="AE149" s="8">
        <v>0</v>
      </c>
      <c r="AF149" s="8"/>
      <c r="AG149" s="8"/>
    </row>
    <row r="150" spans="1:33" x14ac:dyDescent="0.2">
      <c r="A150" s="8">
        <v>2501</v>
      </c>
      <c r="B150" s="9">
        <v>44073</v>
      </c>
      <c r="C150" s="8">
        <v>30012762</v>
      </c>
      <c r="D150" s="8" t="s">
        <v>28</v>
      </c>
      <c r="E150" s="8" t="s">
        <v>129</v>
      </c>
      <c r="F150" s="8" t="s">
        <v>346</v>
      </c>
      <c r="G150" s="8">
        <v>15018406</v>
      </c>
      <c r="H150" s="8">
        <v>802095023</v>
      </c>
      <c r="I150" s="8" t="s">
        <v>112</v>
      </c>
      <c r="J150" s="8" t="s">
        <v>32</v>
      </c>
      <c r="K150" s="8" t="s">
        <v>1051</v>
      </c>
      <c r="L150" s="8" t="s">
        <v>113</v>
      </c>
      <c r="M150" s="9">
        <v>44055</v>
      </c>
      <c r="N150" s="9">
        <v>44086</v>
      </c>
      <c r="O150" s="8">
        <v>500</v>
      </c>
      <c r="P150" s="8" t="s">
        <v>114</v>
      </c>
      <c r="Q150" s="8" t="s">
        <v>85</v>
      </c>
      <c r="R150" s="8" t="s">
        <v>86</v>
      </c>
      <c r="S150" s="8">
        <v>0</v>
      </c>
      <c r="T150" s="8" t="s">
        <v>117</v>
      </c>
      <c r="U150" s="8" t="s">
        <v>290</v>
      </c>
      <c r="V150" s="8" t="s">
        <v>118</v>
      </c>
      <c r="W150" s="8"/>
      <c r="X150" s="8"/>
      <c r="Y150" s="8">
        <v>493</v>
      </c>
      <c r="Z150" s="8"/>
      <c r="AA150" s="8" t="s">
        <v>39</v>
      </c>
      <c r="AB150" s="8">
        <v>32</v>
      </c>
      <c r="AC150" s="13">
        <f t="shared" si="22"/>
        <v>44055</v>
      </c>
      <c r="AD150" s="13">
        <f t="shared" si="23"/>
        <v>44086</v>
      </c>
      <c r="AE150" s="8">
        <v>0</v>
      </c>
      <c r="AF150" s="8"/>
      <c r="AG150" s="8"/>
    </row>
    <row r="151" spans="1:33" x14ac:dyDescent="0.2">
      <c r="A151" s="8">
        <v>2501</v>
      </c>
      <c r="B151" s="9">
        <v>44073</v>
      </c>
      <c r="C151" s="8">
        <v>30012762</v>
      </c>
      <c r="D151" s="8" t="s">
        <v>28</v>
      </c>
      <c r="E151" s="8" t="s">
        <v>129</v>
      </c>
      <c r="F151" s="8" t="s">
        <v>130</v>
      </c>
      <c r="G151" s="8">
        <v>15018422</v>
      </c>
      <c r="H151" s="8">
        <v>802095059</v>
      </c>
      <c r="I151" s="8" t="s">
        <v>112</v>
      </c>
      <c r="J151" s="8" t="s">
        <v>32</v>
      </c>
      <c r="K151" s="8" t="s">
        <v>1051</v>
      </c>
      <c r="L151" s="8" t="s">
        <v>113</v>
      </c>
      <c r="M151" s="9">
        <v>44055</v>
      </c>
      <c r="N151" s="9">
        <v>44089</v>
      </c>
      <c r="O151" s="8">
        <v>500</v>
      </c>
      <c r="P151" s="8" t="s">
        <v>114</v>
      </c>
      <c r="Q151" s="8" t="s">
        <v>131</v>
      </c>
      <c r="R151" s="8" t="s">
        <v>132</v>
      </c>
      <c r="S151" s="8">
        <v>0</v>
      </c>
      <c r="T151" s="8" t="s">
        <v>117</v>
      </c>
      <c r="U151" s="8" t="s">
        <v>290</v>
      </c>
      <c r="V151" s="8" t="s">
        <v>118</v>
      </c>
      <c r="W151" s="8"/>
      <c r="X151" s="8"/>
      <c r="Y151" s="8">
        <v>493</v>
      </c>
      <c r="Z151" s="8"/>
      <c r="AA151" s="8" t="s">
        <v>39</v>
      </c>
      <c r="AB151" s="8">
        <v>32</v>
      </c>
      <c r="AC151" s="13">
        <f t="shared" si="22"/>
        <v>44055</v>
      </c>
      <c r="AD151" s="13">
        <f t="shared" si="23"/>
        <v>44089</v>
      </c>
      <c r="AE151" s="8">
        <v>0</v>
      </c>
      <c r="AF151" s="8"/>
      <c r="AG151" s="8"/>
    </row>
    <row r="152" spans="1:33" hidden="1" x14ac:dyDescent="0.2">
      <c r="A152" s="8">
        <v>2503</v>
      </c>
      <c r="B152" s="9">
        <v>44058</v>
      </c>
      <c r="C152" s="8">
        <v>30012757</v>
      </c>
      <c r="D152" s="8" t="s">
        <v>91</v>
      </c>
      <c r="E152" s="8" t="s">
        <v>217</v>
      </c>
      <c r="F152" s="8" t="s">
        <v>218</v>
      </c>
      <c r="G152" s="8">
        <v>15018174</v>
      </c>
      <c r="H152" s="8">
        <v>802094771</v>
      </c>
      <c r="I152" s="8" t="s">
        <v>302</v>
      </c>
      <c r="J152" s="8" t="s">
        <v>47</v>
      </c>
      <c r="K152" s="8" t="s">
        <v>1300</v>
      </c>
      <c r="L152" s="8" t="s">
        <v>113</v>
      </c>
      <c r="M152" s="9">
        <v>44063</v>
      </c>
      <c r="N152" s="9">
        <v>44101</v>
      </c>
      <c r="O152" s="8">
        <v>396.197</v>
      </c>
      <c r="P152" s="8" t="s">
        <v>303</v>
      </c>
      <c r="Q152" s="8" t="s">
        <v>206</v>
      </c>
      <c r="R152" s="8" t="s">
        <v>268</v>
      </c>
      <c r="S152" s="8">
        <v>0</v>
      </c>
      <c r="T152" s="8" t="s">
        <v>117</v>
      </c>
      <c r="U152" s="8" t="s">
        <v>304</v>
      </c>
      <c r="V152" s="8" t="s">
        <v>118</v>
      </c>
      <c r="W152" s="8"/>
      <c r="X152" s="8"/>
      <c r="Y152" s="8">
        <v>54</v>
      </c>
      <c r="Z152" s="8"/>
      <c r="AA152" s="8" t="s">
        <v>39</v>
      </c>
      <c r="AB152" s="8">
        <v>32</v>
      </c>
      <c r="AC152" s="13">
        <f t="shared" ref="AC152:AC191" si="24">M152</f>
        <v>44063</v>
      </c>
      <c r="AD152" s="13">
        <f t="shared" ref="AD152:AD203" si="25">N152</f>
        <v>44101</v>
      </c>
      <c r="AE152" s="8">
        <v>0</v>
      </c>
      <c r="AF152" s="8">
        <v>0</v>
      </c>
      <c r="AG152" s="8"/>
    </row>
    <row r="153" spans="1:33" hidden="1" x14ac:dyDescent="0.2">
      <c r="A153" s="8">
        <v>2503</v>
      </c>
      <c r="B153" s="9">
        <v>44058</v>
      </c>
      <c r="C153" s="8">
        <v>30012757</v>
      </c>
      <c r="D153" s="8" t="s">
        <v>91</v>
      </c>
      <c r="E153" s="8" t="s">
        <v>217</v>
      </c>
      <c r="F153" s="8" t="s">
        <v>218</v>
      </c>
      <c r="G153" s="8">
        <v>15018175</v>
      </c>
      <c r="H153" s="8">
        <v>802094772</v>
      </c>
      <c r="I153" s="8" t="s">
        <v>305</v>
      </c>
      <c r="J153" s="8" t="s">
        <v>47</v>
      </c>
      <c r="K153" s="8" t="s">
        <v>1300</v>
      </c>
      <c r="L153" s="8" t="s">
        <v>113</v>
      </c>
      <c r="M153" s="9">
        <v>44063</v>
      </c>
      <c r="N153" s="9">
        <v>44101</v>
      </c>
      <c r="O153" s="8">
        <v>202.946</v>
      </c>
      <c r="P153" s="8" t="s">
        <v>303</v>
      </c>
      <c r="Q153" s="8" t="s">
        <v>206</v>
      </c>
      <c r="R153" s="8" t="s">
        <v>268</v>
      </c>
      <c r="S153" s="8">
        <v>0</v>
      </c>
      <c r="T153" s="8" t="s">
        <v>117</v>
      </c>
      <c r="U153" s="8" t="s">
        <v>304</v>
      </c>
      <c r="V153" s="8" t="s">
        <v>118</v>
      </c>
      <c r="W153" s="8"/>
      <c r="X153" s="8"/>
      <c r="Y153" s="8">
        <v>21</v>
      </c>
      <c r="Z153" s="8"/>
      <c r="AA153" s="8" t="s">
        <v>39</v>
      </c>
      <c r="AB153" s="8">
        <v>32</v>
      </c>
      <c r="AC153" s="13">
        <f t="shared" si="24"/>
        <v>44063</v>
      </c>
      <c r="AD153" s="13">
        <f t="shared" si="25"/>
        <v>44101</v>
      </c>
      <c r="AE153" s="8">
        <v>0</v>
      </c>
      <c r="AF153" s="8">
        <v>0</v>
      </c>
      <c r="AG153" s="8"/>
    </row>
    <row r="154" spans="1:33" hidden="1" x14ac:dyDescent="0.2">
      <c r="A154" s="8">
        <v>2503</v>
      </c>
      <c r="B154" s="9">
        <v>44058</v>
      </c>
      <c r="C154" s="8">
        <v>30012757</v>
      </c>
      <c r="D154" s="8" t="s">
        <v>91</v>
      </c>
      <c r="E154" s="8" t="s">
        <v>217</v>
      </c>
      <c r="F154" s="8" t="s">
        <v>218</v>
      </c>
      <c r="G154" s="8">
        <v>15018177</v>
      </c>
      <c r="H154" s="8">
        <v>802094773</v>
      </c>
      <c r="I154" s="8" t="s">
        <v>306</v>
      </c>
      <c r="J154" s="8" t="s">
        <v>47</v>
      </c>
      <c r="K154" s="8" t="s">
        <v>1300</v>
      </c>
      <c r="L154" s="8" t="s">
        <v>113</v>
      </c>
      <c r="M154" s="9">
        <v>44063</v>
      </c>
      <c r="N154" s="9">
        <v>44101</v>
      </c>
      <c r="O154" s="8">
        <v>97.042000000000002</v>
      </c>
      <c r="P154" s="8" t="s">
        <v>303</v>
      </c>
      <c r="Q154" s="8" t="s">
        <v>206</v>
      </c>
      <c r="R154" s="8" t="s">
        <v>268</v>
      </c>
      <c r="S154" s="8">
        <v>0</v>
      </c>
      <c r="T154" s="8" t="s">
        <v>117</v>
      </c>
      <c r="U154" s="8" t="s">
        <v>304</v>
      </c>
      <c r="V154" s="8" t="s">
        <v>118</v>
      </c>
      <c r="W154" s="8"/>
      <c r="X154" s="8"/>
      <c r="Y154" s="8">
        <v>12</v>
      </c>
      <c r="Z154" s="8"/>
      <c r="AA154" s="8" t="s">
        <v>39</v>
      </c>
      <c r="AB154" s="8">
        <v>32</v>
      </c>
      <c r="AC154" s="13">
        <f t="shared" si="24"/>
        <v>44063</v>
      </c>
      <c r="AD154" s="13">
        <f t="shared" si="25"/>
        <v>44101</v>
      </c>
      <c r="AE154" s="8">
        <v>0</v>
      </c>
      <c r="AF154" s="8">
        <v>0</v>
      </c>
      <c r="AG154" s="8"/>
    </row>
    <row r="155" spans="1:33" hidden="1" x14ac:dyDescent="0.2">
      <c r="A155" s="8">
        <v>2503</v>
      </c>
      <c r="B155" s="9">
        <v>44058</v>
      </c>
      <c r="C155" s="8">
        <v>30012757</v>
      </c>
      <c r="D155" s="8" t="s">
        <v>62</v>
      </c>
      <c r="E155" s="8" t="s">
        <v>307</v>
      </c>
      <c r="F155" s="8" t="s">
        <v>308</v>
      </c>
      <c r="G155" s="8">
        <v>15018240</v>
      </c>
      <c r="H155" s="8">
        <v>802094781</v>
      </c>
      <c r="I155" s="8" t="s">
        <v>309</v>
      </c>
      <c r="J155" s="8" t="s">
        <v>223</v>
      </c>
      <c r="K155" s="8" t="s">
        <v>1300</v>
      </c>
      <c r="L155" s="8" t="s">
        <v>113</v>
      </c>
      <c r="M155" s="9">
        <v>44063</v>
      </c>
      <c r="N155" s="9">
        <v>44108</v>
      </c>
      <c r="O155" s="8">
        <v>123.893</v>
      </c>
      <c r="P155" s="8" t="s">
        <v>303</v>
      </c>
      <c r="Q155" s="8" t="s">
        <v>115</v>
      </c>
      <c r="R155" s="8" t="s">
        <v>116</v>
      </c>
      <c r="S155" s="8">
        <v>0</v>
      </c>
      <c r="T155" s="8" t="s">
        <v>117</v>
      </c>
      <c r="U155" s="8" t="s">
        <v>304</v>
      </c>
      <c r="V155" s="8" t="s">
        <v>118</v>
      </c>
      <c r="W155" s="8"/>
      <c r="X155" s="8"/>
      <c r="Y155" s="8">
        <v>120</v>
      </c>
      <c r="Z155" s="8"/>
      <c r="AA155" s="8" t="s">
        <v>39</v>
      </c>
      <c r="AB155" s="8">
        <v>32</v>
      </c>
      <c r="AC155" s="13">
        <f t="shared" si="24"/>
        <v>44063</v>
      </c>
      <c r="AD155" s="13">
        <f t="shared" si="25"/>
        <v>44108</v>
      </c>
      <c r="AE155" s="8">
        <v>0</v>
      </c>
      <c r="AF155" s="8">
        <v>0</v>
      </c>
      <c r="AG155" s="8"/>
    </row>
    <row r="156" spans="1:33" hidden="1" x14ac:dyDescent="0.2">
      <c r="A156" s="8">
        <v>2503</v>
      </c>
      <c r="B156" s="9">
        <v>44073</v>
      </c>
      <c r="C156" s="8">
        <v>30012757</v>
      </c>
      <c r="D156" s="8" t="s">
        <v>28</v>
      </c>
      <c r="E156" s="8" t="s">
        <v>162</v>
      </c>
      <c r="F156" s="8" t="s">
        <v>163</v>
      </c>
      <c r="G156" s="8">
        <v>15018252</v>
      </c>
      <c r="H156" s="8">
        <v>802094784</v>
      </c>
      <c r="I156" s="8" t="s">
        <v>112</v>
      </c>
      <c r="J156" s="8" t="s">
        <v>32</v>
      </c>
      <c r="K156" s="8" t="s">
        <v>1300</v>
      </c>
      <c r="L156" s="8" t="s">
        <v>113</v>
      </c>
      <c r="M156" s="9">
        <v>44063</v>
      </c>
      <c r="N156" s="9">
        <v>44108</v>
      </c>
      <c r="O156" s="8">
        <v>494.78</v>
      </c>
      <c r="P156" s="8" t="s">
        <v>303</v>
      </c>
      <c r="Q156" s="8" t="s">
        <v>115</v>
      </c>
      <c r="R156" s="8" t="s">
        <v>116</v>
      </c>
      <c r="S156" s="8">
        <v>0</v>
      </c>
      <c r="T156" s="8" t="s">
        <v>117</v>
      </c>
      <c r="U156" s="8" t="s">
        <v>304</v>
      </c>
      <c r="V156" s="8" t="s">
        <v>118</v>
      </c>
      <c r="W156" s="8"/>
      <c r="X156" s="8"/>
      <c r="Y156" s="8">
        <v>480</v>
      </c>
      <c r="Z156" s="8"/>
      <c r="AA156" s="8" t="s">
        <v>39</v>
      </c>
      <c r="AB156" s="8">
        <v>32</v>
      </c>
      <c r="AC156" s="13">
        <f t="shared" si="24"/>
        <v>44063</v>
      </c>
      <c r="AD156" s="13">
        <f t="shared" si="25"/>
        <v>44108</v>
      </c>
      <c r="AE156" s="8">
        <v>0</v>
      </c>
      <c r="AF156" s="8">
        <v>0</v>
      </c>
      <c r="AG156" s="8"/>
    </row>
    <row r="157" spans="1:33" hidden="1" x14ac:dyDescent="0.2">
      <c r="A157" s="8">
        <v>2503</v>
      </c>
      <c r="B157" s="9">
        <v>44073</v>
      </c>
      <c r="C157" s="8">
        <v>30012757</v>
      </c>
      <c r="D157" s="8" t="s">
        <v>28</v>
      </c>
      <c r="E157" s="8" t="s">
        <v>162</v>
      </c>
      <c r="F157" s="8" t="s">
        <v>163</v>
      </c>
      <c r="G157" s="8">
        <v>15018253</v>
      </c>
      <c r="H157" s="8">
        <v>802094785</v>
      </c>
      <c r="I157" s="8" t="s">
        <v>112</v>
      </c>
      <c r="J157" s="8" t="s">
        <v>32</v>
      </c>
      <c r="K157" s="8" t="s">
        <v>1300</v>
      </c>
      <c r="L157" s="8" t="s">
        <v>113</v>
      </c>
      <c r="M157" s="9">
        <v>44063</v>
      </c>
      <c r="N157" s="9">
        <v>44108</v>
      </c>
      <c r="O157" s="8">
        <v>494.77</v>
      </c>
      <c r="P157" s="8" t="s">
        <v>303</v>
      </c>
      <c r="Q157" s="8" t="s">
        <v>115</v>
      </c>
      <c r="R157" s="8" t="s">
        <v>116</v>
      </c>
      <c r="S157" s="8">
        <v>0</v>
      </c>
      <c r="T157" s="8" t="s">
        <v>117</v>
      </c>
      <c r="U157" s="8" t="s">
        <v>304</v>
      </c>
      <c r="V157" s="8" t="s">
        <v>118</v>
      </c>
      <c r="W157" s="8"/>
      <c r="X157" s="8"/>
      <c r="Y157" s="8">
        <v>480</v>
      </c>
      <c r="Z157" s="8"/>
      <c r="AA157" s="8" t="s">
        <v>39</v>
      </c>
      <c r="AB157" s="8">
        <v>32</v>
      </c>
      <c r="AC157" s="13">
        <f t="shared" si="24"/>
        <v>44063</v>
      </c>
      <c r="AD157" s="13">
        <f t="shared" si="25"/>
        <v>44108</v>
      </c>
      <c r="AE157" s="8">
        <v>0</v>
      </c>
      <c r="AF157" s="8">
        <v>0</v>
      </c>
      <c r="AG157" s="8"/>
    </row>
    <row r="158" spans="1:33" hidden="1" x14ac:dyDescent="0.2">
      <c r="A158" s="8">
        <v>2503</v>
      </c>
      <c r="B158" s="9">
        <v>44073</v>
      </c>
      <c r="C158" s="8">
        <v>30012757</v>
      </c>
      <c r="D158" s="8" t="s">
        <v>28</v>
      </c>
      <c r="E158" s="8" t="s">
        <v>162</v>
      </c>
      <c r="F158" s="8" t="s">
        <v>163</v>
      </c>
      <c r="G158" s="8">
        <v>15018254</v>
      </c>
      <c r="H158" s="8">
        <v>802094786</v>
      </c>
      <c r="I158" s="8" t="s">
        <v>112</v>
      </c>
      <c r="J158" s="8" t="s">
        <v>32</v>
      </c>
      <c r="K158" s="8" t="s">
        <v>1300</v>
      </c>
      <c r="L158" s="8" t="s">
        <v>113</v>
      </c>
      <c r="M158" s="9">
        <v>44063</v>
      </c>
      <c r="N158" s="9">
        <v>44108</v>
      </c>
      <c r="O158" s="8">
        <v>500</v>
      </c>
      <c r="P158" s="8" t="s">
        <v>303</v>
      </c>
      <c r="Q158" s="8" t="s">
        <v>115</v>
      </c>
      <c r="R158" s="8" t="s">
        <v>116</v>
      </c>
      <c r="S158" s="8">
        <v>0</v>
      </c>
      <c r="T158" s="8" t="s">
        <v>117</v>
      </c>
      <c r="U158" s="8" t="s">
        <v>290</v>
      </c>
      <c r="V158" s="8" t="s">
        <v>118</v>
      </c>
      <c r="W158" s="8"/>
      <c r="X158" s="8"/>
      <c r="Y158" s="8">
        <v>491</v>
      </c>
      <c r="Z158" s="8"/>
      <c r="AA158" s="8" t="s">
        <v>39</v>
      </c>
      <c r="AB158" s="8">
        <v>32</v>
      </c>
      <c r="AC158" s="13">
        <f t="shared" si="24"/>
        <v>44063</v>
      </c>
      <c r="AD158" s="13">
        <f t="shared" si="25"/>
        <v>44108</v>
      </c>
      <c r="AE158" s="8">
        <v>0</v>
      </c>
      <c r="AF158" s="8">
        <v>0</v>
      </c>
      <c r="AG158" s="8"/>
    </row>
    <row r="159" spans="1:33" hidden="1" x14ac:dyDescent="0.2">
      <c r="A159" s="8">
        <v>2503</v>
      </c>
      <c r="B159" s="9">
        <v>44073</v>
      </c>
      <c r="C159" s="8">
        <v>30012757</v>
      </c>
      <c r="D159" s="8" t="s">
        <v>28</v>
      </c>
      <c r="E159" s="8" t="s">
        <v>162</v>
      </c>
      <c r="F159" s="8" t="s">
        <v>163</v>
      </c>
      <c r="G159" s="8">
        <v>15018255</v>
      </c>
      <c r="H159" s="8">
        <v>802094787</v>
      </c>
      <c r="I159" s="8" t="s">
        <v>112</v>
      </c>
      <c r="J159" s="8" t="s">
        <v>32</v>
      </c>
      <c r="K159" s="8" t="s">
        <v>1300</v>
      </c>
      <c r="L159" s="8" t="s">
        <v>113</v>
      </c>
      <c r="M159" s="9">
        <v>44063</v>
      </c>
      <c r="N159" s="9">
        <v>44108</v>
      </c>
      <c r="O159" s="8">
        <v>500</v>
      </c>
      <c r="P159" s="8" t="s">
        <v>303</v>
      </c>
      <c r="Q159" s="8" t="s">
        <v>115</v>
      </c>
      <c r="R159" s="8" t="s">
        <v>116</v>
      </c>
      <c r="S159" s="8">
        <v>0</v>
      </c>
      <c r="T159" s="8" t="s">
        <v>117</v>
      </c>
      <c r="U159" s="8" t="s">
        <v>290</v>
      </c>
      <c r="V159" s="8" t="s">
        <v>118</v>
      </c>
      <c r="W159" s="8"/>
      <c r="X159" s="8"/>
      <c r="Y159" s="8">
        <v>491</v>
      </c>
      <c r="Z159" s="8"/>
      <c r="AA159" s="8" t="s">
        <v>39</v>
      </c>
      <c r="AB159" s="8">
        <v>32</v>
      </c>
      <c r="AC159" s="13">
        <f t="shared" si="24"/>
        <v>44063</v>
      </c>
      <c r="AD159" s="13">
        <f t="shared" si="25"/>
        <v>44108</v>
      </c>
      <c r="AE159" s="8">
        <v>0</v>
      </c>
      <c r="AF159" s="8">
        <v>0</v>
      </c>
      <c r="AG159" s="8"/>
    </row>
    <row r="160" spans="1:33" hidden="1" x14ac:dyDescent="0.2">
      <c r="A160" s="8">
        <v>2503</v>
      </c>
      <c r="B160" s="9">
        <v>44073</v>
      </c>
      <c r="C160" s="8">
        <v>30012757</v>
      </c>
      <c r="D160" s="8" t="s">
        <v>28</v>
      </c>
      <c r="E160" s="8" t="s">
        <v>162</v>
      </c>
      <c r="F160" s="8" t="s">
        <v>163</v>
      </c>
      <c r="G160" s="8">
        <v>15018256</v>
      </c>
      <c r="H160" s="8">
        <v>802094788</v>
      </c>
      <c r="I160" s="8" t="s">
        <v>112</v>
      </c>
      <c r="J160" s="8" t="s">
        <v>32</v>
      </c>
      <c r="K160" s="8" t="s">
        <v>1300</v>
      </c>
      <c r="L160" s="8" t="s">
        <v>113</v>
      </c>
      <c r="M160" s="9">
        <v>44063</v>
      </c>
      <c r="N160" s="9">
        <v>44108</v>
      </c>
      <c r="O160" s="8">
        <v>500</v>
      </c>
      <c r="P160" s="8" t="s">
        <v>303</v>
      </c>
      <c r="Q160" s="8" t="s">
        <v>115</v>
      </c>
      <c r="R160" s="8" t="s">
        <v>116</v>
      </c>
      <c r="S160" s="8">
        <v>0</v>
      </c>
      <c r="T160" s="8" t="s">
        <v>117</v>
      </c>
      <c r="U160" s="8" t="s">
        <v>290</v>
      </c>
      <c r="V160" s="8" t="s">
        <v>118</v>
      </c>
      <c r="W160" s="8"/>
      <c r="X160" s="8"/>
      <c r="Y160" s="8">
        <v>491</v>
      </c>
      <c r="Z160" s="8"/>
      <c r="AA160" s="8" t="s">
        <v>39</v>
      </c>
      <c r="AB160" s="8">
        <v>32</v>
      </c>
      <c r="AC160" s="13">
        <f t="shared" si="24"/>
        <v>44063</v>
      </c>
      <c r="AD160" s="13">
        <f t="shared" si="25"/>
        <v>44108</v>
      </c>
      <c r="AE160" s="8">
        <v>0</v>
      </c>
      <c r="AF160" s="8">
        <v>0</v>
      </c>
      <c r="AG160" s="8"/>
    </row>
    <row r="161" spans="1:33" hidden="1" x14ac:dyDescent="0.2">
      <c r="A161" s="8">
        <v>2503</v>
      </c>
      <c r="B161" s="9">
        <v>44048</v>
      </c>
      <c r="C161" s="8">
        <v>30012757</v>
      </c>
      <c r="D161" s="8" t="s">
        <v>152</v>
      </c>
      <c r="E161" s="8" t="s">
        <v>127</v>
      </c>
      <c r="F161" s="8" t="s">
        <v>314</v>
      </c>
      <c r="G161" s="8">
        <v>15018268</v>
      </c>
      <c r="H161" s="8">
        <v>802094789</v>
      </c>
      <c r="I161" s="8" t="s">
        <v>315</v>
      </c>
      <c r="J161" s="8" t="s">
        <v>58</v>
      </c>
      <c r="K161" s="8" t="s">
        <v>1300</v>
      </c>
      <c r="L161" s="8" t="s">
        <v>113</v>
      </c>
      <c r="M161" s="9">
        <v>44063</v>
      </c>
      <c r="N161" s="9">
        <v>44090</v>
      </c>
      <c r="O161" s="8">
        <v>100</v>
      </c>
      <c r="P161" s="8" t="s">
        <v>303</v>
      </c>
      <c r="Q161" s="8" t="s">
        <v>85</v>
      </c>
      <c r="R161" s="8" t="s">
        <v>86</v>
      </c>
      <c r="S161" s="8">
        <v>0</v>
      </c>
      <c r="T161" s="8" t="s">
        <v>117</v>
      </c>
      <c r="U161" s="8" t="s">
        <v>290</v>
      </c>
      <c r="V161" s="8" t="s">
        <v>118</v>
      </c>
      <c r="W161" s="8"/>
      <c r="X161" s="8"/>
      <c r="Y161" s="8">
        <v>47</v>
      </c>
      <c r="Z161" s="8"/>
      <c r="AA161" s="8" t="s">
        <v>39</v>
      </c>
      <c r="AB161" s="8">
        <v>32</v>
      </c>
      <c r="AC161" s="13">
        <f t="shared" si="24"/>
        <v>44063</v>
      </c>
      <c r="AD161" s="13">
        <f t="shared" si="25"/>
        <v>44090</v>
      </c>
      <c r="AE161" s="8">
        <v>0</v>
      </c>
      <c r="AF161" s="8">
        <v>0</v>
      </c>
      <c r="AG161" s="8"/>
    </row>
    <row r="162" spans="1:33" hidden="1" x14ac:dyDescent="0.2">
      <c r="A162" s="8">
        <v>2503</v>
      </c>
      <c r="B162" s="9">
        <v>44048</v>
      </c>
      <c r="C162" s="8">
        <v>30012757</v>
      </c>
      <c r="D162" s="8" t="s">
        <v>152</v>
      </c>
      <c r="E162" s="8" t="s">
        <v>316</v>
      </c>
      <c r="F162" s="8" t="s">
        <v>314</v>
      </c>
      <c r="G162" s="8">
        <v>15018269</v>
      </c>
      <c r="H162" s="8">
        <v>802094790</v>
      </c>
      <c r="I162" s="8" t="s">
        <v>315</v>
      </c>
      <c r="J162" s="8" t="s">
        <v>58</v>
      </c>
      <c r="K162" s="8" t="s">
        <v>1300</v>
      </c>
      <c r="L162" s="8" t="s">
        <v>113</v>
      </c>
      <c r="M162" s="9">
        <v>44063</v>
      </c>
      <c r="N162" s="9">
        <v>44090</v>
      </c>
      <c r="O162" s="8">
        <v>100</v>
      </c>
      <c r="P162" s="8" t="s">
        <v>303</v>
      </c>
      <c r="Q162" s="8" t="s">
        <v>85</v>
      </c>
      <c r="R162" s="8" t="s">
        <v>86</v>
      </c>
      <c r="S162" s="8">
        <v>0</v>
      </c>
      <c r="T162" s="8" t="s">
        <v>117</v>
      </c>
      <c r="U162" s="8" t="s">
        <v>290</v>
      </c>
      <c r="V162" s="8" t="s">
        <v>118</v>
      </c>
      <c r="W162" s="8"/>
      <c r="X162" s="8"/>
      <c r="Y162" s="8">
        <v>47</v>
      </c>
      <c r="Z162" s="8"/>
      <c r="AA162" s="8" t="s">
        <v>39</v>
      </c>
      <c r="AB162" s="8">
        <v>32</v>
      </c>
      <c r="AC162" s="13">
        <f t="shared" si="24"/>
        <v>44063</v>
      </c>
      <c r="AD162" s="13">
        <f t="shared" si="25"/>
        <v>44090</v>
      </c>
      <c r="AE162" s="8">
        <v>0</v>
      </c>
      <c r="AF162" s="8">
        <v>0</v>
      </c>
      <c r="AG162" s="8"/>
    </row>
    <row r="163" spans="1:33" hidden="1" x14ac:dyDescent="0.2">
      <c r="A163" s="8">
        <v>2503</v>
      </c>
      <c r="B163" s="9">
        <v>44048</v>
      </c>
      <c r="C163" s="8">
        <v>30012757</v>
      </c>
      <c r="D163" s="8" t="s">
        <v>102</v>
      </c>
      <c r="E163" s="8" t="s">
        <v>316</v>
      </c>
      <c r="F163" s="8" t="s">
        <v>317</v>
      </c>
      <c r="G163" s="8">
        <v>15018301</v>
      </c>
      <c r="H163" s="8">
        <v>802094861</v>
      </c>
      <c r="I163" s="8" t="s">
        <v>318</v>
      </c>
      <c r="J163" s="8" t="s">
        <v>58</v>
      </c>
      <c r="K163" s="8" t="s">
        <v>1300</v>
      </c>
      <c r="L163" s="8" t="s">
        <v>113</v>
      </c>
      <c r="M163" s="9">
        <v>44063</v>
      </c>
      <c r="N163" s="9">
        <v>44090</v>
      </c>
      <c r="O163" s="8">
        <v>25</v>
      </c>
      <c r="P163" s="8" t="s">
        <v>303</v>
      </c>
      <c r="Q163" s="8" t="s">
        <v>85</v>
      </c>
      <c r="R163" s="8" t="s">
        <v>319</v>
      </c>
      <c r="S163" s="8">
        <v>0</v>
      </c>
      <c r="T163" s="8" t="s">
        <v>117</v>
      </c>
      <c r="U163" s="8" t="s">
        <v>290</v>
      </c>
      <c r="V163" s="8" t="s">
        <v>118</v>
      </c>
      <c r="W163" s="8"/>
      <c r="X163" s="8"/>
      <c r="Y163" s="8">
        <v>10</v>
      </c>
      <c r="Z163" s="8"/>
      <c r="AA163" s="8" t="s">
        <v>109</v>
      </c>
      <c r="AB163" s="8">
        <v>32</v>
      </c>
      <c r="AC163" s="13">
        <f t="shared" si="24"/>
        <v>44063</v>
      </c>
      <c r="AD163" s="13">
        <f t="shared" si="25"/>
        <v>44090</v>
      </c>
      <c r="AE163" s="8">
        <v>0</v>
      </c>
      <c r="AF163" s="8">
        <v>0</v>
      </c>
      <c r="AG163" s="8"/>
    </row>
    <row r="164" spans="1:33" hidden="1" x14ac:dyDescent="0.2">
      <c r="A164" s="8">
        <v>2503</v>
      </c>
      <c r="B164" s="9">
        <v>44048</v>
      </c>
      <c r="C164" s="8">
        <v>30012757</v>
      </c>
      <c r="D164" s="8" t="s">
        <v>102</v>
      </c>
      <c r="E164" s="8" t="s">
        <v>316</v>
      </c>
      <c r="F164" s="8" t="s">
        <v>317</v>
      </c>
      <c r="G164" s="8">
        <v>15018302</v>
      </c>
      <c r="H164" s="8">
        <v>802094862</v>
      </c>
      <c r="I164" s="8" t="s">
        <v>320</v>
      </c>
      <c r="J164" s="8" t="s">
        <v>58</v>
      </c>
      <c r="K164" s="8" t="s">
        <v>1300</v>
      </c>
      <c r="L164" s="8" t="s">
        <v>113</v>
      </c>
      <c r="M164" s="9">
        <v>44063</v>
      </c>
      <c r="N164" s="9">
        <v>44090</v>
      </c>
      <c r="O164" s="8">
        <v>28.32</v>
      </c>
      <c r="P164" s="8" t="s">
        <v>303</v>
      </c>
      <c r="Q164" s="8" t="s">
        <v>85</v>
      </c>
      <c r="R164" s="8" t="s">
        <v>319</v>
      </c>
      <c r="S164" s="8">
        <v>0</v>
      </c>
      <c r="T164" s="8" t="s">
        <v>117</v>
      </c>
      <c r="U164" s="8" t="s">
        <v>304</v>
      </c>
      <c r="V164" s="8" t="s">
        <v>118</v>
      </c>
      <c r="W164" s="8"/>
      <c r="X164" s="8"/>
      <c r="Y164" s="8">
        <v>11</v>
      </c>
      <c r="Z164" s="8"/>
      <c r="AA164" s="8" t="s">
        <v>109</v>
      </c>
      <c r="AB164" s="8">
        <v>32</v>
      </c>
      <c r="AC164" s="13">
        <f t="shared" si="24"/>
        <v>44063</v>
      </c>
      <c r="AD164" s="13">
        <f t="shared" si="25"/>
        <v>44090</v>
      </c>
      <c r="AE164" s="8">
        <v>0</v>
      </c>
      <c r="AF164" s="8">
        <v>0</v>
      </c>
      <c r="AG164" s="8"/>
    </row>
    <row r="165" spans="1:33" hidden="1" x14ac:dyDescent="0.2">
      <c r="A165" s="8">
        <v>2503</v>
      </c>
      <c r="B165" s="9">
        <v>44048</v>
      </c>
      <c r="C165" s="8">
        <v>30012757</v>
      </c>
      <c r="D165" s="8" t="s">
        <v>102</v>
      </c>
      <c r="E165" s="8" t="s">
        <v>316</v>
      </c>
      <c r="F165" s="8" t="s">
        <v>317</v>
      </c>
      <c r="G165" s="8">
        <v>15018303</v>
      </c>
      <c r="H165" s="8">
        <v>802094863</v>
      </c>
      <c r="I165" s="8" t="s">
        <v>321</v>
      </c>
      <c r="J165" s="8" t="s">
        <v>58</v>
      </c>
      <c r="K165" s="8" t="s">
        <v>1300</v>
      </c>
      <c r="L165" s="8" t="s">
        <v>113</v>
      </c>
      <c r="M165" s="9">
        <v>44063</v>
      </c>
      <c r="N165" s="9">
        <v>44090</v>
      </c>
      <c r="O165" s="8">
        <v>79.772000000000006</v>
      </c>
      <c r="P165" s="8" t="s">
        <v>303</v>
      </c>
      <c r="Q165" s="8" t="s">
        <v>85</v>
      </c>
      <c r="R165" s="8" t="s">
        <v>319</v>
      </c>
      <c r="S165" s="8">
        <v>0</v>
      </c>
      <c r="T165" s="8" t="s">
        <v>117</v>
      </c>
      <c r="U165" s="8" t="s">
        <v>304</v>
      </c>
      <c r="V165" s="8" t="s">
        <v>118</v>
      </c>
      <c r="W165" s="8"/>
      <c r="X165" s="8"/>
      <c r="Y165" s="8">
        <v>31</v>
      </c>
      <c r="Z165" s="8"/>
      <c r="AA165" s="8" t="s">
        <v>109</v>
      </c>
      <c r="AB165" s="8">
        <v>32</v>
      </c>
      <c r="AC165" s="13">
        <f t="shared" si="24"/>
        <v>44063</v>
      </c>
      <c r="AD165" s="13">
        <f t="shared" si="25"/>
        <v>44090</v>
      </c>
      <c r="AE165" s="8">
        <v>0</v>
      </c>
      <c r="AF165" s="8">
        <v>0</v>
      </c>
      <c r="AG165" s="8"/>
    </row>
    <row r="166" spans="1:33" hidden="1" x14ac:dyDescent="0.2">
      <c r="A166" s="8">
        <v>2503</v>
      </c>
      <c r="B166" s="9">
        <v>44048</v>
      </c>
      <c r="C166" s="8">
        <v>30012757</v>
      </c>
      <c r="D166" s="8" t="s">
        <v>102</v>
      </c>
      <c r="E166" s="8" t="s">
        <v>316</v>
      </c>
      <c r="F166" s="8" t="s">
        <v>326</v>
      </c>
      <c r="G166" s="8">
        <v>15018304</v>
      </c>
      <c r="H166" s="8">
        <v>802094864</v>
      </c>
      <c r="I166" s="8" t="s">
        <v>327</v>
      </c>
      <c r="J166" s="8" t="s">
        <v>58</v>
      </c>
      <c r="K166" s="8" t="s">
        <v>1300</v>
      </c>
      <c r="L166" s="8" t="s">
        <v>113</v>
      </c>
      <c r="M166" s="9">
        <v>44063</v>
      </c>
      <c r="N166" s="9">
        <v>44087</v>
      </c>
      <c r="O166" s="8">
        <v>200</v>
      </c>
      <c r="P166" s="8" t="s">
        <v>303</v>
      </c>
      <c r="Q166" s="8" t="s">
        <v>131</v>
      </c>
      <c r="R166" s="8" t="s">
        <v>313</v>
      </c>
      <c r="S166" s="8">
        <v>0</v>
      </c>
      <c r="T166" s="8" t="s">
        <v>117</v>
      </c>
      <c r="U166" s="8" t="s">
        <v>290</v>
      </c>
      <c r="V166" s="8" t="s">
        <v>118</v>
      </c>
      <c r="W166" s="8"/>
      <c r="X166" s="8"/>
      <c r="Y166" s="8">
        <v>51</v>
      </c>
      <c r="Z166" s="8"/>
      <c r="AA166" s="8" t="s">
        <v>109</v>
      </c>
      <c r="AB166" s="8">
        <v>32</v>
      </c>
      <c r="AC166" s="13">
        <f t="shared" si="24"/>
        <v>44063</v>
      </c>
      <c r="AD166" s="13">
        <f t="shared" si="25"/>
        <v>44087</v>
      </c>
      <c r="AE166" s="8">
        <v>0</v>
      </c>
      <c r="AF166" s="8">
        <v>0</v>
      </c>
      <c r="AG166" s="8"/>
    </row>
    <row r="167" spans="1:33" hidden="1" x14ac:dyDescent="0.2">
      <c r="A167" s="8">
        <v>2503</v>
      </c>
      <c r="B167" s="9">
        <v>44048</v>
      </c>
      <c r="C167" s="8">
        <v>30012757</v>
      </c>
      <c r="D167" s="8" t="s">
        <v>102</v>
      </c>
      <c r="E167" s="8" t="s">
        <v>316</v>
      </c>
      <c r="F167" s="8" t="s">
        <v>326</v>
      </c>
      <c r="G167" s="8">
        <v>15018305</v>
      </c>
      <c r="H167" s="8">
        <v>802094865</v>
      </c>
      <c r="I167" s="8" t="s">
        <v>328</v>
      </c>
      <c r="J167" s="8" t="s">
        <v>58</v>
      </c>
      <c r="K167" s="8" t="s">
        <v>1300</v>
      </c>
      <c r="L167" s="8" t="s">
        <v>113</v>
      </c>
      <c r="M167" s="9">
        <v>44063</v>
      </c>
      <c r="N167" s="9">
        <v>44087</v>
      </c>
      <c r="O167" s="8">
        <v>200</v>
      </c>
      <c r="P167" s="8" t="s">
        <v>303</v>
      </c>
      <c r="Q167" s="8" t="s">
        <v>131</v>
      </c>
      <c r="R167" s="8" t="s">
        <v>313</v>
      </c>
      <c r="S167" s="8">
        <v>0</v>
      </c>
      <c r="T167" s="8" t="s">
        <v>117</v>
      </c>
      <c r="U167" s="8" t="s">
        <v>290</v>
      </c>
      <c r="V167" s="8" t="s">
        <v>118</v>
      </c>
      <c r="W167" s="8"/>
      <c r="X167" s="8"/>
      <c r="Y167" s="8">
        <v>101</v>
      </c>
      <c r="Z167" s="8"/>
      <c r="AA167" s="8" t="s">
        <v>109</v>
      </c>
      <c r="AB167" s="8">
        <v>32</v>
      </c>
      <c r="AC167" s="13">
        <f t="shared" si="24"/>
        <v>44063</v>
      </c>
      <c r="AD167" s="13">
        <f t="shared" si="25"/>
        <v>44087</v>
      </c>
      <c r="AE167" s="8">
        <v>0</v>
      </c>
      <c r="AF167" s="8">
        <v>0</v>
      </c>
      <c r="AG167" s="8"/>
    </row>
    <row r="168" spans="1:33" hidden="1" x14ac:dyDescent="0.2">
      <c r="A168" s="8">
        <v>2503</v>
      </c>
      <c r="B168" s="9">
        <v>44048</v>
      </c>
      <c r="C168" s="8">
        <v>30012757</v>
      </c>
      <c r="D168" s="8" t="s">
        <v>102</v>
      </c>
      <c r="E168" s="8" t="s">
        <v>316</v>
      </c>
      <c r="F168" s="8" t="s">
        <v>326</v>
      </c>
      <c r="G168" s="8">
        <v>15018306</v>
      </c>
      <c r="H168" s="8">
        <v>802094866</v>
      </c>
      <c r="I168" s="8" t="s">
        <v>1335</v>
      </c>
      <c r="J168" s="8" t="s">
        <v>58</v>
      </c>
      <c r="K168" s="8" t="s">
        <v>1300</v>
      </c>
      <c r="L168" s="8" t="s">
        <v>113</v>
      </c>
      <c r="M168" s="9">
        <v>44063</v>
      </c>
      <c r="N168" s="9">
        <v>44087</v>
      </c>
      <c r="O168" s="8">
        <v>52.017000000000003</v>
      </c>
      <c r="P168" s="8" t="s">
        <v>303</v>
      </c>
      <c r="Q168" s="8" t="s">
        <v>131</v>
      </c>
      <c r="R168" s="8" t="s">
        <v>313</v>
      </c>
      <c r="S168" s="8">
        <v>0</v>
      </c>
      <c r="T168" s="8" t="s">
        <v>117</v>
      </c>
      <c r="U168" s="8" t="s">
        <v>304</v>
      </c>
      <c r="V168" s="8" t="s">
        <v>118</v>
      </c>
      <c r="W168" s="8"/>
      <c r="X168" s="8"/>
      <c r="Y168" s="8">
        <v>35</v>
      </c>
      <c r="Z168" s="8"/>
      <c r="AA168" s="8" t="s">
        <v>109</v>
      </c>
      <c r="AB168" s="8">
        <v>32</v>
      </c>
      <c r="AC168" s="13">
        <f t="shared" si="24"/>
        <v>44063</v>
      </c>
      <c r="AD168" s="13">
        <f t="shared" si="25"/>
        <v>44087</v>
      </c>
      <c r="AE168" s="8">
        <v>0</v>
      </c>
      <c r="AF168" s="8">
        <v>0</v>
      </c>
      <c r="AG168" s="8"/>
    </row>
    <row r="169" spans="1:33" hidden="1" x14ac:dyDescent="0.2">
      <c r="A169" s="8">
        <v>2503</v>
      </c>
      <c r="B169" s="9">
        <v>44048</v>
      </c>
      <c r="C169" s="8">
        <v>30012757</v>
      </c>
      <c r="D169" s="8" t="s">
        <v>102</v>
      </c>
      <c r="E169" s="8" t="s">
        <v>316</v>
      </c>
      <c r="F169" s="8" t="s">
        <v>326</v>
      </c>
      <c r="G169" s="8">
        <v>15018307</v>
      </c>
      <c r="H169" s="8">
        <v>802094867</v>
      </c>
      <c r="I169" s="8" t="s">
        <v>329</v>
      </c>
      <c r="J169" s="8" t="s">
        <v>58</v>
      </c>
      <c r="K169" s="8" t="s">
        <v>1300</v>
      </c>
      <c r="L169" s="8" t="s">
        <v>113</v>
      </c>
      <c r="M169" s="9">
        <v>44063</v>
      </c>
      <c r="N169" s="9">
        <v>44087</v>
      </c>
      <c r="O169" s="8">
        <v>100</v>
      </c>
      <c r="P169" s="8" t="s">
        <v>303</v>
      </c>
      <c r="Q169" s="8" t="s">
        <v>131</v>
      </c>
      <c r="R169" s="8" t="s">
        <v>313</v>
      </c>
      <c r="S169" s="8">
        <v>0</v>
      </c>
      <c r="T169" s="8" t="s">
        <v>117</v>
      </c>
      <c r="U169" s="8" t="s">
        <v>290</v>
      </c>
      <c r="V169" s="8" t="s">
        <v>118</v>
      </c>
      <c r="W169" s="8"/>
      <c r="X169" s="8"/>
      <c r="Y169" s="8">
        <v>46</v>
      </c>
      <c r="Z169" s="8"/>
      <c r="AA169" s="8" t="s">
        <v>109</v>
      </c>
      <c r="AB169" s="8">
        <v>32</v>
      </c>
      <c r="AC169" s="13">
        <f t="shared" si="24"/>
        <v>44063</v>
      </c>
      <c r="AD169" s="13">
        <f t="shared" si="25"/>
        <v>44087</v>
      </c>
      <c r="AE169" s="8">
        <v>0</v>
      </c>
      <c r="AF169" s="8">
        <v>0</v>
      </c>
      <c r="AG169" s="8"/>
    </row>
    <row r="170" spans="1:33" hidden="1" x14ac:dyDescent="0.2">
      <c r="A170" s="8">
        <v>2503</v>
      </c>
      <c r="B170" s="9">
        <v>44048</v>
      </c>
      <c r="C170" s="8">
        <v>30012757</v>
      </c>
      <c r="D170" s="8" t="s">
        <v>102</v>
      </c>
      <c r="E170" s="8" t="s">
        <v>316</v>
      </c>
      <c r="F170" s="8" t="s">
        <v>326</v>
      </c>
      <c r="G170" s="8">
        <v>15018308</v>
      </c>
      <c r="H170" s="8">
        <v>802094868</v>
      </c>
      <c r="I170" s="8" t="s">
        <v>330</v>
      </c>
      <c r="J170" s="8" t="s">
        <v>58</v>
      </c>
      <c r="K170" s="8" t="s">
        <v>1300</v>
      </c>
      <c r="L170" s="8" t="s">
        <v>113</v>
      </c>
      <c r="M170" s="9">
        <v>44063</v>
      </c>
      <c r="N170" s="9">
        <v>44087</v>
      </c>
      <c r="O170" s="8">
        <v>52.192999999999998</v>
      </c>
      <c r="P170" s="8" t="s">
        <v>303</v>
      </c>
      <c r="Q170" s="8" t="s">
        <v>131</v>
      </c>
      <c r="R170" s="8" t="s">
        <v>313</v>
      </c>
      <c r="S170" s="8">
        <v>0</v>
      </c>
      <c r="T170" s="8" t="s">
        <v>117</v>
      </c>
      <c r="U170" s="8" t="s">
        <v>304</v>
      </c>
      <c r="V170" s="8" t="s">
        <v>118</v>
      </c>
      <c r="W170" s="8"/>
      <c r="X170" s="8"/>
      <c r="Y170" s="8">
        <v>35</v>
      </c>
      <c r="Z170" s="8"/>
      <c r="AA170" s="8" t="s">
        <v>109</v>
      </c>
      <c r="AB170" s="8">
        <v>32</v>
      </c>
      <c r="AC170" s="13">
        <f t="shared" si="24"/>
        <v>44063</v>
      </c>
      <c r="AD170" s="13">
        <f t="shared" si="25"/>
        <v>44087</v>
      </c>
      <c r="AE170" s="8">
        <v>0</v>
      </c>
      <c r="AF170" s="8">
        <v>0</v>
      </c>
      <c r="AG170" s="8"/>
    </row>
    <row r="171" spans="1:33" hidden="1" x14ac:dyDescent="0.2">
      <c r="A171" s="8">
        <v>2503</v>
      </c>
      <c r="B171" s="9">
        <v>44048</v>
      </c>
      <c r="C171" s="8">
        <v>30012757</v>
      </c>
      <c r="D171" s="8" t="s">
        <v>102</v>
      </c>
      <c r="E171" s="8" t="s">
        <v>322</v>
      </c>
      <c r="F171" s="8" t="s">
        <v>311</v>
      </c>
      <c r="G171" s="8">
        <v>15018309</v>
      </c>
      <c r="H171" s="8">
        <v>802094869</v>
      </c>
      <c r="I171" s="8" t="s">
        <v>323</v>
      </c>
      <c r="J171" s="8" t="s">
        <v>223</v>
      </c>
      <c r="K171" s="8" t="s">
        <v>1300</v>
      </c>
      <c r="L171" s="8" t="s">
        <v>113</v>
      </c>
      <c r="M171" s="9">
        <v>44063</v>
      </c>
      <c r="N171" s="9">
        <v>44087</v>
      </c>
      <c r="O171" s="8">
        <v>495.09800000000001</v>
      </c>
      <c r="P171" s="8" t="s">
        <v>303</v>
      </c>
      <c r="Q171" s="8" t="s">
        <v>131</v>
      </c>
      <c r="R171" s="8" t="s">
        <v>132</v>
      </c>
      <c r="S171" s="8">
        <v>0</v>
      </c>
      <c r="T171" s="8" t="s">
        <v>117</v>
      </c>
      <c r="U171" s="8" t="s">
        <v>304</v>
      </c>
      <c r="V171" s="8" t="s">
        <v>118</v>
      </c>
      <c r="W171" s="8"/>
      <c r="X171" s="8"/>
      <c r="Y171" s="8">
        <v>480</v>
      </c>
      <c r="Z171" s="8"/>
      <c r="AA171" s="8" t="s">
        <v>39</v>
      </c>
      <c r="AB171" s="8">
        <v>32</v>
      </c>
      <c r="AC171" s="13">
        <f t="shared" si="24"/>
        <v>44063</v>
      </c>
      <c r="AD171" s="13">
        <f t="shared" si="25"/>
        <v>44087</v>
      </c>
      <c r="AE171" s="8">
        <v>0</v>
      </c>
      <c r="AF171" s="8">
        <v>0</v>
      </c>
      <c r="AG171" s="8"/>
    </row>
    <row r="172" spans="1:33" hidden="1" x14ac:dyDescent="0.2">
      <c r="A172" s="8">
        <v>2503</v>
      </c>
      <c r="B172" s="9">
        <v>44048</v>
      </c>
      <c r="C172" s="8">
        <v>30012757</v>
      </c>
      <c r="D172" s="8" t="s">
        <v>102</v>
      </c>
      <c r="E172" s="8" t="s">
        <v>322</v>
      </c>
      <c r="F172" s="8" t="s">
        <v>311</v>
      </c>
      <c r="G172" s="8">
        <v>15018310</v>
      </c>
      <c r="H172" s="8">
        <v>802094870</v>
      </c>
      <c r="I172" s="8" t="s">
        <v>323</v>
      </c>
      <c r="J172" s="8" t="s">
        <v>223</v>
      </c>
      <c r="K172" s="8" t="s">
        <v>1300</v>
      </c>
      <c r="L172" s="8" t="s">
        <v>113</v>
      </c>
      <c r="M172" s="9">
        <v>44063</v>
      </c>
      <c r="N172" s="9">
        <v>44087</v>
      </c>
      <c r="O172" s="8">
        <v>197.964</v>
      </c>
      <c r="P172" s="8" t="s">
        <v>303</v>
      </c>
      <c r="Q172" s="8" t="s">
        <v>131</v>
      </c>
      <c r="R172" s="8" t="s">
        <v>132</v>
      </c>
      <c r="S172" s="8">
        <v>0</v>
      </c>
      <c r="T172" s="8" t="s">
        <v>117</v>
      </c>
      <c r="U172" s="8" t="s">
        <v>304</v>
      </c>
      <c r="V172" s="8" t="s">
        <v>118</v>
      </c>
      <c r="W172" s="8"/>
      <c r="X172" s="8"/>
      <c r="Y172" s="8">
        <v>192</v>
      </c>
      <c r="Z172" s="8"/>
      <c r="AA172" s="8" t="s">
        <v>39</v>
      </c>
      <c r="AB172" s="8">
        <v>32</v>
      </c>
      <c r="AC172" s="13">
        <f t="shared" si="24"/>
        <v>44063</v>
      </c>
      <c r="AD172" s="13">
        <f t="shared" si="25"/>
        <v>44087</v>
      </c>
      <c r="AE172" s="8">
        <v>0</v>
      </c>
      <c r="AF172" s="8">
        <v>0</v>
      </c>
      <c r="AG172" s="8"/>
    </row>
    <row r="173" spans="1:33" hidden="1" x14ac:dyDescent="0.2">
      <c r="A173" s="8">
        <v>2503</v>
      </c>
      <c r="B173" s="9">
        <v>44048</v>
      </c>
      <c r="C173" s="8">
        <v>30012757</v>
      </c>
      <c r="D173" s="8" t="s">
        <v>102</v>
      </c>
      <c r="E173" s="8" t="s">
        <v>310</v>
      </c>
      <c r="F173" s="8" t="s">
        <v>311</v>
      </c>
      <c r="G173" s="8">
        <v>15018311</v>
      </c>
      <c r="H173" s="8">
        <v>802094871</v>
      </c>
      <c r="I173" s="8" t="s">
        <v>528</v>
      </c>
      <c r="J173" s="8" t="s">
        <v>47</v>
      </c>
      <c r="K173" s="8" t="s">
        <v>1300</v>
      </c>
      <c r="L173" s="8" t="s">
        <v>113</v>
      </c>
      <c r="M173" s="9">
        <v>44063</v>
      </c>
      <c r="N173" s="9">
        <v>44087</v>
      </c>
      <c r="O173" s="8">
        <v>503</v>
      </c>
      <c r="P173" s="8" t="s">
        <v>303</v>
      </c>
      <c r="Q173" s="8" t="s">
        <v>131</v>
      </c>
      <c r="R173" s="8" t="s">
        <v>313</v>
      </c>
      <c r="S173" s="8">
        <v>0</v>
      </c>
      <c r="T173" s="8" t="s">
        <v>117</v>
      </c>
      <c r="U173" s="8" t="s">
        <v>290</v>
      </c>
      <c r="V173" s="8" t="s">
        <v>118</v>
      </c>
      <c r="W173" s="8"/>
      <c r="X173" s="8"/>
      <c r="Y173" s="8">
        <v>39</v>
      </c>
      <c r="Z173" s="8"/>
      <c r="AA173" s="8" t="s">
        <v>109</v>
      </c>
      <c r="AB173" s="8">
        <v>32</v>
      </c>
      <c r="AC173" s="13">
        <f t="shared" si="24"/>
        <v>44063</v>
      </c>
      <c r="AD173" s="13">
        <f t="shared" si="25"/>
        <v>44087</v>
      </c>
      <c r="AE173" s="8">
        <v>0</v>
      </c>
      <c r="AF173" s="8">
        <v>0</v>
      </c>
      <c r="AG173" s="8"/>
    </row>
    <row r="174" spans="1:33" hidden="1" x14ac:dyDescent="0.2">
      <c r="A174" s="8">
        <v>2503</v>
      </c>
      <c r="B174" s="9">
        <v>44048</v>
      </c>
      <c r="C174" s="8">
        <v>30012757</v>
      </c>
      <c r="D174" s="8" t="s">
        <v>102</v>
      </c>
      <c r="E174" s="8" t="s">
        <v>310</v>
      </c>
      <c r="F174" s="8" t="s">
        <v>311</v>
      </c>
      <c r="G174" s="8">
        <v>15018312</v>
      </c>
      <c r="H174" s="8">
        <v>802094872</v>
      </c>
      <c r="I174" s="8" t="s">
        <v>312</v>
      </c>
      <c r="J174" s="8" t="s">
        <v>47</v>
      </c>
      <c r="K174" s="8" t="s">
        <v>1300</v>
      </c>
      <c r="L174" s="8" t="s">
        <v>113</v>
      </c>
      <c r="M174" s="9">
        <v>44063</v>
      </c>
      <c r="N174" s="9">
        <v>44087</v>
      </c>
      <c r="O174" s="8">
        <v>692</v>
      </c>
      <c r="P174" s="8" t="s">
        <v>303</v>
      </c>
      <c r="Q174" s="8" t="s">
        <v>131</v>
      </c>
      <c r="R174" s="8" t="s">
        <v>313</v>
      </c>
      <c r="S174" s="8">
        <v>0</v>
      </c>
      <c r="T174" s="8" t="s">
        <v>117</v>
      </c>
      <c r="U174" s="8" t="s">
        <v>290</v>
      </c>
      <c r="V174" s="8" t="s">
        <v>118</v>
      </c>
      <c r="W174" s="8"/>
      <c r="X174" s="8"/>
      <c r="Y174" s="8">
        <v>66</v>
      </c>
      <c r="Z174" s="8"/>
      <c r="AA174" s="8" t="s">
        <v>109</v>
      </c>
      <c r="AB174" s="8">
        <v>32</v>
      </c>
      <c r="AC174" s="13">
        <f t="shared" si="24"/>
        <v>44063</v>
      </c>
      <c r="AD174" s="13">
        <f t="shared" si="25"/>
        <v>44087</v>
      </c>
      <c r="AE174" s="8">
        <v>0</v>
      </c>
      <c r="AF174" s="8">
        <v>0</v>
      </c>
      <c r="AG174" s="8"/>
    </row>
    <row r="175" spans="1:33" hidden="1" x14ac:dyDescent="0.2">
      <c r="A175" s="8">
        <v>2503</v>
      </c>
      <c r="B175" s="9">
        <v>44048</v>
      </c>
      <c r="C175" s="8">
        <v>30012757</v>
      </c>
      <c r="D175" s="8" t="s">
        <v>102</v>
      </c>
      <c r="E175" s="8" t="s">
        <v>310</v>
      </c>
      <c r="F175" s="8" t="s">
        <v>311</v>
      </c>
      <c r="G175" s="8">
        <v>15018313</v>
      </c>
      <c r="H175" s="8">
        <v>802094873</v>
      </c>
      <c r="I175" s="8" t="s">
        <v>530</v>
      </c>
      <c r="J175" s="8" t="s">
        <v>47</v>
      </c>
      <c r="K175" s="8" t="s">
        <v>1300</v>
      </c>
      <c r="L175" s="8" t="s">
        <v>113</v>
      </c>
      <c r="M175" s="9">
        <v>44063</v>
      </c>
      <c r="N175" s="9">
        <v>44087</v>
      </c>
      <c r="O175" s="8">
        <v>194</v>
      </c>
      <c r="P175" s="8" t="s">
        <v>303</v>
      </c>
      <c r="Q175" s="8" t="s">
        <v>131</v>
      </c>
      <c r="R175" s="8" t="s">
        <v>313</v>
      </c>
      <c r="S175" s="8">
        <v>0</v>
      </c>
      <c r="T175" s="8" t="s">
        <v>117</v>
      </c>
      <c r="U175" s="8" t="s">
        <v>290</v>
      </c>
      <c r="V175" s="8" t="s">
        <v>118</v>
      </c>
      <c r="W175" s="8"/>
      <c r="X175" s="8"/>
      <c r="Y175" s="8">
        <v>18</v>
      </c>
      <c r="Z175" s="8"/>
      <c r="AA175" s="8" t="s">
        <v>109</v>
      </c>
      <c r="AB175" s="8">
        <v>32</v>
      </c>
      <c r="AC175" s="13">
        <f t="shared" si="24"/>
        <v>44063</v>
      </c>
      <c r="AD175" s="13">
        <f t="shared" si="25"/>
        <v>44087</v>
      </c>
      <c r="AE175" s="8">
        <v>0</v>
      </c>
      <c r="AF175" s="8">
        <v>0</v>
      </c>
      <c r="AG175" s="8"/>
    </row>
    <row r="176" spans="1:33" hidden="1" x14ac:dyDescent="0.2">
      <c r="A176" s="8">
        <v>2503</v>
      </c>
      <c r="B176" s="9">
        <v>44048</v>
      </c>
      <c r="C176" s="8">
        <v>30012757</v>
      </c>
      <c r="D176" s="8" t="s">
        <v>102</v>
      </c>
      <c r="E176" s="8" t="s">
        <v>333</v>
      </c>
      <c r="F176" s="8" t="s">
        <v>334</v>
      </c>
      <c r="G176" s="8">
        <v>15018361</v>
      </c>
      <c r="H176" s="8">
        <v>802094921</v>
      </c>
      <c r="I176" s="8" t="s">
        <v>335</v>
      </c>
      <c r="J176" s="8" t="s">
        <v>223</v>
      </c>
      <c r="K176" s="8" t="s">
        <v>1300</v>
      </c>
      <c r="L176" s="8" t="s">
        <v>113</v>
      </c>
      <c r="M176" s="9">
        <v>44063</v>
      </c>
      <c r="N176" s="9">
        <v>44093</v>
      </c>
      <c r="O176" s="8">
        <v>247.44900000000001</v>
      </c>
      <c r="P176" s="8" t="s">
        <v>303</v>
      </c>
      <c r="Q176" s="8" t="s">
        <v>182</v>
      </c>
      <c r="R176" s="8" t="s">
        <v>183</v>
      </c>
      <c r="S176" s="8">
        <v>0</v>
      </c>
      <c r="T176" s="8" t="s">
        <v>117</v>
      </c>
      <c r="U176" s="8" t="s">
        <v>304</v>
      </c>
      <c r="V176" s="8" t="s">
        <v>118</v>
      </c>
      <c r="W176" s="8"/>
      <c r="X176" s="8"/>
      <c r="Y176" s="8">
        <v>240</v>
      </c>
      <c r="Z176" s="8"/>
      <c r="AA176" s="8" t="s">
        <v>39</v>
      </c>
      <c r="AB176" s="8">
        <v>32</v>
      </c>
      <c r="AC176" s="13">
        <f t="shared" si="24"/>
        <v>44063</v>
      </c>
      <c r="AD176" s="13">
        <f t="shared" si="25"/>
        <v>44093</v>
      </c>
      <c r="AE176" s="8">
        <v>0</v>
      </c>
      <c r="AF176" s="8">
        <v>0</v>
      </c>
      <c r="AG176" s="8"/>
    </row>
    <row r="177" spans="1:33" hidden="1" x14ac:dyDescent="0.2">
      <c r="A177" s="8">
        <v>2503</v>
      </c>
      <c r="B177" s="9">
        <v>44048</v>
      </c>
      <c r="C177" s="8">
        <v>30012757</v>
      </c>
      <c r="D177" s="8" t="s">
        <v>102</v>
      </c>
      <c r="E177" s="8" t="s">
        <v>333</v>
      </c>
      <c r="F177" s="8" t="s">
        <v>334</v>
      </c>
      <c r="G177" s="8">
        <v>15018362</v>
      </c>
      <c r="H177" s="8">
        <v>802094922</v>
      </c>
      <c r="I177" s="8" t="s">
        <v>336</v>
      </c>
      <c r="J177" s="8" t="s">
        <v>223</v>
      </c>
      <c r="K177" s="8" t="s">
        <v>1300</v>
      </c>
      <c r="L177" s="8" t="s">
        <v>113</v>
      </c>
      <c r="M177" s="9">
        <v>44063</v>
      </c>
      <c r="N177" s="9">
        <v>44093</v>
      </c>
      <c r="O177" s="8">
        <v>493.68599999999998</v>
      </c>
      <c r="P177" s="8" t="s">
        <v>303</v>
      </c>
      <c r="Q177" s="8" t="s">
        <v>182</v>
      </c>
      <c r="R177" s="8" t="s">
        <v>183</v>
      </c>
      <c r="S177" s="8">
        <v>0</v>
      </c>
      <c r="T177" s="8" t="s">
        <v>117</v>
      </c>
      <c r="U177" s="8" t="s">
        <v>304</v>
      </c>
      <c r="V177" s="8" t="s">
        <v>118</v>
      </c>
      <c r="W177" s="8"/>
      <c r="X177" s="8"/>
      <c r="Y177" s="8">
        <v>480</v>
      </c>
      <c r="Z177" s="8"/>
      <c r="AA177" s="8" t="s">
        <v>39</v>
      </c>
      <c r="AB177" s="8">
        <v>32</v>
      </c>
      <c r="AC177" s="13">
        <f t="shared" si="24"/>
        <v>44063</v>
      </c>
      <c r="AD177" s="13">
        <f t="shared" si="25"/>
        <v>44093</v>
      </c>
      <c r="AE177" s="8">
        <v>0</v>
      </c>
      <c r="AF177" s="8">
        <v>0</v>
      </c>
      <c r="AG177" s="8"/>
    </row>
    <row r="178" spans="1:33" hidden="1" x14ac:dyDescent="0.2">
      <c r="A178" s="8">
        <v>2503</v>
      </c>
      <c r="B178" s="9">
        <v>44048</v>
      </c>
      <c r="C178" s="8">
        <v>30012757</v>
      </c>
      <c r="D178" s="8" t="s">
        <v>102</v>
      </c>
      <c r="E178" s="8" t="s">
        <v>333</v>
      </c>
      <c r="F178" s="8" t="s">
        <v>334</v>
      </c>
      <c r="G178" s="8">
        <v>15018363</v>
      </c>
      <c r="H178" s="8">
        <v>802094923</v>
      </c>
      <c r="I178" s="8" t="s">
        <v>336</v>
      </c>
      <c r="J178" s="8" t="s">
        <v>223</v>
      </c>
      <c r="K178" s="8" t="s">
        <v>1300</v>
      </c>
      <c r="L178" s="8" t="s">
        <v>113</v>
      </c>
      <c r="M178" s="9">
        <v>44063</v>
      </c>
      <c r="N178" s="9">
        <v>44093</v>
      </c>
      <c r="O178" s="8">
        <v>99.207999999999998</v>
      </c>
      <c r="P178" s="8" t="s">
        <v>303</v>
      </c>
      <c r="Q178" s="8" t="s">
        <v>182</v>
      </c>
      <c r="R178" s="8" t="s">
        <v>183</v>
      </c>
      <c r="S178" s="8">
        <v>0</v>
      </c>
      <c r="T178" s="8" t="s">
        <v>117</v>
      </c>
      <c r="U178" s="8" t="s">
        <v>304</v>
      </c>
      <c r="V178" s="8" t="s">
        <v>118</v>
      </c>
      <c r="W178" s="8"/>
      <c r="X178" s="8"/>
      <c r="Y178" s="8">
        <v>96</v>
      </c>
      <c r="Z178" s="8"/>
      <c r="AA178" s="8" t="s">
        <v>39</v>
      </c>
      <c r="AB178" s="8">
        <v>32</v>
      </c>
      <c r="AC178" s="13">
        <f t="shared" si="24"/>
        <v>44063</v>
      </c>
      <c r="AD178" s="13">
        <f t="shared" si="25"/>
        <v>44093</v>
      </c>
      <c r="AE178" s="8">
        <v>0</v>
      </c>
      <c r="AF178" s="8">
        <v>0</v>
      </c>
      <c r="AG178" s="8"/>
    </row>
    <row r="179" spans="1:33" hidden="1" x14ac:dyDescent="0.2">
      <c r="A179" s="8">
        <v>2503</v>
      </c>
      <c r="B179" s="9">
        <v>44048</v>
      </c>
      <c r="C179" s="8">
        <v>30012757</v>
      </c>
      <c r="D179" s="8" t="s">
        <v>102</v>
      </c>
      <c r="E179" s="8" t="s">
        <v>333</v>
      </c>
      <c r="F179" s="8" t="s">
        <v>334</v>
      </c>
      <c r="G179" s="8">
        <v>15018364</v>
      </c>
      <c r="H179" s="8">
        <v>802094924</v>
      </c>
      <c r="I179" s="8" t="s">
        <v>1360</v>
      </c>
      <c r="J179" s="8" t="s">
        <v>223</v>
      </c>
      <c r="K179" s="8" t="s">
        <v>1300</v>
      </c>
      <c r="L179" s="8" t="s">
        <v>113</v>
      </c>
      <c r="M179" s="9">
        <v>44063</v>
      </c>
      <c r="N179" s="9">
        <v>44093</v>
      </c>
      <c r="O179" s="8">
        <v>49.414000000000001</v>
      </c>
      <c r="P179" s="8" t="s">
        <v>303</v>
      </c>
      <c r="Q179" s="8" t="s">
        <v>182</v>
      </c>
      <c r="R179" s="8" t="s">
        <v>183</v>
      </c>
      <c r="S179" s="8">
        <v>0</v>
      </c>
      <c r="T179" s="8" t="s">
        <v>117</v>
      </c>
      <c r="U179" s="8" t="s">
        <v>304</v>
      </c>
      <c r="V179" s="8" t="s">
        <v>118</v>
      </c>
      <c r="W179" s="8"/>
      <c r="X179" s="8"/>
      <c r="Y179" s="8">
        <v>48</v>
      </c>
      <c r="Z179" s="8"/>
      <c r="AA179" s="8" t="s">
        <v>39</v>
      </c>
      <c r="AB179" s="8">
        <v>32</v>
      </c>
      <c r="AC179" s="13">
        <f t="shared" si="24"/>
        <v>44063</v>
      </c>
      <c r="AD179" s="13">
        <f t="shared" si="25"/>
        <v>44093</v>
      </c>
      <c r="AE179" s="8">
        <v>0</v>
      </c>
      <c r="AF179" s="8">
        <v>0</v>
      </c>
      <c r="AG179" s="8"/>
    </row>
    <row r="180" spans="1:33" hidden="1" x14ac:dyDescent="0.2">
      <c r="A180" s="8">
        <v>2503</v>
      </c>
      <c r="B180" s="9">
        <v>44073</v>
      </c>
      <c r="C180" s="8">
        <v>30012757</v>
      </c>
      <c r="D180" s="8" t="s">
        <v>28</v>
      </c>
      <c r="E180" s="8" t="s">
        <v>162</v>
      </c>
      <c r="F180" s="8" t="s">
        <v>1361</v>
      </c>
      <c r="G180" s="8">
        <v>15018384</v>
      </c>
      <c r="H180" s="8">
        <v>802095007</v>
      </c>
      <c r="I180" s="8" t="s">
        <v>112</v>
      </c>
      <c r="J180" s="8" t="s">
        <v>32</v>
      </c>
      <c r="K180" s="8" t="s">
        <v>1300</v>
      </c>
      <c r="L180" s="8" t="s">
        <v>113</v>
      </c>
      <c r="M180" s="9">
        <v>44063</v>
      </c>
      <c r="N180" s="9">
        <v>44090</v>
      </c>
      <c r="O180" s="8">
        <v>500</v>
      </c>
      <c r="P180" s="8" t="s">
        <v>303</v>
      </c>
      <c r="Q180" s="8" t="s">
        <v>85</v>
      </c>
      <c r="R180" s="8" t="s">
        <v>86</v>
      </c>
      <c r="S180" s="8">
        <v>0</v>
      </c>
      <c r="T180" s="8" t="s">
        <v>117</v>
      </c>
      <c r="U180" s="8" t="s">
        <v>290</v>
      </c>
      <c r="V180" s="8" t="s">
        <v>118</v>
      </c>
      <c r="W180" s="8"/>
      <c r="X180" s="8"/>
      <c r="Y180" s="8">
        <v>491</v>
      </c>
      <c r="Z180" s="8"/>
      <c r="AA180" s="8" t="s">
        <v>39</v>
      </c>
      <c r="AB180" s="8">
        <v>32</v>
      </c>
      <c r="AC180" s="13">
        <f t="shared" si="24"/>
        <v>44063</v>
      </c>
      <c r="AD180" s="13">
        <f t="shared" si="25"/>
        <v>44090</v>
      </c>
      <c r="AE180" s="8">
        <v>0</v>
      </c>
      <c r="AF180" s="8">
        <v>0</v>
      </c>
      <c r="AG180" s="8"/>
    </row>
    <row r="181" spans="1:33" hidden="1" x14ac:dyDescent="0.2">
      <c r="A181" s="8">
        <v>2503</v>
      </c>
      <c r="B181" s="9">
        <v>44058</v>
      </c>
      <c r="C181" s="8">
        <v>30012757</v>
      </c>
      <c r="D181" s="8" t="s">
        <v>54</v>
      </c>
      <c r="E181" s="8" t="s">
        <v>212</v>
      </c>
      <c r="F181" s="8" t="s">
        <v>213</v>
      </c>
      <c r="G181" s="8">
        <v>15018385</v>
      </c>
      <c r="H181" s="8">
        <v>802095060</v>
      </c>
      <c r="I181" s="8" t="s">
        <v>337</v>
      </c>
      <c r="J181" s="8" t="s">
        <v>58</v>
      </c>
      <c r="K181" s="8" t="s">
        <v>1300</v>
      </c>
      <c r="L181" s="8" t="s">
        <v>113</v>
      </c>
      <c r="M181" s="9">
        <v>44063</v>
      </c>
      <c r="N181" s="9">
        <v>44108</v>
      </c>
      <c r="O181" s="8">
        <v>150</v>
      </c>
      <c r="P181" s="8" t="s">
        <v>303</v>
      </c>
      <c r="Q181" s="8" t="s">
        <v>115</v>
      </c>
      <c r="R181" s="8" t="s">
        <v>338</v>
      </c>
      <c r="S181" s="8">
        <v>0</v>
      </c>
      <c r="T181" s="8" t="s">
        <v>117</v>
      </c>
      <c r="U181" s="8" t="s">
        <v>290</v>
      </c>
      <c r="V181" s="8" t="s">
        <v>118</v>
      </c>
      <c r="W181" s="8"/>
      <c r="X181" s="8"/>
      <c r="Y181" s="8">
        <v>47</v>
      </c>
      <c r="Z181" s="8"/>
      <c r="AA181" s="8" t="s">
        <v>39</v>
      </c>
      <c r="AB181" s="8">
        <v>32</v>
      </c>
      <c r="AC181" s="13">
        <f t="shared" si="24"/>
        <v>44063</v>
      </c>
      <c r="AD181" s="13">
        <f t="shared" si="25"/>
        <v>44108</v>
      </c>
      <c r="AE181" s="8">
        <v>0</v>
      </c>
      <c r="AF181" s="8">
        <v>0</v>
      </c>
      <c r="AG181" s="8"/>
    </row>
    <row r="182" spans="1:33" hidden="1" x14ac:dyDescent="0.2">
      <c r="A182" s="8">
        <v>2503</v>
      </c>
      <c r="B182" s="9">
        <v>44048</v>
      </c>
      <c r="C182" s="8">
        <v>30012757</v>
      </c>
      <c r="D182" s="8" t="s">
        <v>102</v>
      </c>
      <c r="E182" s="8" t="s">
        <v>195</v>
      </c>
      <c r="F182" s="8" t="s">
        <v>355</v>
      </c>
      <c r="G182" s="8">
        <v>15018394</v>
      </c>
      <c r="H182" s="8">
        <v>802095008</v>
      </c>
      <c r="I182" s="8" t="s">
        <v>112</v>
      </c>
      <c r="J182" s="8" t="s">
        <v>32</v>
      </c>
      <c r="K182" s="8" t="s">
        <v>1300</v>
      </c>
      <c r="L182" s="8" t="s">
        <v>113</v>
      </c>
      <c r="M182" s="9">
        <v>44063</v>
      </c>
      <c r="N182" s="9">
        <v>44087</v>
      </c>
      <c r="O182" s="8">
        <v>247.26499999999999</v>
      </c>
      <c r="P182" s="8" t="s">
        <v>303</v>
      </c>
      <c r="Q182" s="8" t="s">
        <v>131</v>
      </c>
      <c r="R182" s="8" t="s">
        <v>185</v>
      </c>
      <c r="S182" s="8">
        <v>0</v>
      </c>
      <c r="T182" s="8" t="s">
        <v>117</v>
      </c>
      <c r="U182" s="8" t="s">
        <v>304</v>
      </c>
      <c r="V182" s="8" t="s">
        <v>118</v>
      </c>
      <c r="W182" s="8"/>
      <c r="X182" s="8"/>
      <c r="Y182" s="8">
        <v>240</v>
      </c>
      <c r="Z182" s="8"/>
      <c r="AA182" s="8" t="s">
        <v>39</v>
      </c>
      <c r="AB182" s="8">
        <v>32</v>
      </c>
      <c r="AC182" s="13">
        <f t="shared" si="24"/>
        <v>44063</v>
      </c>
      <c r="AD182" s="13">
        <f t="shared" si="25"/>
        <v>44087</v>
      </c>
      <c r="AE182" s="8">
        <v>0</v>
      </c>
      <c r="AF182" s="8">
        <v>0</v>
      </c>
      <c r="AG182" s="8"/>
    </row>
    <row r="183" spans="1:33" hidden="1" x14ac:dyDescent="0.2">
      <c r="A183" s="8">
        <v>2503</v>
      </c>
      <c r="B183" s="9">
        <v>44048</v>
      </c>
      <c r="C183" s="8">
        <v>30012757</v>
      </c>
      <c r="D183" s="8" t="s">
        <v>44</v>
      </c>
      <c r="E183" s="8" t="s">
        <v>341</v>
      </c>
      <c r="F183" s="8" t="s">
        <v>342</v>
      </c>
      <c r="G183" s="8">
        <v>15018413</v>
      </c>
      <c r="H183" s="8">
        <v>802095028</v>
      </c>
      <c r="I183" s="8" t="s">
        <v>343</v>
      </c>
      <c r="J183" s="8" t="s">
        <v>58</v>
      </c>
      <c r="K183" s="8" t="s">
        <v>1300</v>
      </c>
      <c r="L183" s="8" t="s">
        <v>113</v>
      </c>
      <c r="M183" s="9">
        <v>44063</v>
      </c>
      <c r="N183" s="9">
        <v>44087</v>
      </c>
      <c r="O183" s="8">
        <v>200</v>
      </c>
      <c r="P183" s="8" t="s">
        <v>303</v>
      </c>
      <c r="Q183" s="8" t="s">
        <v>131</v>
      </c>
      <c r="R183" s="8" t="s">
        <v>185</v>
      </c>
      <c r="S183" s="8">
        <v>0</v>
      </c>
      <c r="T183" s="8" t="s">
        <v>117</v>
      </c>
      <c r="U183" s="8" t="s">
        <v>290</v>
      </c>
      <c r="V183" s="8" t="s">
        <v>118</v>
      </c>
      <c r="W183" s="8"/>
      <c r="X183" s="8"/>
      <c r="Y183" s="8">
        <v>69</v>
      </c>
      <c r="Z183" s="8"/>
      <c r="AA183" s="8" t="s">
        <v>39</v>
      </c>
      <c r="AB183" s="8">
        <v>32</v>
      </c>
      <c r="AC183" s="13">
        <f t="shared" si="24"/>
        <v>44063</v>
      </c>
      <c r="AD183" s="13">
        <f t="shared" si="25"/>
        <v>44087</v>
      </c>
      <c r="AE183" s="8">
        <v>0</v>
      </c>
      <c r="AF183" s="8">
        <v>0</v>
      </c>
      <c r="AG183" s="8"/>
    </row>
    <row r="184" spans="1:33" hidden="1" x14ac:dyDescent="0.2">
      <c r="A184" s="8">
        <v>2503</v>
      </c>
      <c r="B184" s="9">
        <v>44048</v>
      </c>
      <c r="C184" s="8">
        <v>30012757</v>
      </c>
      <c r="D184" s="8" t="s">
        <v>44</v>
      </c>
      <c r="E184" s="8" t="s">
        <v>341</v>
      </c>
      <c r="F184" s="8" t="s">
        <v>342</v>
      </c>
      <c r="G184" s="8">
        <v>15018414</v>
      </c>
      <c r="H184" s="8">
        <v>802095029</v>
      </c>
      <c r="I184" s="8" t="s">
        <v>344</v>
      </c>
      <c r="J184" s="8" t="s">
        <v>58</v>
      </c>
      <c r="K184" s="8" t="s">
        <v>1300</v>
      </c>
      <c r="L184" s="8" t="s">
        <v>113</v>
      </c>
      <c r="M184" s="9">
        <v>44063</v>
      </c>
      <c r="N184" s="9">
        <v>44087</v>
      </c>
      <c r="O184" s="8">
        <v>250</v>
      </c>
      <c r="P184" s="8" t="s">
        <v>303</v>
      </c>
      <c r="Q184" s="8" t="s">
        <v>131</v>
      </c>
      <c r="R184" s="8" t="s">
        <v>185</v>
      </c>
      <c r="S184" s="8">
        <v>0</v>
      </c>
      <c r="T184" s="8" t="s">
        <v>117</v>
      </c>
      <c r="U184" s="8" t="s">
        <v>290</v>
      </c>
      <c r="V184" s="8" t="s">
        <v>118</v>
      </c>
      <c r="W184" s="8"/>
      <c r="X184" s="8"/>
      <c r="Y184" s="8">
        <v>88</v>
      </c>
      <c r="Z184" s="8"/>
      <c r="AA184" s="8" t="s">
        <v>39</v>
      </c>
      <c r="AB184" s="8">
        <v>32</v>
      </c>
      <c r="AC184" s="13">
        <f t="shared" si="24"/>
        <v>44063</v>
      </c>
      <c r="AD184" s="13">
        <f t="shared" si="25"/>
        <v>44087</v>
      </c>
      <c r="AE184" s="8">
        <v>0</v>
      </c>
      <c r="AF184" s="8">
        <v>0</v>
      </c>
      <c r="AG184" s="8"/>
    </row>
    <row r="185" spans="1:33" hidden="1" x14ac:dyDescent="0.2">
      <c r="A185" s="8">
        <v>2503</v>
      </c>
      <c r="B185" s="9">
        <v>44048</v>
      </c>
      <c r="C185" s="8">
        <v>30012757</v>
      </c>
      <c r="D185" s="8" t="s">
        <v>44</v>
      </c>
      <c r="E185" s="8" t="s">
        <v>341</v>
      </c>
      <c r="F185" s="8" t="s">
        <v>342</v>
      </c>
      <c r="G185" s="8">
        <v>15018415</v>
      </c>
      <c r="H185" s="8">
        <v>802095030</v>
      </c>
      <c r="I185" s="8" t="s">
        <v>345</v>
      </c>
      <c r="J185" s="8" t="s">
        <v>223</v>
      </c>
      <c r="K185" s="8" t="s">
        <v>1300</v>
      </c>
      <c r="L185" s="8" t="s">
        <v>113</v>
      </c>
      <c r="M185" s="9">
        <v>44063</v>
      </c>
      <c r="N185" s="9">
        <v>44090</v>
      </c>
      <c r="O185" s="8">
        <v>74.275999999999996</v>
      </c>
      <c r="P185" s="8" t="s">
        <v>303</v>
      </c>
      <c r="Q185" s="8" t="s">
        <v>85</v>
      </c>
      <c r="R185" s="8" t="s">
        <v>194</v>
      </c>
      <c r="S185" s="8">
        <v>0</v>
      </c>
      <c r="T185" s="8" t="s">
        <v>117</v>
      </c>
      <c r="U185" s="8" t="s">
        <v>304</v>
      </c>
      <c r="V185" s="8" t="s">
        <v>118</v>
      </c>
      <c r="W185" s="8"/>
      <c r="X185" s="8"/>
      <c r="Y185" s="8">
        <v>72</v>
      </c>
      <c r="Z185" s="8"/>
      <c r="AA185" s="8" t="s">
        <v>39</v>
      </c>
      <c r="AB185" s="8">
        <v>32</v>
      </c>
      <c r="AC185" s="13">
        <f t="shared" si="24"/>
        <v>44063</v>
      </c>
      <c r="AD185" s="13">
        <f t="shared" si="25"/>
        <v>44090</v>
      </c>
      <c r="AE185" s="8">
        <v>0</v>
      </c>
      <c r="AF185" s="8">
        <v>0</v>
      </c>
      <c r="AG185" s="8"/>
    </row>
    <row r="186" spans="1:33" hidden="1" x14ac:dyDescent="0.2">
      <c r="A186" s="8">
        <v>2503</v>
      </c>
      <c r="B186" s="9">
        <v>44058</v>
      </c>
      <c r="C186" s="8">
        <v>30012757</v>
      </c>
      <c r="D186" s="8" t="s">
        <v>62</v>
      </c>
      <c r="E186" s="8" t="s">
        <v>212</v>
      </c>
      <c r="F186" s="8" t="s">
        <v>213</v>
      </c>
      <c r="G186" s="8">
        <v>15018429</v>
      </c>
      <c r="H186" s="8">
        <v>802095109</v>
      </c>
      <c r="I186" s="8" t="s">
        <v>337</v>
      </c>
      <c r="J186" s="8" t="s">
        <v>58</v>
      </c>
      <c r="K186" s="8" t="s">
        <v>1300</v>
      </c>
      <c r="L186" s="8" t="s">
        <v>113</v>
      </c>
      <c r="M186" s="9">
        <v>44063</v>
      </c>
      <c r="N186" s="9">
        <v>44108</v>
      </c>
      <c r="O186" s="8">
        <v>400</v>
      </c>
      <c r="P186" s="8" t="s">
        <v>303</v>
      </c>
      <c r="Q186" s="8" t="s">
        <v>115</v>
      </c>
      <c r="R186" s="8" t="s">
        <v>338</v>
      </c>
      <c r="S186" s="8">
        <v>0</v>
      </c>
      <c r="T186" s="8" t="s">
        <v>117</v>
      </c>
      <c r="U186" s="8" t="s">
        <v>290</v>
      </c>
      <c r="V186" s="8" t="s">
        <v>118</v>
      </c>
      <c r="W186" s="8"/>
      <c r="X186" s="8"/>
      <c r="Y186" s="8">
        <v>125</v>
      </c>
      <c r="Z186" s="8"/>
      <c r="AA186" s="8" t="s">
        <v>39</v>
      </c>
      <c r="AB186" s="8">
        <v>32</v>
      </c>
      <c r="AC186" s="13">
        <f t="shared" si="24"/>
        <v>44063</v>
      </c>
      <c r="AD186" s="13">
        <f t="shared" si="25"/>
        <v>44108</v>
      </c>
      <c r="AE186" s="8">
        <v>0</v>
      </c>
      <c r="AF186" s="8">
        <v>0</v>
      </c>
      <c r="AG186" s="8"/>
    </row>
    <row r="187" spans="1:33" hidden="1" x14ac:dyDescent="0.2">
      <c r="A187" s="8">
        <v>2503</v>
      </c>
      <c r="B187" s="9">
        <v>44058</v>
      </c>
      <c r="C187" s="8">
        <v>30012757</v>
      </c>
      <c r="D187" s="8" t="s">
        <v>62</v>
      </c>
      <c r="E187" s="8" t="s">
        <v>212</v>
      </c>
      <c r="F187" s="8" t="s">
        <v>213</v>
      </c>
      <c r="G187" s="8">
        <v>15018430</v>
      </c>
      <c r="H187" s="8">
        <v>802095110</v>
      </c>
      <c r="I187" s="8" t="s">
        <v>339</v>
      </c>
      <c r="J187" s="8" t="s">
        <v>58</v>
      </c>
      <c r="K187" s="8" t="s">
        <v>1300</v>
      </c>
      <c r="L187" s="8" t="s">
        <v>113</v>
      </c>
      <c r="M187" s="9">
        <v>44063</v>
      </c>
      <c r="N187" s="9">
        <v>44108</v>
      </c>
      <c r="O187" s="8">
        <v>60</v>
      </c>
      <c r="P187" s="8" t="s">
        <v>303</v>
      </c>
      <c r="Q187" s="8" t="s">
        <v>115</v>
      </c>
      <c r="R187" s="8" t="s">
        <v>338</v>
      </c>
      <c r="S187" s="8">
        <v>0</v>
      </c>
      <c r="T187" s="8" t="s">
        <v>117</v>
      </c>
      <c r="U187" s="8" t="s">
        <v>290</v>
      </c>
      <c r="V187" s="8" t="s">
        <v>118</v>
      </c>
      <c r="W187" s="8"/>
      <c r="X187" s="8"/>
      <c r="Y187" s="8">
        <v>25</v>
      </c>
      <c r="Z187" s="8"/>
      <c r="AA187" s="8" t="s">
        <v>39</v>
      </c>
      <c r="AB187" s="8">
        <v>32</v>
      </c>
      <c r="AC187" s="13">
        <f t="shared" si="24"/>
        <v>44063</v>
      </c>
      <c r="AD187" s="13">
        <f t="shared" si="25"/>
        <v>44108</v>
      </c>
      <c r="AE187" s="8">
        <v>0</v>
      </c>
      <c r="AF187" s="8">
        <v>0</v>
      </c>
      <c r="AG187" s="8"/>
    </row>
    <row r="188" spans="1:33" hidden="1" x14ac:dyDescent="0.2">
      <c r="A188" s="8">
        <v>2503</v>
      </c>
      <c r="B188" s="9">
        <v>44058</v>
      </c>
      <c r="C188" s="8">
        <v>30012757</v>
      </c>
      <c r="D188" s="8" t="s">
        <v>62</v>
      </c>
      <c r="E188" s="8" t="s">
        <v>212</v>
      </c>
      <c r="F188" s="8" t="s">
        <v>213</v>
      </c>
      <c r="G188" s="8">
        <v>15018431</v>
      </c>
      <c r="H188" s="8">
        <v>802095111</v>
      </c>
      <c r="I188" s="8" t="s">
        <v>340</v>
      </c>
      <c r="J188" s="8" t="s">
        <v>58</v>
      </c>
      <c r="K188" s="8" t="s">
        <v>1300</v>
      </c>
      <c r="L188" s="8" t="s">
        <v>113</v>
      </c>
      <c r="M188" s="9">
        <v>44063</v>
      </c>
      <c r="N188" s="9">
        <v>44108</v>
      </c>
      <c r="O188" s="8">
        <v>40</v>
      </c>
      <c r="P188" s="8" t="s">
        <v>303</v>
      </c>
      <c r="Q188" s="8" t="s">
        <v>115</v>
      </c>
      <c r="R188" s="8" t="s">
        <v>338</v>
      </c>
      <c r="S188" s="8">
        <v>0</v>
      </c>
      <c r="T188" s="8" t="s">
        <v>117</v>
      </c>
      <c r="U188" s="8" t="s">
        <v>290</v>
      </c>
      <c r="V188" s="8" t="s">
        <v>118</v>
      </c>
      <c r="W188" s="8"/>
      <c r="X188" s="8"/>
      <c r="Y188" s="8">
        <v>10</v>
      </c>
      <c r="Z188" s="8"/>
      <c r="AA188" s="8" t="s">
        <v>39</v>
      </c>
      <c r="AB188" s="8">
        <v>32</v>
      </c>
      <c r="AC188" s="13">
        <f t="shared" si="24"/>
        <v>44063</v>
      </c>
      <c r="AD188" s="13">
        <f t="shared" si="25"/>
        <v>44108</v>
      </c>
      <c r="AE188" s="8">
        <v>0</v>
      </c>
      <c r="AF188" s="8">
        <v>0</v>
      </c>
      <c r="AG188" s="8"/>
    </row>
    <row r="189" spans="1:33" hidden="1" x14ac:dyDescent="0.2">
      <c r="A189" s="8">
        <v>2503</v>
      </c>
      <c r="B189" s="9">
        <v>44079</v>
      </c>
      <c r="C189" s="8">
        <v>30012757</v>
      </c>
      <c r="D189" s="8" t="s">
        <v>152</v>
      </c>
      <c r="E189" s="8" t="s">
        <v>138</v>
      </c>
      <c r="F189" s="8" t="s">
        <v>265</v>
      </c>
      <c r="G189" s="8">
        <v>15018437</v>
      </c>
      <c r="H189" s="8">
        <v>802095120</v>
      </c>
      <c r="I189" s="8" t="s">
        <v>1383</v>
      </c>
      <c r="J189" s="8" t="s">
        <v>47</v>
      </c>
      <c r="K189" s="8" t="s">
        <v>1300</v>
      </c>
      <c r="L189" s="8" t="s">
        <v>113</v>
      </c>
      <c r="M189" s="9">
        <v>44063</v>
      </c>
      <c r="N189" s="9">
        <v>44101</v>
      </c>
      <c r="O189" s="8">
        <v>113.77200000000001</v>
      </c>
      <c r="P189" s="8" t="s">
        <v>303</v>
      </c>
      <c r="Q189" s="8" t="s">
        <v>206</v>
      </c>
      <c r="R189" s="8" t="s">
        <v>266</v>
      </c>
      <c r="S189" s="8">
        <v>0</v>
      </c>
      <c r="T189" s="8" t="s">
        <v>117</v>
      </c>
      <c r="U189" s="8" t="s">
        <v>290</v>
      </c>
      <c r="V189" s="8" t="s">
        <v>118</v>
      </c>
      <c r="W189" s="8"/>
      <c r="X189" s="8"/>
      <c r="Y189" s="8">
        <v>12</v>
      </c>
      <c r="Z189" s="8"/>
      <c r="AA189" s="8" t="s">
        <v>39</v>
      </c>
      <c r="AB189" s="8">
        <v>32</v>
      </c>
      <c r="AC189" s="13">
        <f t="shared" si="24"/>
        <v>44063</v>
      </c>
      <c r="AD189" s="13">
        <f t="shared" si="25"/>
        <v>44101</v>
      </c>
      <c r="AE189" s="8">
        <v>0</v>
      </c>
      <c r="AF189" s="8">
        <v>0</v>
      </c>
      <c r="AG189" s="8"/>
    </row>
    <row r="190" spans="1:33" hidden="1" x14ac:dyDescent="0.2">
      <c r="A190" s="8">
        <v>2503</v>
      </c>
      <c r="B190" s="9">
        <v>44079</v>
      </c>
      <c r="C190" s="8">
        <v>30012757</v>
      </c>
      <c r="D190" s="8" t="s">
        <v>152</v>
      </c>
      <c r="E190" s="8" t="s">
        <v>138</v>
      </c>
      <c r="F190" s="8" t="s">
        <v>265</v>
      </c>
      <c r="G190" s="8">
        <v>15018438</v>
      </c>
      <c r="H190" s="8">
        <v>802095121</v>
      </c>
      <c r="I190" s="8" t="s">
        <v>533</v>
      </c>
      <c r="J190" s="8" t="s">
        <v>47</v>
      </c>
      <c r="K190" s="8" t="s">
        <v>1300</v>
      </c>
      <c r="L190" s="8" t="s">
        <v>113</v>
      </c>
      <c r="M190" s="9">
        <v>44063</v>
      </c>
      <c r="N190" s="9">
        <v>44101</v>
      </c>
      <c r="O190" s="8">
        <v>199.12200000000001</v>
      </c>
      <c r="P190" s="8" t="s">
        <v>303</v>
      </c>
      <c r="Q190" s="8" t="s">
        <v>206</v>
      </c>
      <c r="R190" s="8" t="s">
        <v>266</v>
      </c>
      <c r="S190" s="8">
        <v>0</v>
      </c>
      <c r="T190" s="8" t="s">
        <v>117</v>
      </c>
      <c r="U190" s="8" t="s">
        <v>290</v>
      </c>
      <c r="V190" s="8" t="s">
        <v>118</v>
      </c>
      <c r="W190" s="8"/>
      <c r="X190" s="8"/>
      <c r="Y190" s="8">
        <v>21</v>
      </c>
      <c r="Z190" s="8"/>
      <c r="AA190" s="8" t="s">
        <v>39</v>
      </c>
      <c r="AB190" s="8">
        <v>32</v>
      </c>
      <c r="AC190" s="13">
        <f t="shared" si="24"/>
        <v>44063</v>
      </c>
      <c r="AD190" s="13">
        <f t="shared" si="25"/>
        <v>44101</v>
      </c>
      <c r="AE190" s="8">
        <v>0</v>
      </c>
      <c r="AF190" s="8">
        <v>0</v>
      </c>
      <c r="AG190" s="8"/>
    </row>
    <row r="191" spans="1:33" hidden="1" x14ac:dyDescent="0.2">
      <c r="A191" s="8">
        <v>2503</v>
      </c>
      <c r="B191" s="9">
        <v>44048</v>
      </c>
      <c r="C191" s="8">
        <v>30012757</v>
      </c>
      <c r="D191" s="8" t="s">
        <v>152</v>
      </c>
      <c r="E191" s="8" t="s">
        <v>138</v>
      </c>
      <c r="F191" s="8" t="s">
        <v>265</v>
      </c>
      <c r="G191" s="8">
        <v>15018482</v>
      </c>
      <c r="H191" s="8">
        <v>802095173</v>
      </c>
      <c r="I191" s="8" t="s">
        <v>1388</v>
      </c>
      <c r="J191" s="8" t="s">
        <v>47</v>
      </c>
      <c r="K191" s="8" t="s">
        <v>1300</v>
      </c>
      <c r="L191" s="8" t="s">
        <v>113</v>
      </c>
      <c r="M191" s="9">
        <v>44063</v>
      </c>
      <c r="N191" s="9">
        <v>44101</v>
      </c>
      <c r="O191" s="8">
        <v>50.77</v>
      </c>
      <c r="P191" s="8" t="s">
        <v>303</v>
      </c>
      <c r="Q191" s="8" t="s">
        <v>206</v>
      </c>
      <c r="R191" s="8" t="s">
        <v>266</v>
      </c>
      <c r="S191" s="8">
        <v>0</v>
      </c>
      <c r="T191" s="8" t="s">
        <v>117</v>
      </c>
      <c r="U191" s="8" t="s">
        <v>304</v>
      </c>
      <c r="V191" s="8" t="s">
        <v>118</v>
      </c>
      <c r="W191" s="8"/>
      <c r="X191" s="8"/>
      <c r="Y191" s="8">
        <v>5</v>
      </c>
      <c r="Z191" s="8"/>
      <c r="AA191" s="8" t="s">
        <v>39</v>
      </c>
      <c r="AB191" s="8">
        <v>32</v>
      </c>
      <c r="AC191" s="13">
        <f t="shared" si="24"/>
        <v>44063</v>
      </c>
      <c r="AD191" s="13">
        <f t="shared" si="25"/>
        <v>44101</v>
      </c>
      <c r="AE191" s="8">
        <v>0</v>
      </c>
      <c r="AF191" s="8">
        <v>0</v>
      </c>
      <c r="AG191" s="8"/>
    </row>
    <row r="192" spans="1:33" x14ac:dyDescent="0.2">
      <c r="A192" s="8">
        <v>2501</v>
      </c>
      <c r="B192" s="9">
        <v>44073</v>
      </c>
      <c r="C192" s="8">
        <v>30012763</v>
      </c>
      <c r="D192" s="8" t="s">
        <v>28</v>
      </c>
      <c r="E192" s="8" t="s">
        <v>29</v>
      </c>
      <c r="F192" s="8" t="s">
        <v>41</v>
      </c>
      <c r="G192" s="8">
        <v>15018340</v>
      </c>
      <c r="H192" s="8">
        <v>802094904</v>
      </c>
      <c r="I192" s="8" t="s">
        <v>112</v>
      </c>
      <c r="J192" s="8" t="s">
        <v>32</v>
      </c>
      <c r="K192" s="8" t="s">
        <v>1300</v>
      </c>
      <c r="L192" s="8" t="s">
        <v>113</v>
      </c>
      <c r="M192" s="9">
        <v>44071</v>
      </c>
      <c r="N192" s="9">
        <v>44108</v>
      </c>
      <c r="O192" s="8">
        <v>500</v>
      </c>
      <c r="P192" s="8" t="s">
        <v>114</v>
      </c>
      <c r="Q192" s="8" t="s">
        <v>115</v>
      </c>
      <c r="R192" s="8" t="s">
        <v>116</v>
      </c>
      <c r="S192" s="8">
        <v>0</v>
      </c>
      <c r="T192" s="8" t="s">
        <v>117</v>
      </c>
      <c r="U192" s="8" t="s">
        <v>290</v>
      </c>
      <c r="V192" s="8" t="s">
        <v>118</v>
      </c>
      <c r="W192" s="8"/>
      <c r="X192" s="8"/>
      <c r="Y192" s="8">
        <v>493</v>
      </c>
      <c r="Z192" s="8"/>
      <c r="AA192" s="8" t="s">
        <v>39</v>
      </c>
      <c r="AB192" s="8">
        <v>32</v>
      </c>
      <c r="AC192" s="13">
        <v>44072</v>
      </c>
      <c r="AD192" s="13">
        <f t="shared" si="25"/>
        <v>44108</v>
      </c>
      <c r="AE192" s="8">
        <v>1</v>
      </c>
      <c r="AF192" s="8"/>
      <c r="AG192" s="8" t="s">
        <v>1685</v>
      </c>
    </row>
    <row r="193" spans="1:33" x14ac:dyDescent="0.2">
      <c r="A193" s="8">
        <v>2501</v>
      </c>
      <c r="B193" s="9">
        <v>44048</v>
      </c>
      <c r="C193" s="8">
        <v>30012763</v>
      </c>
      <c r="D193" s="8" t="s">
        <v>91</v>
      </c>
      <c r="E193" s="8" t="s">
        <v>191</v>
      </c>
      <c r="F193" s="8" t="s">
        <v>192</v>
      </c>
      <c r="G193" s="8">
        <v>15018376</v>
      </c>
      <c r="H193" s="8">
        <v>802095014</v>
      </c>
      <c r="I193" s="8" t="s">
        <v>112</v>
      </c>
      <c r="J193" s="8" t="s">
        <v>32</v>
      </c>
      <c r="K193" s="8" t="s">
        <v>1300</v>
      </c>
      <c r="L193" s="8" t="s">
        <v>113</v>
      </c>
      <c r="M193" s="9">
        <v>44071</v>
      </c>
      <c r="N193" s="9">
        <v>44093</v>
      </c>
      <c r="O193" s="8">
        <v>250</v>
      </c>
      <c r="P193" s="8" t="s">
        <v>114</v>
      </c>
      <c r="Q193" s="8" t="s">
        <v>182</v>
      </c>
      <c r="R193" s="8" t="s">
        <v>183</v>
      </c>
      <c r="S193" s="8">
        <v>0</v>
      </c>
      <c r="T193" s="8" t="s">
        <v>117</v>
      </c>
      <c r="U193" s="8" t="s">
        <v>290</v>
      </c>
      <c r="V193" s="8" t="s">
        <v>118</v>
      </c>
      <c r="W193" s="8"/>
      <c r="X193" s="8"/>
      <c r="Y193" s="8">
        <v>247</v>
      </c>
      <c r="Z193" s="8"/>
      <c r="AA193" s="8" t="s">
        <v>39</v>
      </c>
      <c r="AB193" s="8">
        <v>32</v>
      </c>
      <c r="AC193" s="13">
        <v>44072</v>
      </c>
      <c r="AD193" s="13">
        <f t="shared" si="25"/>
        <v>44093</v>
      </c>
      <c r="AE193" s="8">
        <v>1</v>
      </c>
      <c r="AF193" s="8"/>
      <c r="AG193" s="8" t="s">
        <v>1685</v>
      </c>
    </row>
    <row r="194" spans="1:33" x14ac:dyDescent="0.2">
      <c r="A194" s="8">
        <v>2501</v>
      </c>
      <c r="B194" s="9">
        <v>44073</v>
      </c>
      <c r="C194" s="8">
        <v>30012763</v>
      </c>
      <c r="D194" s="8" t="s">
        <v>28</v>
      </c>
      <c r="E194" s="8" t="s">
        <v>129</v>
      </c>
      <c r="F194" s="8" t="s">
        <v>346</v>
      </c>
      <c r="G194" s="8">
        <v>15018407</v>
      </c>
      <c r="H194" s="8">
        <v>802095024</v>
      </c>
      <c r="I194" s="8" t="s">
        <v>112</v>
      </c>
      <c r="J194" s="8" t="s">
        <v>32</v>
      </c>
      <c r="K194" s="8" t="s">
        <v>1300</v>
      </c>
      <c r="L194" s="8" t="s">
        <v>113</v>
      </c>
      <c r="M194" s="9">
        <v>44071</v>
      </c>
      <c r="N194" s="9">
        <v>44090</v>
      </c>
      <c r="O194" s="8">
        <v>500</v>
      </c>
      <c r="P194" s="8" t="s">
        <v>114</v>
      </c>
      <c r="Q194" s="8" t="s">
        <v>85</v>
      </c>
      <c r="R194" s="8" t="s">
        <v>86</v>
      </c>
      <c r="S194" s="8">
        <v>0</v>
      </c>
      <c r="T194" s="8" t="s">
        <v>117</v>
      </c>
      <c r="U194" s="8" t="s">
        <v>290</v>
      </c>
      <c r="V194" s="8" t="s">
        <v>118</v>
      </c>
      <c r="W194" s="8"/>
      <c r="X194" s="8"/>
      <c r="Y194" s="8">
        <v>493</v>
      </c>
      <c r="Z194" s="8"/>
      <c r="AA194" s="8" t="s">
        <v>39</v>
      </c>
      <c r="AB194" s="8">
        <v>32</v>
      </c>
      <c r="AC194" s="13">
        <v>44072</v>
      </c>
      <c r="AD194" s="13">
        <f t="shared" si="25"/>
        <v>44090</v>
      </c>
      <c r="AE194" s="8">
        <v>1</v>
      </c>
      <c r="AF194" s="8"/>
      <c r="AG194" s="8" t="s">
        <v>1685</v>
      </c>
    </row>
    <row r="195" spans="1:33" x14ac:dyDescent="0.2">
      <c r="A195" s="8">
        <v>2501</v>
      </c>
      <c r="B195" s="9">
        <v>44073</v>
      </c>
      <c r="C195" s="8">
        <v>30012763</v>
      </c>
      <c r="D195" s="8" t="s">
        <v>28</v>
      </c>
      <c r="E195" s="8" t="s">
        <v>129</v>
      </c>
      <c r="F195" s="8" t="s">
        <v>346</v>
      </c>
      <c r="G195" s="8">
        <v>15018408</v>
      </c>
      <c r="H195" s="8">
        <v>802095025</v>
      </c>
      <c r="I195" s="8" t="s">
        <v>112</v>
      </c>
      <c r="J195" s="8" t="s">
        <v>32</v>
      </c>
      <c r="K195" s="8" t="s">
        <v>1300</v>
      </c>
      <c r="L195" s="8" t="s">
        <v>113</v>
      </c>
      <c r="M195" s="9">
        <v>44071</v>
      </c>
      <c r="N195" s="9">
        <v>44090</v>
      </c>
      <c r="O195" s="8">
        <v>500</v>
      </c>
      <c r="P195" s="8" t="s">
        <v>114</v>
      </c>
      <c r="Q195" s="8" t="s">
        <v>85</v>
      </c>
      <c r="R195" s="8" t="s">
        <v>86</v>
      </c>
      <c r="S195" s="8">
        <v>0</v>
      </c>
      <c r="T195" s="8" t="s">
        <v>117</v>
      </c>
      <c r="U195" s="8" t="s">
        <v>290</v>
      </c>
      <c r="V195" s="8" t="s">
        <v>118</v>
      </c>
      <c r="W195" s="8"/>
      <c r="X195" s="8"/>
      <c r="Y195" s="8">
        <v>493</v>
      </c>
      <c r="Z195" s="8"/>
      <c r="AA195" s="8" t="s">
        <v>39</v>
      </c>
      <c r="AB195" s="8">
        <v>32</v>
      </c>
      <c r="AC195" s="13">
        <v>44072</v>
      </c>
      <c r="AD195" s="13">
        <f t="shared" si="25"/>
        <v>44090</v>
      </c>
      <c r="AE195" s="8">
        <v>1</v>
      </c>
      <c r="AF195" s="8"/>
      <c r="AG195" s="8" t="s">
        <v>1685</v>
      </c>
    </row>
    <row r="196" spans="1:33" x14ac:dyDescent="0.2">
      <c r="A196" s="8">
        <v>2501</v>
      </c>
      <c r="B196" s="9">
        <v>44073</v>
      </c>
      <c r="C196" s="8">
        <v>30012763</v>
      </c>
      <c r="D196" s="8" t="s">
        <v>28</v>
      </c>
      <c r="E196" s="8" t="s">
        <v>129</v>
      </c>
      <c r="F196" s="8" t="s">
        <v>346</v>
      </c>
      <c r="G196" s="8">
        <v>15018409</v>
      </c>
      <c r="H196" s="8">
        <v>802095026</v>
      </c>
      <c r="I196" s="8" t="s">
        <v>112</v>
      </c>
      <c r="J196" s="8" t="s">
        <v>32</v>
      </c>
      <c r="K196" s="8" t="s">
        <v>1300</v>
      </c>
      <c r="L196" s="8" t="s">
        <v>113</v>
      </c>
      <c r="M196" s="9">
        <v>44071</v>
      </c>
      <c r="N196" s="9">
        <v>44090</v>
      </c>
      <c r="O196" s="8">
        <v>500</v>
      </c>
      <c r="P196" s="8" t="s">
        <v>114</v>
      </c>
      <c r="Q196" s="8" t="s">
        <v>85</v>
      </c>
      <c r="R196" s="8" t="s">
        <v>86</v>
      </c>
      <c r="S196" s="8">
        <v>0</v>
      </c>
      <c r="T196" s="8" t="s">
        <v>117</v>
      </c>
      <c r="U196" s="8" t="s">
        <v>290</v>
      </c>
      <c r="V196" s="8" t="s">
        <v>118</v>
      </c>
      <c r="W196" s="8"/>
      <c r="X196" s="8"/>
      <c r="Y196" s="8">
        <v>493</v>
      </c>
      <c r="Z196" s="8"/>
      <c r="AA196" s="8" t="s">
        <v>39</v>
      </c>
      <c r="AB196" s="8">
        <v>32</v>
      </c>
      <c r="AC196" s="13">
        <v>44072</v>
      </c>
      <c r="AD196" s="13">
        <f t="shared" si="25"/>
        <v>44090</v>
      </c>
      <c r="AE196" s="8">
        <v>1</v>
      </c>
      <c r="AF196" s="8"/>
      <c r="AG196" s="8" t="s">
        <v>1685</v>
      </c>
    </row>
    <row r="197" spans="1:33" x14ac:dyDescent="0.2">
      <c r="A197" s="8">
        <v>2501</v>
      </c>
      <c r="B197" s="9">
        <v>44073</v>
      </c>
      <c r="C197" s="8">
        <v>30012763</v>
      </c>
      <c r="D197" s="8" t="s">
        <v>28</v>
      </c>
      <c r="E197" s="8" t="s">
        <v>129</v>
      </c>
      <c r="F197" s="8" t="s">
        <v>130</v>
      </c>
      <c r="G197" s="8">
        <v>15018411</v>
      </c>
      <c r="H197" s="8">
        <v>802095027</v>
      </c>
      <c r="I197" s="8" t="s">
        <v>112</v>
      </c>
      <c r="J197" s="8" t="s">
        <v>32</v>
      </c>
      <c r="K197" s="8" t="s">
        <v>1300</v>
      </c>
      <c r="L197" s="8" t="s">
        <v>113</v>
      </c>
      <c r="M197" s="9">
        <v>44071</v>
      </c>
      <c r="N197" s="9">
        <v>44090</v>
      </c>
      <c r="O197" s="8">
        <v>500</v>
      </c>
      <c r="P197" s="8" t="s">
        <v>114</v>
      </c>
      <c r="Q197" s="8" t="s">
        <v>85</v>
      </c>
      <c r="R197" s="8" t="s">
        <v>86</v>
      </c>
      <c r="S197" s="8">
        <v>0</v>
      </c>
      <c r="T197" s="8" t="s">
        <v>117</v>
      </c>
      <c r="U197" s="8" t="s">
        <v>290</v>
      </c>
      <c r="V197" s="8" t="s">
        <v>118</v>
      </c>
      <c r="W197" s="8"/>
      <c r="X197" s="8"/>
      <c r="Y197" s="8">
        <v>493</v>
      </c>
      <c r="Z197" s="8"/>
      <c r="AA197" s="8" t="s">
        <v>39</v>
      </c>
      <c r="AB197" s="8">
        <v>32</v>
      </c>
      <c r="AC197" s="13">
        <v>44072</v>
      </c>
      <c r="AD197" s="13">
        <f t="shared" si="25"/>
        <v>44090</v>
      </c>
      <c r="AE197" s="8">
        <v>1</v>
      </c>
      <c r="AF197" s="8"/>
      <c r="AG197" s="8" t="s">
        <v>1685</v>
      </c>
    </row>
    <row r="198" spans="1:33" x14ac:dyDescent="0.2">
      <c r="A198" s="8">
        <v>2501</v>
      </c>
      <c r="B198" s="9">
        <v>44073</v>
      </c>
      <c r="C198" s="8">
        <v>30012763</v>
      </c>
      <c r="D198" s="8" t="s">
        <v>28</v>
      </c>
      <c r="E198" s="8" t="s">
        <v>129</v>
      </c>
      <c r="F198" s="8" t="s">
        <v>130</v>
      </c>
      <c r="G198" s="8">
        <v>15018416</v>
      </c>
      <c r="H198" s="8">
        <v>802095051</v>
      </c>
      <c r="I198" s="8" t="s">
        <v>112</v>
      </c>
      <c r="J198" s="8" t="s">
        <v>32</v>
      </c>
      <c r="K198" s="8" t="s">
        <v>1300</v>
      </c>
      <c r="L198" s="8" t="s">
        <v>113</v>
      </c>
      <c r="M198" s="9">
        <v>44071</v>
      </c>
      <c r="N198" s="9">
        <v>44090</v>
      </c>
      <c r="O198" s="8">
        <v>500</v>
      </c>
      <c r="P198" s="8" t="s">
        <v>114</v>
      </c>
      <c r="Q198" s="8" t="s">
        <v>85</v>
      </c>
      <c r="R198" s="8" t="s">
        <v>86</v>
      </c>
      <c r="S198" s="8">
        <v>0</v>
      </c>
      <c r="T198" s="8" t="s">
        <v>117</v>
      </c>
      <c r="U198" s="8" t="s">
        <v>290</v>
      </c>
      <c r="V198" s="8" t="s">
        <v>118</v>
      </c>
      <c r="W198" s="8"/>
      <c r="X198" s="8"/>
      <c r="Y198" s="8">
        <v>493</v>
      </c>
      <c r="Z198" s="8"/>
      <c r="AA198" s="8" t="s">
        <v>39</v>
      </c>
      <c r="AB198" s="8">
        <v>32</v>
      </c>
      <c r="AC198" s="13">
        <v>44072</v>
      </c>
      <c r="AD198" s="13">
        <f t="shared" si="25"/>
        <v>44090</v>
      </c>
      <c r="AE198" s="8">
        <v>1</v>
      </c>
      <c r="AF198" s="8"/>
      <c r="AG198" s="8" t="s">
        <v>1685</v>
      </c>
    </row>
    <row r="199" spans="1:33" x14ac:dyDescent="0.2">
      <c r="A199" s="8">
        <v>2501</v>
      </c>
      <c r="B199" s="9">
        <v>44073</v>
      </c>
      <c r="C199" s="8">
        <v>30012763</v>
      </c>
      <c r="D199" s="8" t="s">
        <v>28</v>
      </c>
      <c r="E199" s="8" t="s">
        <v>129</v>
      </c>
      <c r="F199" s="8" t="s">
        <v>130</v>
      </c>
      <c r="G199" s="8">
        <v>15018417</v>
      </c>
      <c r="H199" s="8">
        <v>802095054</v>
      </c>
      <c r="I199" s="8" t="s">
        <v>112</v>
      </c>
      <c r="J199" s="8" t="s">
        <v>32</v>
      </c>
      <c r="K199" s="8" t="s">
        <v>1300</v>
      </c>
      <c r="L199" s="8" t="s">
        <v>113</v>
      </c>
      <c r="M199" s="9">
        <v>44071</v>
      </c>
      <c r="N199" s="9">
        <v>44087</v>
      </c>
      <c r="O199" s="8">
        <v>500</v>
      </c>
      <c r="P199" s="8" t="s">
        <v>114</v>
      </c>
      <c r="Q199" s="8" t="s">
        <v>131</v>
      </c>
      <c r="R199" s="8" t="s">
        <v>132</v>
      </c>
      <c r="S199" s="8">
        <v>0</v>
      </c>
      <c r="T199" s="8" t="s">
        <v>117</v>
      </c>
      <c r="U199" s="8" t="s">
        <v>290</v>
      </c>
      <c r="V199" s="8" t="s">
        <v>118</v>
      </c>
      <c r="W199" s="8"/>
      <c r="X199" s="8"/>
      <c r="Y199" s="8">
        <v>493</v>
      </c>
      <c r="Z199" s="8"/>
      <c r="AA199" s="8" t="s">
        <v>39</v>
      </c>
      <c r="AB199" s="8">
        <v>32</v>
      </c>
      <c r="AC199" s="13">
        <v>44072</v>
      </c>
      <c r="AD199" s="13">
        <f t="shared" si="25"/>
        <v>44087</v>
      </c>
      <c r="AE199" s="8">
        <v>1</v>
      </c>
      <c r="AF199" s="8"/>
      <c r="AG199" s="8" t="s">
        <v>1685</v>
      </c>
    </row>
    <row r="200" spans="1:33" x14ac:dyDescent="0.2">
      <c r="A200" s="8">
        <v>2501</v>
      </c>
      <c r="B200" s="9">
        <v>44073</v>
      </c>
      <c r="C200" s="8">
        <v>30012763</v>
      </c>
      <c r="D200" s="8" t="s">
        <v>28</v>
      </c>
      <c r="E200" s="8" t="s">
        <v>129</v>
      </c>
      <c r="F200" s="8" t="s">
        <v>130</v>
      </c>
      <c r="G200" s="8">
        <v>15018418</v>
      </c>
      <c r="H200" s="8">
        <v>802095055</v>
      </c>
      <c r="I200" s="8" t="s">
        <v>112</v>
      </c>
      <c r="J200" s="8" t="s">
        <v>32</v>
      </c>
      <c r="K200" s="8" t="s">
        <v>1300</v>
      </c>
      <c r="L200" s="8" t="s">
        <v>113</v>
      </c>
      <c r="M200" s="9">
        <v>44071</v>
      </c>
      <c r="N200" s="9">
        <v>44087</v>
      </c>
      <c r="O200" s="8">
        <v>500</v>
      </c>
      <c r="P200" s="8" t="s">
        <v>114</v>
      </c>
      <c r="Q200" s="8" t="s">
        <v>131</v>
      </c>
      <c r="R200" s="8" t="s">
        <v>132</v>
      </c>
      <c r="S200" s="8">
        <v>0</v>
      </c>
      <c r="T200" s="8" t="s">
        <v>117</v>
      </c>
      <c r="U200" s="8" t="s">
        <v>290</v>
      </c>
      <c r="V200" s="8" t="s">
        <v>118</v>
      </c>
      <c r="W200" s="8"/>
      <c r="X200" s="8"/>
      <c r="Y200" s="8">
        <v>493</v>
      </c>
      <c r="Z200" s="8"/>
      <c r="AA200" s="8" t="s">
        <v>39</v>
      </c>
      <c r="AB200" s="8">
        <v>32</v>
      </c>
      <c r="AC200" s="13">
        <v>44072</v>
      </c>
      <c r="AD200" s="13">
        <f t="shared" si="25"/>
        <v>44087</v>
      </c>
      <c r="AE200" s="8">
        <v>1</v>
      </c>
      <c r="AF200" s="8"/>
      <c r="AG200" s="8" t="s">
        <v>1685</v>
      </c>
    </row>
    <row r="201" spans="1:33" x14ac:dyDescent="0.2">
      <c r="A201" s="8">
        <v>2501</v>
      </c>
      <c r="B201" s="9">
        <v>44073</v>
      </c>
      <c r="C201" s="8">
        <v>30012763</v>
      </c>
      <c r="D201" s="8" t="s">
        <v>28</v>
      </c>
      <c r="E201" s="8" t="s">
        <v>129</v>
      </c>
      <c r="F201" s="8" t="s">
        <v>130</v>
      </c>
      <c r="G201" s="8">
        <v>15018419</v>
      </c>
      <c r="H201" s="8">
        <v>802095056</v>
      </c>
      <c r="I201" s="8" t="s">
        <v>112</v>
      </c>
      <c r="J201" s="8" t="s">
        <v>32</v>
      </c>
      <c r="K201" s="8" t="s">
        <v>1300</v>
      </c>
      <c r="L201" s="8" t="s">
        <v>113</v>
      </c>
      <c r="M201" s="9">
        <v>44071</v>
      </c>
      <c r="N201" s="9">
        <v>44087</v>
      </c>
      <c r="O201" s="8">
        <v>500</v>
      </c>
      <c r="P201" s="8" t="s">
        <v>114</v>
      </c>
      <c r="Q201" s="8" t="s">
        <v>131</v>
      </c>
      <c r="R201" s="8" t="s">
        <v>132</v>
      </c>
      <c r="S201" s="8">
        <v>0</v>
      </c>
      <c r="T201" s="8" t="s">
        <v>117</v>
      </c>
      <c r="U201" s="8" t="s">
        <v>290</v>
      </c>
      <c r="V201" s="8" t="s">
        <v>118</v>
      </c>
      <c r="W201" s="8"/>
      <c r="X201" s="8"/>
      <c r="Y201" s="8">
        <v>493</v>
      </c>
      <c r="Z201" s="8"/>
      <c r="AA201" s="8" t="s">
        <v>39</v>
      </c>
      <c r="AB201" s="8">
        <v>32</v>
      </c>
      <c r="AC201" s="13">
        <v>44072</v>
      </c>
      <c r="AD201" s="13">
        <f t="shared" si="25"/>
        <v>44087</v>
      </c>
      <c r="AE201" s="8">
        <v>1</v>
      </c>
      <c r="AF201" s="8"/>
      <c r="AG201" s="8" t="s">
        <v>1685</v>
      </c>
    </row>
    <row r="202" spans="1:33" x14ac:dyDescent="0.2">
      <c r="A202" s="8">
        <v>2501</v>
      </c>
      <c r="B202" s="9">
        <v>44073</v>
      </c>
      <c r="C202" s="8">
        <v>30012763</v>
      </c>
      <c r="D202" s="8" t="s">
        <v>28</v>
      </c>
      <c r="E202" s="8" t="s">
        <v>129</v>
      </c>
      <c r="F202" s="8" t="s">
        <v>130</v>
      </c>
      <c r="G202" s="8">
        <v>15018420</v>
      </c>
      <c r="H202" s="8">
        <v>802095057</v>
      </c>
      <c r="I202" s="8" t="s">
        <v>112</v>
      </c>
      <c r="J202" s="8" t="s">
        <v>32</v>
      </c>
      <c r="K202" s="8" t="s">
        <v>1300</v>
      </c>
      <c r="L202" s="8" t="s">
        <v>113</v>
      </c>
      <c r="M202" s="9">
        <v>44071</v>
      </c>
      <c r="N202" s="9">
        <v>44087</v>
      </c>
      <c r="O202" s="8">
        <v>500</v>
      </c>
      <c r="P202" s="8" t="s">
        <v>114</v>
      </c>
      <c r="Q202" s="8" t="s">
        <v>131</v>
      </c>
      <c r="R202" s="8" t="s">
        <v>132</v>
      </c>
      <c r="S202" s="8">
        <v>0</v>
      </c>
      <c r="T202" s="8" t="s">
        <v>117</v>
      </c>
      <c r="U202" s="8" t="s">
        <v>290</v>
      </c>
      <c r="V202" s="8" t="s">
        <v>118</v>
      </c>
      <c r="W202" s="8"/>
      <c r="X202" s="8"/>
      <c r="Y202" s="8">
        <v>493</v>
      </c>
      <c r="Z202" s="8"/>
      <c r="AA202" s="8" t="s">
        <v>39</v>
      </c>
      <c r="AB202" s="8">
        <v>32</v>
      </c>
      <c r="AC202" s="13">
        <v>44072</v>
      </c>
      <c r="AD202" s="13">
        <f t="shared" si="25"/>
        <v>44087</v>
      </c>
      <c r="AE202" s="8">
        <v>1</v>
      </c>
      <c r="AF202" s="8"/>
      <c r="AG202" s="8" t="s">
        <v>1685</v>
      </c>
    </row>
    <row r="203" spans="1:33" x14ac:dyDescent="0.2">
      <c r="A203" s="8">
        <v>2501</v>
      </c>
      <c r="B203" s="9">
        <v>44073</v>
      </c>
      <c r="C203" s="8">
        <v>30012763</v>
      </c>
      <c r="D203" s="8" t="s">
        <v>28</v>
      </c>
      <c r="E203" s="8" t="s">
        <v>129</v>
      </c>
      <c r="F203" s="8" t="s">
        <v>130</v>
      </c>
      <c r="G203" s="8">
        <v>15018421</v>
      </c>
      <c r="H203" s="8">
        <v>802095058</v>
      </c>
      <c r="I203" s="8" t="s">
        <v>112</v>
      </c>
      <c r="J203" s="8" t="s">
        <v>32</v>
      </c>
      <c r="K203" s="8" t="s">
        <v>1300</v>
      </c>
      <c r="L203" s="8" t="s">
        <v>113</v>
      </c>
      <c r="M203" s="9">
        <v>44071</v>
      </c>
      <c r="N203" s="9">
        <v>44087</v>
      </c>
      <c r="O203" s="8">
        <v>500</v>
      </c>
      <c r="P203" s="8" t="s">
        <v>114</v>
      </c>
      <c r="Q203" s="8" t="s">
        <v>131</v>
      </c>
      <c r="R203" s="8" t="s">
        <v>132</v>
      </c>
      <c r="S203" s="8">
        <v>0</v>
      </c>
      <c r="T203" s="8" t="s">
        <v>117</v>
      </c>
      <c r="U203" s="8" t="s">
        <v>290</v>
      </c>
      <c r="V203" s="8" t="s">
        <v>118</v>
      </c>
      <c r="W203" s="8"/>
      <c r="X203" s="8"/>
      <c r="Y203" s="8">
        <v>493</v>
      </c>
      <c r="Z203" s="8"/>
      <c r="AA203" s="8" t="s">
        <v>39</v>
      </c>
      <c r="AB203" s="8">
        <v>32</v>
      </c>
      <c r="AC203" s="13">
        <v>44072</v>
      </c>
      <c r="AD203" s="13">
        <f t="shared" si="25"/>
        <v>44087</v>
      </c>
      <c r="AE203" s="8">
        <v>1</v>
      </c>
      <c r="AF203" s="8"/>
      <c r="AG203" s="8" t="s">
        <v>1685</v>
      </c>
    </row>
    <row r="204" spans="1:33" x14ac:dyDescent="0.2">
      <c r="A204" s="8">
        <v>2501</v>
      </c>
      <c r="B204" s="9">
        <v>44073</v>
      </c>
      <c r="C204" s="8">
        <v>30012858</v>
      </c>
      <c r="D204" s="8" t="s">
        <v>28</v>
      </c>
      <c r="E204" s="8" t="s">
        <v>129</v>
      </c>
      <c r="F204" s="8" t="s">
        <v>358</v>
      </c>
      <c r="G204" s="8">
        <v>15018331</v>
      </c>
      <c r="H204" s="8">
        <v>802094896</v>
      </c>
      <c r="I204" s="8" t="s">
        <v>359</v>
      </c>
      <c r="J204" s="8" t="s">
        <v>58</v>
      </c>
      <c r="K204" s="8" t="s">
        <v>1556</v>
      </c>
      <c r="L204" s="8" t="s">
        <v>1557</v>
      </c>
      <c r="M204" s="9">
        <v>44068</v>
      </c>
      <c r="N204" s="9">
        <v>44098</v>
      </c>
      <c r="O204" s="8">
        <v>153.714</v>
      </c>
      <c r="P204" s="8" t="s">
        <v>33</v>
      </c>
      <c r="Q204" s="8" t="s">
        <v>263</v>
      </c>
      <c r="R204" s="8" t="s">
        <v>360</v>
      </c>
      <c r="S204" s="8">
        <v>6</v>
      </c>
      <c r="T204" s="8" t="s">
        <v>72</v>
      </c>
      <c r="U204" s="8" t="s">
        <v>290</v>
      </c>
      <c r="V204" s="8" t="s">
        <v>88</v>
      </c>
      <c r="W204" s="8" t="s">
        <v>1558</v>
      </c>
      <c r="X204" s="8"/>
      <c r="Y204" s="8">
        <v>66</v>
      </c>
      <c r="Z204" s="8" t="s">
        <v>1559</v>
      </c>
      <c r="AA204" s="8" t="s">
        <v>39</v>
      </c>
      <c r="AB204" s="8">
        <v>31</v>
      </c>
      <c r="AC204" s="13">
        <v>44068</v>
      </c>
      <c r="AD204" s="13">
        <v>44098</v>
      </c>
      <c r="AE204" s="8">
        <v>0</v>
      </c>
      <c r="AF204" s="8">
        <v>0</v>
      </c>
      <c r="AG204" s="8"/>
    </row>
    <row r="205" spans="1:33" x14ac:dyDescent="0.2">
      <c r="A205" s="8">
        <v>2501</v>
      </c>
      <c r="B205" s="9">
        <v>44073</v>
      </c>
      <c r="C205" s="8">
        <v>30012858</v>
      </c>
      <c r="D205" s="8" t="s">
        <v>28</v>
      </c>
      <c r="E205" s="8" t="s">
        <v>129</v>
      </c>
      <c r="F205" s="8" t="s">
        <v>358</v>
      </c>
      <c r="G205" s="8">
        <v>15018333</v>
      </c>
      <c r="H205" s="8">
        <v>802094898</v>
      </c>
      <c r="I205" s="8" t="s">
        <v>361</v>
      </c>
      <c r="J205" s="8" t="s">
        <v>58</v>
      </c>
      <c r="K205" s="8" t="s">
        <v>1556</v>
      </c>
      <c r="L205" s="8" t="s">
        <v>1557</v>
      </c>
      <c r="M205" s="9">
        <v>44068</v>
      </c>
      <c r="N205" s="9">
        <v>44098</v>
      </c>
      <c r="O205" s="8">
        <v>104.72</v>
      </c>
      <c r="P205" s="8" t="s">
        <v>33</v>
      </c>
      <c r="Q205" s="8" t="s">
        <v>263</v>
      </c>
      <c r="R205" s="8" t="s">
        <v>360</v>
      </c>
      <c r="S205" s="8">
        <v>4</v>
      </c>
      <c r="T205" s="8" t="s">
        <v>362</v>
      </c>
      <c r="U205" s="8" t="s">
        <v>290</v>
      </c>
      <c r="V205" s="8" t="s">
        <v>88</v>
      </c>
      <c r="W205" s="8" t="s">
        <v>1562</v>
      </c>
      <c r="X205" s="8"/>
      <c r="Y205" s="8">
        <v>44</v>
      </c>
      <c r="Z205" s="8" t="s">
        <v>1559</v>
      </c>
      <c r="AA205" s="8" t="s">
        <v>39</v>
      </c>
      <c r="AB205" s="8">
        <v>31</v>
      </c>
      <c r="AC205" s="13">
        <v>44068</v>
      </c>
      <c r="AD205" s="13">
        <v>44098</v>
      </c>
      <c r="AE205" s="8">
        <v>0</v>
      </c>
      <c r="AF205" s="8">
        <v>0</v>
      </c>
      <c r="AG205" s="8"/>
    </row>
    <row r="206" spans="1:33" x14ac:dyDescent="0.2">
      <c r="A206" s="8">
        <v>2501</v>
      </c>
      <c r="B206" s="9">
        <v>44073</v>
      </c>
      <c r="C206" s="8">
        <v>30012858</v>
      </c>
      <c r="D206" s="8" t="s">
        <v>66</v>
      </c>
      <c r="E206" s="8" t="s">
        <v>261</v>
      </c>
      <c r="F206" s="8" t="s">
        <v>262</v>
      </c>
      <c r="G206" s="8">
        <v>15018503</v>
      </c>
      <c r="H206" s="8">
        <v>802095188</v>
      </c>
      <c r="I206" s="8" t="s">
        <v>520</v>
      </c>
      <c r="J206" s="8" t="s">
        <v>58</v>
      </c>
      <c r="K206" s="8" t="s">
        <v>1556</v>
      </c>
      <c r="L206" s="8" t="s">
        <v>1557</v>
      </c>
      <c r="M206" s="9">
        <v>44068</v>
      </c>
      <c r="N206" s="9">
        <v>44098</v>
      </c>
      <c r="O206" s="8">
        <v>52.514000000000003</v>
      </c>
      <c r="P206" s="8" t="s">
        <v>33</v>
      </c>
      <c r="Q206" s="8" t="s">
        <v>263</v>
      </c>
      <c r="R206" s="8" t="s">
        <v>264</v>
      </c>
      <c r="S206" s="8">
        <v>2</v>
      </c>
      <c r="T206" s="8" t="s">
        <v>362</v>
      </c>
      <c r="U206" s="8" t="s">
        <v>290</v>
      </c>
      <c r="V206" s="8" t="s">
        <v>88</v>
      </c>
      <c r="W206" s="8" t="s">
        <v>1565</v>
      </c>
      <c r="X206" s="8"/>
      <c r="Y206" s="8">
        <v>22</v>
      </c>
      <c r="Z206" s="8" t="s">
        <v>1566</v>
      </c>
      <c r="AA206" s="8" t="s">
        <v>39</v>
      </c>
      <c r="AB206" s="8">
        <v>31</v>
      </c>
      <c r="AC206" s="13">
        <v>44068</v>
      </c>
      <c r="AD206" s="13">
        <v>44098</v>
      </c>
      <c r="AE206" s="8">
        <v>0</v>
      </c>
      <c r="AF206" s="8">
        <v>0</v>
      </c>
      <c r="AG206" s="8"/>
    </row>
    <row r="207" spans="1:33" hidden="1" x14ac:dyDescent="0.2">
      <c r="A207" s="8">
        <v>2503</v>
      </c>
      <c r="B207" s="9">
        <v>44048</v>
      </c>
      <c r="C207" s="8">
        <v>30012750</v>
      </c>
      <c r="D207" s="8" t="s">
        <v>219</v>
      </c>
      <c r="E207" s="8" t="s">
        <v>220</v>
      </c>
      <c r="F207" s="8" t="s">
        <v>221</v>
      </c>
      <c r="G207" s="8">
        <v>15015842</v>
      </c>
      <c r="H207" s="8">
        <v>802094235</v>
      </c>
      <c r="I207" s="8" t="s">
        <v>222</v>
      </c>
      <c r="J207" s="8" t="s">
        <v>223</v>
      </c>
      <c r="K207" s="8" t="s">
        <v>734</v>
      </c>
      <c r="L207" s="8" t="s">
        <v>838</v>
      </c>
      <c r="M207" s="9">
        <v>44048</v>
      </c>
      <c r="N207" s="9">
        <v>44098</v>
      </c>
      <c r="O207" s="8">
        <v>128.55000000000001</v>
      </c>
      <c r="P207" s="8" t="s">
        <v>224</v>
      </c>
      <c r="Q207" s="8" t="s">
        <v>225</v>
      </c>
      <c r="R207" s="8" t="s">
        <v>226</v>
      </c>
      <c r="S207" s="8">
        <v>5</v>
      </c>
      <c r="T207" s="8" t="s">
        <v>87</v>
      </c>
      <c r="U207" s="8" t="s">
        <v>37</v>
      </c>
      <c r="V207" s="8" t="s">
        <v>88</v>
      </c>
      <c r="W207" s="8" t="s">
        <v>839</v>
      </c>
      <c r="X207" s="8"/>
      <c r="Y207" s="8">
        <v>125</v>
      </c>
      <c r="Z207" s="8"/>
      <c r="AA207" s="8" t="s">
        <v>227</v>
      </c>
      <c r="AB207" s="8">
        <v>31</v>
      </c>
      <c r="AC207" s="13">
        <v>44048</v>
      </c>
      <c r="AD207" s="13">
        <v>44098</v>
      </c>
      <c r="AE207" s="8">
        <v>0</v>
      </c>
      <c r="AF207" s="8">
        <v>0</v>
      </c>
      <c r="AG207" s="8"/>
    </row>
    <row r="208" spans="1:33" hidden="1" x14ac:dyDescent="0.2">
      <c r="A208" s="8">
        <v>2503</v>
      </c>
      <c r="B208" s="9">
        <v>44073</v>
      </c>
      <c r="C208" s="8">
        <v>30012750</v>
      </c>
      <c r="D208" s="8" t="s">
        <v>91</v>
      </c>
      <c r="E208" s="8" t="s">
        <v>228</v>
      </c>
      <c r="F208" s="8" t="s">
        <v>229</v>
      </c>
      <c r="G208" s="8">
        <v>15018183</v>
      </c>
      <c r="H208" s="8">
        <v>802094707</v>
      </c>
      <c r="I208" s="8" t="s">
        <v>230</v>
      </c>
      <c r="J208" s="8" t="s">
        <v>223</v>
      </c>
      <c r="K208" s="8" t="s">
        <v>734</v>
      </c>
      <c r="L208" s="8" t="s">
        <v>838</v>
      </c>
      <c r="M208" s="9">
        <v>44048</v>
      </c>
      <c r="N208" s="9">
        <v>44082</v>
      </c>
      <c r="O208" s="8">
        <v>102.93</v>
      </c>
      <c r="P208" s="8" t="s">
        <v>224</v>
      </c>
      <c r="Q208" s="8" t="s">
        <v>231</v>
      </c>
      <c r="R208" s="8" t="s">
        <v>232</v>
      </c>
      <c r="S208" s="8">
        <v>4</v>
      </c>
      <c r="T208" s="8" t="s">
        <v>87</v>
      </c>
      <c r="U208" s="8" t="s">
        <v>37</v>
      </c>
      <c r="V208" s="8" t="s">
        <v>88</v>
      </c>
      <c r="W208" s="8" t="s">
        <v>843</v>
      </c>
      <c r="X208" s="8"/>
      <c r="Y208" s="8">
        <v>100</v>
      </c>
      <c r="Z208" s="8" t="s">
        <v>519</v>
      </c>
      <c r="AA208" s="8" t="s">
        <v>39</v>
      </c>
      <c r="AB208" s="8">
        <v>31</v>
      </c>
      <c r="AC208" s="13">
        <f t="shared" ref="AC208:AC225" si="26">M208</f>
        <v>44048</v>
      </c>
      <c r="AD208" s="13">
        <f t="shared" ref="AD208:AD226" si="27">N208</f>
        <v>44082</v>
      </c>
      <c r="AE208" s="8">
        <v>0</v>
      </c>
      <c r="AF208" s="8">
        <v>0</v>
      </c>
      <c r="AG208" s="8"/>
    </row>
    <row r="209" spans="1:33" hidden="1" x14ac:dyDescent="0.2">
      <c r="A209" s="8">
        <v>2503</v>
      </c>
      <c r="B209" s="9">
        <v>44048</v>
      </c>
      <c r="C209" s="8">
        <v>30012750</v>
      </c>
      <c r="D209" s="8" t="s">
        <v>137</v>
      </c>
      <c r="E209" s="8" t="s">
        <v>138</v>
      </c>
      <c r="F209" s="8" t="s">
        <v>139</v>
      </c>
      <c r="G209" s="8">
        <v>15018232</v>
      </c>
      <c r="H209" s="8">
        <v>802094776</v>
      </c>
      <c r="I209" s="8" t="s">
        <v>846</v>
      </c>
      <c r="J209" s="8" t="s">
        <v>32</v>
      </c>
      <c r="K209" s="8" t="s">
        <v>734</v>
      </c>
      <c r="L209" s="8" t="s">
        <v>838</v>
      </c>
      <c r="M209" s="9">
        <v>44048</v>
      </c>
      <c r="N209" s="9">
        <v>44079</v>
      </c>
      <c r="O209" s="8">
        <v>488.863</v>
      </c>
      <c r="P209" s="8" t="s">
        <v>224</v>
      </c>
      <c r="Q209" s="8" t="s">
        <v>34</v>
      </c>
      <c r="R209" s="8" t="s">
        <v>35</v>
      </c>
      <c r="S209" s="8">
        <v>25</v>
      </c>
      <c r="T209" s="8" t="s">
        <v>87</v>
      </c>
      <c r="U209" s="8" t="s">
        <v>37</v>
      </c>
      <c r="V209" s="8" t="s">
        <v>88</v>
      </c>
      <c r="W209" s="8" t="s">
        <v>847</v>
      </c>
      <c r="X209" s="8"/>
      <c r="Y209" s="8">
        <v>475</v>
      </c>
      <c r="Z209" s="8"/>
      <c r="AA209" s="8" t="s">
        <v>39</v>
      </c>
      <c r="AB209" s="8">
        <v>31</v>
      </c>
      <c r="AC209" s="13">
        <f t="shared" si="26"/>
        <v>44048</v>
      </c>
      <c r="AD209" s="13">
        <f t="shared" si="27"/>
        <v>44079</v>
      </c>
      <c r="AE209" s="8">
        <v>0</v>
      </c>
      <c r="AF209" s="8">
        <v>0</v>
      </c>
      <c r="AG209" s="8"/>
    </row>
    <row r="210" spans="1:33" hidden="1" x14ac:dyDescent="0.2">
      <c r="A210" s="8">
        <v>2503</v>
      </c>
      <c r="B210" s="9">
        <v>44053</v>
      </c>
      <c r="C210" s="8">
        <v>30012750</v>
      </c>
      <c r="D210" s="8" t="s">
        <v>137</v>
      </c>
      <c r="E210" s="8" t="s">
        <v>138</v>
      </c>
      <c r="F210" s="8" t="s">
        <v>139</v>
      </c>
      <c r="G210" s="8">
        <v>15018233</v>
      </c>
      <c r="H210" s="8">
        <v>802094777</v>
      </c>
      <c r="I210" s="8" t="s">
        <v>846</v>
      </c>
      <c r="J210" s="8" t="s">
        <v>32</v>
      </c>
      <c r="K210" s="8" t="s">
        <v>734</v>
      </c>
      <c r="L210" s="8" t="s">
        <v>838</v>
      </c>
      <c r="M210" s="9">
        <v>44048</v>
      </c>
      <c r="N210" s="9">
        <v>44079</v>
      </c>
      <c r="O210" s="8">
        <v>508.589</v>
      </c>
      <c r="P210" s="8" t="s">
        <v>224</v>
      </c>
      <c r="Q210" s="8" t="s">
        <v>34</v>
      </c>
      <c r="R210" s="8" t="s">
        <v>35</v>
      </c>
      <c r="S210" s="8">
        <v>26</v>
      </c>
      <c r="T210" s="8" t="s">
        <v>87</v>
      </c>
      <c r="U210" s="8" t="s">
        <v>37</v>
      </c>
      <c r="V210" s="8" t="s">
        <v>88</v>
      </c>
      <c r="W210" s="8" t="s">
        <v>850</v>
      </c>
      <c r="X210" s="8"/>
      <c r="Y210" s="8">
        <v>494</v>
      </c>
      <c r="Z210" s="8"/>
      <c r="AA210" s="8" t="s">
        <v>39</v>
      </c>
      <c r="AB210" s="8">
        <v>31</v>
      </c>
      <c r="AC210" s="13">
        <f t="shared" si="26"/>
        <v>44048</v>
      </c>
      <c r="AD210" s="13">
        <f t="shared" si="27"/>
        <v>44079</v>
      </c>
      <c r="AE210" s="8">
        <v>0</v>
      </c>
      <c r="AF210" s="8">
        <v>0</v>
      </c>
      <c r="AG210" s="8"/>
    </row>
    <row r="211" spans="1:33" hidden="1" x14ac:dyDescent="0.2">
      <c r="A211" s="8">
        <v>2503</v>
      </c>
      <c r="B211" s="9">
        <v>44058</v>
      </c>
      <c r="C211" s="8">
        <v>30012755</v>
      </c>
      <c r="D211" s="8" t="s">
        <v>54</v>
      </c>
      <c r="E211" s="8" t="s">
        <v>237</v>
      </c>
      <c r="F211" s="8" t="s">
        <v>238</v>
      </c>
      <c r="G211" s="8">
        <v>15018171</v>
      </c>
      <c r="H211" s="8">
        <v>802094713</v>
      </c>
      <c r="I211" s="8" t="s">
        <v>239</v>
      </c>
      <c r="J211" s="8" t="s">
        <v>223</v>
      </c>
      <c r="K211" s="8" t="s">
        <v>488</v>
      </c>
      <c r="L211" s="8" t="s">
        <v>1037</v>
      </c>
      <c r="M211" s="9">
        <v>44055</v>
      </c>
      <c r="N211" s="9">
        <v>44083</v>
      </c>
      <c r="O211" s="8">
        <v>107.009</v>
      </c>
      <c r="P211" s="8" t="s">
        <v>224</v>
      </c>
      <c r="Q211" s="8" t="s">
        <v>153</v>
      </c>
      <c r="R211" s="8" t="s">
        <v>154</v>
      </c>
      <c r="S211" s="8">
        <v>4</v>
      </c>
      <c r="T211" s="8" t="s">
        <v>87</v>
      </c>
      <c r="U211" s="8" t="s">
        <v>37</v>
      </c>
      <c r="V211" s="8" t="s">
        <v>88</v>
      </c>
      <c r="W211" s="8" t="s">
        <v>1038</v>
      </c>
      <c r="X211" s="8"/>
      <c r="Y211" s="8">
        <v>104</v>
      </c>
      <c r="Z211" s="8"/>
      <c r="AA211" s="8" t="s">
        <v>39</v>
      </c>
      <c r="AB211" s="8">
        <v>31</v>
      </c>
      <c r="AC211" s="13">
        <f t="shared" si="26"/>
        <v>44055</v>
      </c>
      <c r="AD211" s="13">
        <f t="shared" si="27"/>
        <v>44083</v>
      </c>
      <c r="AE211" s="8">
        <v>0</v>
      </c>
      <c r="AF211" s="8">
        <v>0</v>
      </c>
      <c r="AG211" s="8"/>
    </row>
    <row r="212" spans="1:33" hidden="1" x14ac:dyDescent="0.2">
      <c r="A212" s="8">
        <v>2503</v>
      </c>
      <c r="B212" s="9">
        <v>44073</v>
      </c>
      <c r="C212" s="8">
        <v>30012755</v>
      </c>
      <c r="D212" s="8" t="s">
        <v>28</v>
      </c>
      <c r="E212" s="8" t="s">
        <v>110</v>
      </c>
      <c r="F212" s="8" t="s">
        <v>111</v>
      </c>
      <c r="G212" s="8">
        <v>15018246</v>
      </c>
      <c r="H212" s="8">
        <v>802094782</v>
      </c>
      <c r="I212" s="8" t="s">
        <v>31</v>
      </c>
      <c r="J212" s="8" t="s">
        <v>32</v>
      </c>
      <c r="K212" s="8" t="s">
        <v>488</v>
      </c>
      <c r="L212" s="8" t="s">
        <v>1037</v>
      </c>
      <c r="M212" s="9">
        <v>44055</v>
      </c>
      <c r="N212" s="9">
        <v>44086</v>
      </c>
      <c r="O212" s="8">
        <v>489.25</v>
      </c>
      <c r="P212" s="8" t="s">
        <v>224</v>
      </c>
      <c r="Q212" s="8" t="s">
        <v>34</v>
      </c>
      <c r="R212" s="8" t="s">
        <v>35</v>
      </c>
      <c r="S212" s="8">
        <v>25</v>
      </c>
      <c r="T212" s="8" t="s">
        <v>87</v>
      </c>
      <c r="U212" s="8" t="s">
        <v>290</v>
      </c>
      <c r="V212" s="8" t="s">
        <v>88</v>
      </c>
      <c r="W212" s="8" t="s">
        <v>1041</v>
      </c>
      <c r="X212" s="8"/>
      <c r="Y212" s="8">
        <v>475</v>
      </c>
      <c r="Z212" s="8" t="s">
        <v>946</v>
      </c>
      <c r="AA212" s="8" t="s">
        <v>39</v>
      </c>
      <c r="AB212" s="8">
        <v>31</v>
      </c>
      <c r="AC212" s="13">
        <f t="shared" si="26"/>
        <v>44055</v>
      </c>
      <c r="AD212" s="13">
        <f t="shared" si="27"/>
        <v>44086</v>
      </c>
      <c r="AE212" s="8">
        <v>0</v>
      </c>
      <c r="AF212" s="8">
        <v>0</v>
      </c>
      <c r="AG212" s="8"/>
    </row>
    <row r="213" spans="1:33" hidden="1" x14ac:dyDescent="0.2">
      <c r="A213" s="8">
        <v>2503</v>
      </c>
      <c r="B213" s="9">
        <v>44073</v>
      </c>
      <c r="C213" s="8">
        <v>30012755</v>
      </c>
      <c r="D213" s="8" t="s">
        <v>28</v>
      </c>
      <c r="E213" s="8" t="s">
        <v>110</v>
      </c>
      <c r="F213" s="8" t="s">
        <v>111</v>
      </c>
      <c r="G213" s="8">
        <v>15018247</v>
      </c>
      <c r="H213" s="8">
        <v>802094783</v>
      </c>
      <c r="I213" s="8" t="s">
        <v>31</v>
      </c>
      <c r="J213" s="8" t="s">
        <v>32</v>
      </c>
      <c r="K213" s="8" t="s">
        <v>488</v>
      </c>
      <c r="L213" s="8" t="s">
        <v>1037</v>
      </c>
      <c r="M213" s="9">
        <v>44055</v>
      </c>
      <c r="N213" s="9">
        <v>44086</v>
      </c>
      <c r="O213" s="8">
        <v>489.25</v>
      </c>
      <c r="P213" s="8" t="s">
        <v>224</v>
      </c>
      <c r="Q213" s="8" t="s">
        <v>34</v>
      </c>
      <c r="R213" s="8" t="s">
        <v>35</v>
      </c>
      <c r="S213" s="8">
        <v>25</v>
      </c>
      <c r="T213" s="8" t="s">
        <v>87</v>
      </c>
      <c r="U213" s="8" t="s">
        <v>290</v>
      </c>
      <c r="V213" s="8" t="s">
        <v>88</v>
      </c>
      <c r="W213" s="8" t="s">
        <v>1044</v>
      </c>
      <c r="X213" s="8"/>
      <c r="Y213" s="8">
        <v>475</v>
      </c>
      <c r="Z213" s="8" t="s">
        <v>946</v>
      </c>
      <c r="AA213" s="8" t="s">
        <v>39</v>
      </c>
      <c r="AB213" s="8">
        <v>31</v>
      </c>
      <c r="AC213" s="13">
        <f t="shared" si="26"/>
        <v>44055</v>
      </c>
      <c r="AD213" s="13">
        <f t="shared" si="27"/>
        <v>44086</v>
      </c>
      <c r="AE213" s="8">
        <v>0</v>
      </c>
      <c r="AF213" s="8">
        <v>0</v>
      </c>
      <c r="AG213" s="8"/>
    </row>
    <row r="214" spans="1:33" hidden="1" x14ac:dyDescent="0.2">
      <c r="A214" s="8">
        <v>2503</v>
      </c>
      <c r="B214" s="9">
        <v>44053</v>
      </c>
      <c r="C214" s="8">
        <v>30012755</v>
      </c>
      <c r="D214" s="8" t="s">
        <v>91</v>
      </c>
      <c r="E214" s="8" t="s">
        <v>242</v>
      </c>
      <c r="F214" s="8" t="s">
        <v>243</v>
      </c>
      <c r="G214" s="8">
        <v>15018500</v>
      </c>
      <c r="H214" s="8">
        <v>802095186</v>
      </c>
      <c r="I214" s="8" t="s">
        <v>535</v>
      </c>
      <c r="J214" s="8" t="s">
        <v>47</v>
      </c>
      <c r="K214" s="8" t="s">
        <v>488</v>
      </c>
      <c r="L214" s="8" t="s">
        <v>1037</v>
      </c>
      <c r="M214" s="9">
        <v>44055</v>
      </c>
      <c r="N214" s="9">
        <v>44083</v>
      </c>
      <c r="O214" s="8">
        <v>56</v>
      </c>
      <c r="P214" s="8" t="s">
        <v>224</v>
      </c>
      <c r="Q214" s="8" t="s">
        <v>100</v>
      </c>
      <c r="R214" s="8" t="s">
        <v>101</v>
      </c>
      <c r="S214" s="8">
        <v>3</v>
      </c>
      <c r="T214" s="8" t="s">
        <v>87</v>
      </c>
      <c r="U214" s="8" t="s">
        <v>290</v>
      </c>
      <c r="V214" s="8" t="s">
        <v>88</v>
      </c>
      <c r="W214" s="8" t="s">
        <v>1047</v>
      </c>
      <c r="X214" s="8"/>
      <c r="Y214" s="8"/>
      <c r="Z214" s="8"/>
      <c r="AA214" s="8" t="s">
        <v>39</v>
      </c>
      <c r="AB214" s="8">
        <v>31</v>
      </c>
      <c r="AC214" s="13">
        <f t="shared" si="26"/>
        <v>44055</v>
      </c>
      <c r="AD214" s="13">
        <f t="shared" si="27"/>
        <v>44083</v>
      </c>
      <c r="AE214" s="8">
        <v>0</v>
      </c>
      <c r="AF214" s="8">
        <v>0</v>
      </c>
      <c r="AG214" s="8"/>
    </row>
    <row r="215" spans="1:33" hidden="1" x14ac:dyDescent="0.2">
      <c r="A215" s="8">
        <v>2503</v>
      </c>
      <c r="B215" s="9">
        <v>44073</v>
      </c>
      <c r="C215" s="8">
        <v>30012759</v>
      </c>
      <c r="D215" s="8" t="s">
        <v>137</v>
      </c>
      <c r="E215" s="8" t="s">
        <v>138</v>
      </c>
      <c r="F215" s="8" t="s">
        <v>139</v>
      </c>
      <c r="G215" s="8">
        <v>15018235</v>
      </c>
      <c r="H215" s="8">
        <v>802094779</v>
      </c>
      <c r="I215" s="8" t="s">
        <v>846</v>
      </c>
      <c r="J215" s="8" t="s">
        <v>32</v>
      </c>
      <c r="K215" s="8" t="s">
        <v>409</v>
      </c>
      <c r="L215" s="8" t="s">
        <v>1570</v>
      </c>
      <c r="M215" s="9">
        <v>44069</v>
      </c>
      <c r="N215" s="9">
        <v>44100</v>
      </c>
      <c r="O215" s="8">
        <v>489.25</v>
      </c>
      <c r="P215" s="8" t="s">
        <v>224</v>
      </c>
      <c r="Q215" s="8" t="s">
        <v>34</v>
      </c>
      <c r="R215" s="8" t="s">
        <v>35</v>
      </c>
      <c r="S215" s="8">
        <v>25</v>
      </c>
      <c r="T215" s="8" t="s">
        <v>87</v>
      </c>
      <c r="U215" s="8" t="s">
        <v>290</v>
      </c>
      <c r="V215" s="8" t="s">
        <v>88</v>
      </c>
      <c r="W215" s="8" t="s">
        <v>1571</v>
      </c>
      <c r="X215" s="8"/>
      <c r="Y215" s="8">
        <v>475</v>
      </c>
      <c r="Z215" s="8"/>
      <c r="AA215" s="8" t="s">
        <v>39</v>
      </c>
      <c r="AB215" s="8">
        <v>31</v>
      </c>
      <c r="AC215" s="13">
        <f t="shared" si="26"/>
        <v>44069</v>
      </c>
      <c r="AD215" s="13">
        <f t="shared" si="27"/>
        <v>44100</v>
      </c>
      <c r="AE215" s="8">
        <v>0</v>
      </c>
      <c r="AF215" s="8">
        <v>0</v>
      </c>
      <c r="AG215" s="8"/>
    </row>
    <row r="216" spans="1:33" hidden="1" x14ac:dyDescent="0.2">
      <c r="A216" s="8">
        <v>2503</v>
      </c>
      <c r="B216" s="9">
        <v>44073</v>
      </c>
      <c r="C216" s="8">
        <v>30012759</v>
      </c>
      <c r="D216" s="8" t="s">
        <v>137</v>
      </c>
      <c r="E216" s="8" t="s">
        <v>138</v>
      </c>
      <c r="F216" s="8" t="s">
        <v>139</v>
      </c>
      <c r="G216" s="8">
        <v>15018236</v>
      </c>
      <c r="H216" s="8">
        <v>802094780</v>
      </c>
      <c r="I216" s="8" t="s">
        <v>846</v>
      </c>
      <c r="J216" s="8" t="s">
        <v>32</v>
      </c>
      <c r="K216" s="8" t="s">
        <v>409</v>
      </c>
      <c r="L216" s="8" t="s">
        <v>1570</v>
      </c>
      <c r="M216" s="9">
        <v>44069</v>
      </c>
      <c r="N216" s="9">
        <v>44100</v>
      </c>
      <c r="O216" s="8">
        <v>508.82</v>
      </c>
      <c r="P216" s="8" t="s">
        <v>224</v>
      </c>
      <c r="Q216" s="8" t="s">
        <v>34</v>
      </c>
      <c r="R216" s="8" t="s">
        <v>35</v>
      </c>
      <c r="S216" s="8">
        <v>26</v>
      </c>
      <c r="T216" s="8" t="s">
        <v>87</v>
      </c>
      <c r="U216" s="8" t="s">
        <v>290</v>
      </c>
      <c r="V216" s="8" t="s">
        <v>88</v>
      </c>
      <c r="W216" s="8" t="s">
        <v>1574</v>
      </c>
      <c r="X216" s="8"/>
      <c r="Y216" s="8">
        <v>494</v>
      </c>
      <c r="Z216" s="8"/>
      <c r="AA216" s="8" t="s">
        <v>39</v>
      </c>
      <c r="AB216" s="8">
        <v>31</v>
      </c>
      <c r="AC216" s="13">
        <f t="shared" si="26"/>
        <v>44069</v>
      </c>
      <c r="AD216" s="13">
        <f t="shared" si="27"/>
        <v>44100</v>
      </c>
      <c r="AE216" s="8">
        <v>0</v>
      </c>
      <c r="AF216" s="8">
        <v>0</v>
      </c>
      <c r="AG216" s="8"/>
    </row>
    <row r="217" spans="1:33" hidden="1" x14ac:dyDescent="0.2">
      <c r="A217" s="8">
        <v>2503</v>
      </c>
      <c r="B217" s="9">
        <v>44079</v>
      </c>
      <c r="C217" s="8">
        <v>30012759</v>
      </c>
      <c r="D217" s="8" t="s">
        <v>152</v>
      </c>
      <c r="E217" s="8" t="s">
        <v>138</v>
      </c>
      <c r="F217" s="8" t="s">
        <v>265</v>
      </c>
      <c r="G217" s="8">
        <v>15018436</v>
      </c>
      <c r="H217" s="8">
        <v>802095119</v>
      </c>
      <c r="I217" s="8" t="s">
        <v>501</v>
      </c>
      <c r="J217" s="8" t="s">
        <v>47</v>
      </c>
      <c r="K217" s="8" t="s">
        <v>409</v>
      </c>
      <c r="L217" s="8" t="s">
        <v>1570</v>
      </c>
      <c r="M217" s="9">
        <v>44069</v>
      </c>
      <c r="N217" s="9">
        <v>44100</v>
      </c>
      <c r="O217" s="8">
        <v>113.712</v>
      </c>
      <c r="P217" s="8" t="s">
        <v>224</v>
      </c>
      <c r="Q217" s="8" t="s">
        <v>34</v>
      </c>
      <c r="R217" s="8" t="s">
        <v>266</v>
      </c>
      <c r="S217" s="8">
        <v>6</v>
      </c>
      <c r="T217" s="8" t="s">
        <v>87</v>
      </c>
      <c r="U217" s="8" t="s">
        <v>290</v>
      </c>
      <c r="V217" s="8" t="s">
        <v>88</v>
      </c>
      <c r="W217" s="8" t="s">
        <v>1577</v>
      </c>
      <c r="X217" s="8"/>
      <c r="Y217" s="8">
        <v>12</v>
      </c>
      <c r="Z217" s="8"/>
      <c r="AA217" s="8" t="s">
        <v>39</v>
      </c>
      <c r="AB217" s="8">
        <v>31</v>
      </c>
      <c r="AC217" s="13">
        <f t="shared" si="26"/>
        <v>44069</v>
      </c>
      <c r="AD217" s="13">
        <f t="shared" si="27"/>
        <v>44100</v>
      </c>
      <c r="AE217" s="8">
        <v>0</v>
      </c>
      <c r="AF217" s="8">
        <v>0</v>
      </c>
      <c r="AG217" s="8"/>
    </row>
    <row r="218" spans="1:33" hidden="1" x14ac:dyDescent="0.2">
      <c r="A218" s="8">
        <v>2503</v>
      </c>
      <c r="B218" s="9">
        <v>44073</v>
      </c>
      <c r="C218" s="8">
        <v>30012759</v>
      </c>
      <c r="D218" s="8" t="s">
        <v>28</v>
      </c>
      <c r="E218" s="8" t="s">
        <v>110</v>
      </c>
      <c r="F218" s="8" t="s">
        <v>111</v>
      </c>
      <c r="G218" s="8">
        <v>15018474</v>
      </c>
      <c r="H218" s="8">
        <v>802095166</v>
      </c>
      <c r="I218" s="8" t="s">
        <v>31</v>
      </c>
      <c r="J218" s="8" t="s">
        <v>32</v>
      </c>
      <c r="K218" s="8" t="s">
        <v>409</v>
      </c>
      <c r="L218" s="8" t="s">
        <v>1570</v>
      </c>
      <c r="M218" s="9">
        <v>44069</v>
      </c>
      <c r="N218" s="9">
        <v>44100</v>
      </c>
      <c r="O218" s="8">
        <v>508.82</v>
      </c>
      <c r="P218" s="8" t="s">
        <v>224</v>
      </c>
      <c r="Q218" s="8" t="s">
        <v>34</v>
      </c>
      <c r="R218" s="8" t="s">
        <v>35</v>
      </c>
      <c r="S218" s="8">
        <v>26</v>
      </c>
      <c r="T218" s="8" t="s">
        <v>87</v>
      </c>
      <c r="U218" s="8" t="s">
        <v>290</v>
      </c>
      <c r="V218" s="8" t="s">
        <v>88</v>
      </c>
      <c r="W218" s="8" t="s">
        <v>1580</v>
      </c>
      <c r="X218" s="8"/>
      <c r="Y218" s="8">
        <v>494</v>
      </c>
      <c r="Z218" s="8" t="s">
        <v>996</v>
      </c>
      <c r="AA218" s="8" t="s">
        <v>39</v>
      </c>
      <c r="AB218" s="8">
        <v>31</v>
      </c>
      <c r="AC218" s="13">
        <f t="shared" si="26"/>
        <v>44069</v>
      </c>
      <c r="AD218" s="13">
        <f t="shared" si="27"/>
        <v>44100</v>
      </c>
      <c r="AE218" s="8">
        <v>0</v>
      </c>
      <c r="AF218" s="8">
        <v>0</v>
      </c>
      <c r="AG218" s="8"/>
    </row>
    <row r="219" spans="1:33" hidden="1" x14ac:dyDescent="0.2">
      <c r="A219" s="8">
        <v>2503</v>
      </c>
      <c r="B219" s="9">
        <v>44073</v>
      </c>
      <c r="C219" s="8">
        <v>30012759</v>
      </c>
      <c r="D219" s="8" t="s">
        <v>28</v>
      </c>
      <c r="E219" s="8" t="s">
        <v>110</v>
      </c>
      <c r="F219" s="8" t="s">
        <v>111</v>
      </c>
      <c r="G219" s="8">
        <v>15018475</v>
      </c>
      <c r="H219" s="8">
        <v>802095167</v>
      </c>
      <c r="I219" s="8" t="s">
        <v>31</v>
      </c>
      <c r="J219" s="8" t="s">
        <v>32</v>
      </c>
      <c r="K219" s="8" t="s">
        <v>409</v>
      </c>
      <c r="L219" s="8" t="s">
        <v>1570</v>
      </c>
      <c r="M219" s="9">
        <v>44069</v>
      </c>
      <c r="N219" s="9">
        <v>44100</v>
      </c>
      <c r="O219" s="8">
        <v>508.82</v>
      </c>
      <c r="P219" s="8" t="s">
        <v>224</v>
      </c>
      <c r="Q219" s="8" t="s">
        <v>34</v>
      </c>
      <c r="R219" s="8" t="s">
        <v>35</v>
      </c>
      <c r="S219" s="8">
        <v>26</v>
      </c>
      <c r="T219" s="8" t="s">
        <v>87</v>
      </c>
      <c r="U219" s="8" t="s">
        <v>290</v>
      </c>
      <c r="V219" s="8" t="s">
        <v>88</v>
      </c>
      <c r="W219" s="8" t="s">
        <v>1583</v>
      </c>
      <c r="X219" s="8"/>
      <c r="Y219" s="8">
        <v>494</v>
      </c>
      <c r="Z219" s="8" t="s">
        <v>996</v>
      </c>
      <c r="AA219" s="8" t="s">
        <v>39</v>
      </c>
      <c r="AB219" s="8">
        <v>31</v>
      </c>
      <c r="AC219" s="13">
        <f t="shared" si="26"/>
        <v>44069</v>
      </c>
      <c r="AD219" s="13">
        <f t="shared" si="27"/>
        <v>44100</v>
      </c>
      <c r="AE219" s="8">
        <v>0</v>
      </c>
      <c r="AF219" s="8">
        <v>0</v>
      </c>
      <c r="AG219" s="8"/>
    </row>
    <row r="220" spans="1:33" hidden="1" x14ac:dyDescent="0.2">
      <c r="A220" s="8">
        <v>2503</v>
      </c>
      <c r="B220" s="9">
        <v>44058</v>
      </c>
      <c r="C220" s="8">
        <v>30012822</v>
      </c>
      <c r="D220" s="8" t="s">
        <v>28</v>
      </c>
      <c r="E220" s="8" t="s">
        <v>280</v>
      </c>
      <c r="F220" s="8" t="s">
        <v>281</v>
      </c>
      <c r="G220" s="8">
        <v>15018178</v>
      </c>
      <c r="H220" s="8">
        <v>802094774</v>
      </c>
      <c r="I220" s="8" t="s">
        <v>282</v>
      </c>
      <c r="J220" s="8" t="s">
        <v>223</v>
      </c>
      <c r="K220" s="8" t="s">
        <v>593</v>
      </c>
      <c r="L220" s="8" t="s">
        <v>1277</v>
      </c>
      <c r="M220" s="9">
        <v>44063</v>
      </c>
      <c r="N220" s="9">
        <v>44104</v>
      </c>
      <c r="O220" s="8">
        <v>51.5</v>
      </c>
      <c r="P220" s="8" t="s">
        <v>224</v>
      </c>
      <c r="Q220" s="8" t="s">
        <v>283</v>
      </c>
      <c r="R220" s="8" t="s">
        <v>284</v>
      </c>
      <c r="S220" s="8">
        <v>2</v>
      </c>
      <c r="T220" s="8" t="s">
        <v>87</v>
      </c>
      <c r="U220" s="8" t="s">
        <v>290</v>
      </c>
      <c r="V220" s="8" t="s">
        <v>88</v>
      </c>
      <c r="W220" s="8" t="s">
        <v>1278</v>
      </c>
      <c r="X220" s="8"/>
      <c r="Y220" s="8">
        <v>50</v>
      </c>
      <c r="Z220" s="8" t="s">
        <v>1279</v>
      </c>
      <c r="AA220" s="8" t="s">
        <v>39</v>
      </c>
      <c r="AB220" s="8">
        <v>31</v>
      </c>
      <c r="AC220" s="13">
        <f t="shared" si="26"/>
        <v>44063</v>
      </c>
      <c r="AD220" s="13">
        <f t="shared" si="27"/>
        <v>44104</v>
      </c>
      <c r="AE220" s="8">
        <v>0</v>
      </c>
      <c r="AF220" s="8">
        <v>0</v>
      </c>
      <c r="AG220" s="8"/>
    </row>
    <row r="221" spans="1:33" hidden="1" x14ac:dyDescent="0.2">
      <c r="A221" s="8">
        <v>2503</v>
      </c>
      <c r="B221" s="9">
        <v>44058</v>
      </c>
      <c r="C221" s="8">
        <v>30012822</v>
      </c>
      <c r="D221" s="8" t="s">
        <v>28</v>
      </c>
      <c r="E221" s="8" t="s">
        <v>280</v>
      </c>
      <c r="F221" s="8" t="s">
        <v>281</v>
      </c>
      <c r="G221" s="8">
        <v>15018179</v>
      </c>
      <c r="H221" s="8">
        <v>802094775</v>
      </c>
      <c r="I221" s="8" t="s">
        <v>239</v>
      </c>
      <c r="J221" s="8" t="s">
        <v>223</v>
      </c>
      <c r="K221" s="8" t="s">
        <v>593</v>
      </c>
      <c r="L221" s="8" t="s">
        <v>1277</v>
      </c>
      <c r="M221" s="9">
        <v>44063</v>
      </c>
      <c r="N221" s="9">
        <v>44104</v>
      </c>
      <c r="O221" s="8">
        <v>107.12</v>
      </c>
      <c r="P221" s="8" t="s">
        <v>224</v>
      </c>
      <c r="Q221" s="8" t="s">
        <v>283</v>
      </c>
      <c r="R221" s="8" t="s">
        <v>284</v>
      </c>
      <c r="S221" s="8">
        <v>4</v>
      </c>
      <c r="T221" s="8" t="s">
        <v>87</v>
      </c>
      <c r="U221" s="8" t="s">
        <v>290</v>
      </c>
      <c r="V221" s="8" t="s">
        <v>88</v>
      </c>
      <c r="W221" s="8" t="s">
        <v>1282</v>
      </c>
      <c r="X221" s="8"/>
      <c r="Y221" s="8">
        <v>104</v>
      </c>
      <c r="Z221" s="8" t="s">
        <v>1279</v>
      </c>
      <c r="AA221" s="8" t="s">
        <v>39</v>
      </c>
      <c r="AB221" s="8">
        <v>31</v>
      </c>
      <c r="AC221" s="13">
        <f t="shared" si="26"/>
        <v>44063</v>
      </c>
      <c r="AD221" s="13">
        <f t="shared" si="27"/>
        <v>44104</v>
      </c>
      <c r="AE221" s="8">
        <v>0</v>
      </c>
      <c r="AF221" s="8">
        <v>0</v>
      </c>
      <c r="AG221" s="8"/>
    </row>
    <row r="222" spans="1:33" hidden="1" x14ac:dyDescent="0.2">
      <c r="A222" s="8">
        <v>2503</v>
      </c>
      <c r="B222" s="9">
        <v>44058</v>
      </c>
      <c r="C222" s="8">
        <v>30012822</v>
      </c>
      <c r="D222" s="8" t="s">
        <v>137</v>
      </c>
      <c r="E222" s="8" t="s">
        <v>138</v>
      </c>
      <c r="F222" s="8" t="s">
        <v>139</v>
      </c>
      <c r="G222" s="8">
        <v>15018234</v>
      </c>
      <c r="H222" s="8">
        <v>802094778</v>
      </c>
      <c r="I222" s="8" t="s">
        <v>846</v>
      </c>
      <c r="J222" s="8" t="s">
        <v>32</v>
      </c>
      <c r="K222" s="8" t="s">
        <v>593</v>
      </c>
      <c r="L222" s="8" t="s">
        <v>1277</v>
      </c>
      <c r="M222" s="9">
        <v>44063</v>
      </c>
      <c r="N222" s="9">
        <v>44093</v>
      </c>
      <c r="O222" s="8">
        <v>508.82</v>
      </c>
      <c r="P222" s="8" t="s">
        <v>224</v>
      </c>
      <c r="Q222" s="8" t="s">
        <v>34</v>
      </c>
      <c r="R222" s="8" t="s">
        <v>35</v>
      </c>
      <c r="S222" s="8">
        <v>26</v>
      </c>
      <c r="T222" s="8" t="s">
        <v>87</v>
      </c>
      <c r="U222" s="8" t="s">
        <v>290</v>
      </c>
      <c r="V222" s="8" t="s">
        <v>88</v>
      </c>
      <c r="W222" s="8" t="s">
        <v>1285</v>
      </c>
      <c r="X222" s="8"/>
      <c r="Y222" s="8">
        <v>494</v>
      </c>
      <c r="Z222" s="8"/>
      <c r="AA222" s="8" t="s">
        <v>39</v>
      </c>
      <c r="AB222" s="8">
        <v>31</v>
      </c>
      <c r="AC222" s="13">
        <f t="shared" si="26"/>
        <v>44063</v>
      </c>
      <c r="AD222" s="13">
        <f t="shared" si="27"/>
        <v>44093</v>
      </c>
      <c r="AE222" s="8">
        <v>0</v>
      </c>
      <c r="AF222" s="8">
        <v>0</v>
      </c>
      <c r="AG222" s="8"/>
    </row>
    <row r="223" spans="1:33" hidden="1" x14ac:dyDescent="0.2">
      <c r="A223" s="8">
        <v>2503</v>
      </c>
      <c r="B223" s="9">
        <v>44068</v>
      </c>
      <c r="C223" s="8">
        <v>30012822</v>
      </c>
      <c r="D223" s="8" t="s">
        <v>28</v>
      </c>
      <c r="E223" s="8" t="s">
        <v>233</v>
      </c>
      <c r="F223" s="8" t="s">
        <v>234</v>
      </c>
      <c r="G223" s="8">
        <v>15018325</v>
      </c>
      <c r="H223" s="8">
        <v>802094890</v>
      </c>
      <c r="I223" s="8" t="s">
        <v>222</v>
      </c>
      <c r="J223" s="8" t="s">
        <v>223</v>
      </c>
      <c r="K223" s="8" t="s">
        <v>593</v>
      </c>
      <c r="L223" s="8" t="s">
        <v>1277</v>
      </c>
      <c r="M223" s="9">
        <v>44063</v>
      </c>
      <c r="N223" s="9">
        <v>44118</v>
      </c>
      <c r="O223" s="8">
        <v>74.16</v>
      </c>
      <c r="P223" s="8" t="s">
        <v>224</v>
      </c>
      <c r="Q223" s="8" t="s">
        <v>235</v>
      </c>
      <c r="R223" s="8" t="s">
        <v>236</v>
      </c>
      <c r="S223" s="8">
        <v>3</v>
      </c>
      <c r="T223" s="8" t="s">
        <v>87</v>
      </c>
      <c r="U223" s="8" t="s">
        <v>290</v>
      </c>
      <c r="V223" s="8" t="s">
        <v>88</v>
      </c>
      <c r="W223" s="8" t="s">
        <v>1288</v>
      </c>
      <c r="X223" s="8"/>
      <c r="Y223" s="8">
        <v>72</v>
      </c>
      <c r="Z223" s="8"/>
      <c r="AA223" s="8" t="s">
        <v>39</v>
      </c>
      <c r="AB223" s="8">
        <v>31</v>
      </c>
      <c r="AC223" s="13">
        <f t="shared" si="26"/>
        <v>44063</v>
      </c>
      <c r="AD223" s="13">
        <f t="shared" si="27"/>
        <v>44118</v>
      </c>
      <c r="AE223" s="8">
        <v>0</v>
      </c>
      <c r="AF223" s="8">
        <v>0</v>
      </c>
      <c r="AG223" s="8"/>
    </row>
    <row r="224" spans="1:33" hidden="1" x14ac:dyDescent="0.2">
      <c r="A224" s="8">
        <v>2503</v>
      </c>
      <c r="B224" s="9">
        <v>43951</v>
      </c>
      <c r="C224" s="8">
        <v>30012822</v>
      </c>
      <c r="D224" s="8" t="s">
        <v>152</v>
      </c>
      <c r="E224" s="8" t="s">
        <v>138</v>
      </c>
      <c r="F224" s="8" t="s">
        <v>265</v>
      </c>
      <c r="G224" s="8">
        <v>15018459</v>
      </c>
      <c r="H224" s="8">
        <v>802095165</v>
      </c>
      <c r="I224" s="8" t="s">
        <v>1291</v>
      </c>
      <c r="J224" s="8" t="s">
        <v>47</v>
      </c>
      <c r="K224" s="8" t="s">
        <v>593</v>
      </c>
      <c r="L224" s="8" t="s">
        <v>1277</v>
      </c>
      <c r="M224" s="9">
        <v>44063</v>
      </c>
      <c r="N224" s="9">
        <v>44092</v>
      </c>
      <c r="O224" s="8">
        <v>113.88</v>
      </c>
      <c r="P224" s="8" t="s">
        <v>224</v>
      </c>
      <c r="Q224" s="8" t="s">
        <v>206</v>
      </c>
      <c r="R224" s="8" t="s">
        <v>266</v>
      </c>
      <c r="S224" s="8">
        <v>6</v>
      </c>
      <c r="T224" s="8" t="s">
        <v>87</v>
      </c>
      <c r="U224" s="8" t="s">
        <v>290</v>
      </c>
      <c r="V224" s="8" t="s">
        <v>88</v>
      </c>
      <c r="W224" s="8" t="s">
        <v>1292</v>
      </c>
      <c r="X224" s="8"/>
      <c r="Y224" s="8">
        <v>12</v>
      </c>
      <c r="Z224" s="8"/>
      <c r="AA224" s="8" t="s">
        <v>39</v>
      </c>
      <c r="AB224" s="8">
        <v>31</v>
      </c>
      <c r="AC224" s="13">
        <f t="shared" si="26"/>
        <v>44063</v>
      </c>
      <c r="AD224" s="13">
        <f t="shared" si="27"/>
        <v>44092</v>
      </c>
      <c r="AE224" s="8">
        <v>0</v>
      </c>
      <c r="AF224" s="8">
        <v>0</v>
      </c>
      <c r="AG224" s="8"/>
    </row>
    <row r="225" spans="1:33" hidden="1" x14ac:dyDescent="0.2">
      <c r="A225" s="8">
        <v>2503</v>
      </c>
      <c r="B225" s="9">
        <v>43951</v>
      </c>
      <c r="C225" s="8">
        <v>30012822</v>
      </c>
      <c r="D225" s="8" t="s">
        <v>152</v>
      </c>
      <c r="E225" s="8" t="s">
        <v>138</v>
      </c>
      <c r="F225" s="8" t="s">
        <v>265</v>
      </c>
      <c r="G225" s="8">
        <v>15018460</v>
      </c>
      <c r="H225" s="8">
        <v>802095164</v>
      </c>
      <c r="I225" s="8" t="s">
        <v>1295</v>
      </c>
      <c r="J225" s="8" t="s">
        <v>47</v>
      </c>
      <c r="K225" s="8" t="s">
        <v>593</v>
      </c>
      <c r="L225" s="8" t="s">
        <v>1277</v>
      </c>
      <c r="M225" s="9">
        <v>44063</v>
      </c>
      <c r="N225" s="9">
        <v>44092</v>
      </c>
      <c r="O225" s="8">
        <v>284.7</v>
      </c>
      <c r="P225" s="8" t="s">
        <v>224</v>
      </c>
      <c r="Q225" s="8" t="s">
        <v>206</v>
      </c>
      <c r="R225" s="8" t="s">
        <v>266</v>
      </c>
      <c r="S225" s="8">
        <v>15</v>
      </c>
      <c r="T225" s="8" t="s">
        <v>87</v>
      </c>
      <c r="U225" s="8" t="s">
        <v>290</v>
      </c>
      <c r="V225" s="8" t="s">
        <v>88</v>
      </c>
      <c r="W225" s="8" t="s">
        <v>1296</v>
      </c>
      <c r="X225" s="8"/>
      <c r="Y225" s="8">
        <v>30</v>
      </c>
      <c r="Z225" s="8"/>
      <c r="AA225" s="8" t="s">
        <v>39</v>
      </c>
      <c r="AB225" s="8">
        <v>31</v>
      </c>
      <c r="AC225" s="13">
        <f t="shared" si="26"/>
        <v>44063</v>
      </c>
      <c r="AD225" s="13">
        <f t="shared" si="27"/>
        <v>44092</v>
      </c>
      <c r="AE225" s="8">
        <v>0</v>
      </c>
      <c r="AF225" s="8">
        <v>0</v>
      </c>
      <c r="AG225" s="8"/>
    </row>
    <row r="226" spans="1:33" x14ac:dyDescent="0.2">
      <c r="A226" s="8">
        <v>2501</v>
      </c>
      <c r="B226" s="9">
        <v>44037</v>
      </c>
      <c r="C226" s="8">
        <v>30012738</v>
      </c>
      <c r="D226" s="8" t="s">
        <v>365</v>
      </c>
      <c r="E226" s="8" t="s">
        <v>620</v>
      </c>
      <c r="F226" s="8" t="s">
        <v>621</v>
      </c>
      <c r="G226" s="8">
        <v>15018100</v>
      </c>
      <c r="H226" s="8">
        <v>802094175</v>
      </c>
      <c r="I226" s="8" t="s">
        <v>31</v>
      </c>
      <c r="J226" s="8" t="s">
        <v>32</v>
      </c>
      <c r="K226" s="8" t="s">
        <v>260</v>
      </c>
      <c r="L226" s="8" t="s">
        <v>518</v>
      </c>
      <c r="M226" s="9">
        <v>44049</v>
      </c>
      <c r="N226" s="9">
        <v>44058</v>
      </c>
      <c r="O226" s="8">
        <v>288.238</v>
      </c>
      <c r="P226" s="8" t="s">
        <v>33</v>
      </c>
      <c r="Q226" s="8" t="s">
        <v>159</v>
      </c>
      <c r="R226" s="8" t="s">
        <v>160</v>
      </c>
      <c r="S226" s="8">
        <v>11</v>
      </c>
      <c r="T226" s="8" t="s">
        <v>362</v>
      </c>
      <c r="U226" s="8" t="s">
        <v>37</v>
      </c>
      <c r="V226" s="8" t="s">
        <v>155</v>
      </c>
      <c r="W226" s="8" t="s">
        <v>726</v>
      </c>
      <c r="X226" s="8"/>
      <c r="Y226" s="8">
        <v>286</v>
      </c>
      <c r="Z226" s="8"/>
      <c r="AA226" s="8" t="s">
        <v>39</v>
      </c>
      <c r="AB226" s="8">
        <v>31</v>
      </c>
      <c r="AC226" s="13">
        <v>44049.291666666657</v>
      </c>
      <c r="AD226" s="13">
        <f t="shared" si="27"/>
        <v>44058</v>
      </c>
      <c r="AE226" s="8">
        <v>0</v>
      </c>
      <c r="AF226" s="8"/>
      <c r="AG226" s="8"/>
    </row>
    <row r="227" spans="1:33" hidden="1" x14ac:dyDescent="0.2">
      <c r="A227" s="8">
        <v>2504</v>
      </c>
      <c r="B227" s="9">
        <v>44055</v>
      </c>
      <c r="C227" s="8">
        <v>30012816</v>
      </c>
      <c r="D227" s="8" t="s">
        <v>62</v>
      </c>
      <c r="E227" s="8" t="s">
        <v>251</v>
      </c>
      <c r="F227" s="8" t="s">
        <v>252</v>
      </c>
      <c r="G227" s="8">
        <v>15018196</v>
      </c>
      <c r="H227" s="8">
        <v>802094734</v>
      </c>
      <c r="I227" s="8" t="s">
        <v>77</v>
      </c>
      <c r="J227" s="8" t="s">
        <v>32</v>
      </c>
      <c r="K227" s="8" t="s">
        <v>1087</v>
      </c>
      <c r="L227" s="8" t="s">
        <v>760</v>
      </c>
      <c r="M227" s="9">
        <v>44061</v>
      </c>
      <c r="N227" s="9">
        <v>44081</v>
      </c>
      <c r="O227" s="8">
        <v>414</v>
      </c>
      <c r="P227" s="8" t="s">
        <v>48</v>
      </c>
      <c r="Q227" s="8" t="s">
        <v>166</v>
      </c>
      <c r="R227" s="8" t="s">
        <v>250</v>
      </c>
      <c r="S227" s="8">
        <v>20</v>
      </c>
      <c r="T227" s="8" t="s">
        <v>42</v>
      </c>
      <c r="U227" s="8" t="s">
        <v>1139</v>
      </c>
      <c r="V227" s="8" t="s">
        <v>52</v>
      </c>
      <c r="W227" s="8" t="s">
        <v>1208</v>
      </c>
      <c r="X227" s="8"/>
      <c r="Y227" s="8">
        <v>400</v>
      </c>
      <c r="Z227" s="8" t="s">
        <v>981</v>
      </c>
      <c r="AA227" s="8" t="s">
        <v>39</v>
      </c>
      <c r="AB227" s="8">
        <v>31</v>
      </c>
      <c r="AC227" s="13">
        <f t="shared" ref="AC227:AC228" si="28">M227</f>
        <v>44061</v>
      </c>
      <c r="AD227" s="13">
        <f t="shared" ref="AD227:AD228" si="29">N227</f>
        <v>44081</v>
      </c>
      <c r="AE227" s="8">
        <v>0</v>
      </c>
      <c r="AF227" s="8"/>
      <c r="AG227" s="8"/>
    </row>
    <row r="228" spans="1:33" hidden="1" x14ac:dyDescent="0.2">
      <c r="A228" s="8">
        <v>2504</v>
      </c>
      <c r="B228" s="9">
        <v>44068</v>
      </c>
      <c r="C228" s="8">
        <v>30012805</v>
      </c>
      <c r="D228" s="8" t="s">
        <v>91</v>
      </c>
      <c r="E228" s="8" t="s">
        <v>258</v>
      </c>
      <c r="F228" s="8" t="s">
        <v>259</v>
      </c>
      <c r="G228" s="8">
        <v>15018203</v>
      </c>
      <c r="H228" s="8">
        <v>802094738</v>
      </c>
      <c r="I228" s="8" t="s">
        <v>77</v>
      </c>
      <c r="J228" s="8" t="s">
        <v>32</v>
      </c>
      <c r="K228" s="8" t="s">
        <v>1199</v>
      </c>
      <c r="L228" s="8" t="s">
        <v>740</v>
      </c>
      <c r="M228" s="9">
        <v>44061</v>
      </c>
      <c r="N228" s="9">
        <v>44085</v>
      </c>
      <c r="O228" s="8">
        <v>298.08</v>
      </c>
      <c r="P228" s="8" t="s">
        <v>48</v>
      </c>
      <c r="Q228" s="8" t="s">
        <v>134</v>
      </c>
      <c r="R228" s="8" t="s">
        <v>135</v>
      </c>
      <c r="S228" s="8">
        <v>12</v>
      </c>
      <c r="T228" s="8" t="s">
        <v>36</v>
      </c>
      <c r="U228" s="8" t="s">
        <v>1139</v>
      </c>
      <c r="V228" s="8" t="s">
        <v>155</v>
      </c>
      <c r="W228" s="8" t="s">
        <v>1200</v>
      </c>
      <c r="X228" s="8"/>
      <c r="Y228" s="8">
        <v>288</v>
      </c>
      <c r="Z228" s="8"/>
      <c r="AA228" s="8" t="s">
        <v>39</v>
      </c>
      <c r="AB228" s="8">
        <v>31</v>
      </c>
      <c r="AC228" s="13">
        <f t="shared" si="28"/>
        <v>44061</v>
      </c>
      <c r="AD228" s="13">
        <f t="shared" si="29"/>
        <v>44085</v>
      </c>
      <c r="AE228" s="8">
        <v>0</v>
      </c>
      <c r="AF228" s="8"/>
      <c r="AG228" s="8"/>
    </row>
    <row r="229" spans="1:33" hidden="1" x14ac:dyDescent="0.2">
      <c r="A229" s="8">
        <v>2502</v>
      </c>
      <c r="B229" s="9">
        <v>44073</v>
      </c>
      <c r="C229" s="8">
        <v>30012792</v>
      </c>
      <c r="D229" s="8" t="s">
        <v>152</v>
      </c>
      <c r="E229" s="8" t="s">
        <v>276</v>
      </c>
      <c r="F229" s="8" t="s">
        <v>277</v>
      </c>
      <c r="G229" s="8">
        <v>15018288</v>
      </c>
      <c r="H229" s="8">
        <v>802094849</v>
      </c>
      <c r="I229" s="8" t="s">
        <v>202</v>
      </c>
      <c r="J229" s="8" t="s">
        <v>95</v>
      </c>
      <c r="K229" s="8" t="s">
        <v>503</v>
      </c>
      <c r="L229" s="8" t="s">
        <v>1116</v>
      </c>
      <c r="M229" s="9">
        <v>44062</v>
      </c>
      <c r="N229" s="9">
        <v>44084</v>
      </c>
      <c r="O229" s="8">
        <v>406.62299999999999</v>
      </c>
      <c r="P229" s="8" t="s">
        <v>492</v>
      </c>
      <c r="Q229" s="8" t="s">
        <v>278</v>
      </c>
      <c r="R229" s="8" t="s">
        <v>279</v>
      </c>
      <c r="S229" s="8">
        <v>17</v>
      </c>
      <c r="T229" s="8" t="s">
        <v>87</v>
      </c>
      <c r="U229" s="8" t="s">
        <v>290</v>
      </c>
      <c r="V229" s="8" t="s">
        <v>504</v>
      </c>
      <c r="W229" s="8" t="s">
        <v>1117</v>
      </c>
      <c r="X229" s="8"/>
      <c r="Y229" s="8">
        <v>289</v>
      </c>
      <c r="Z229" s="8" t="s">
        <v>962</v>
      </c>
      <c r="AA229" s="8" t="s">
        <v>39</v>
      </c>
      <c r="AB229" s="8">
        <v>31</v>
      </c>
      <c r="AC229" s="13">
        <v>44064</v>
      </c>
      <c r="AD229" s="13">
        <f>N229</f>
        <v>44084</v>
      </c>
      <c r="AE229" s="8">
        <v>2</v>
      </c>
      <c r="AF229" s="8">
        <v>0</v>
      </c>
      <c r="AG229" s="8" t="s">
        <v>1682</v>
      </c>
    </row>
    <row r="230" spans="1:33" hidden="1" x14ac:dyDescent="0.2">
      <c r="A230" s="8">
        <v>2504</v>
      </c>
      <c r="B230" s="9">
        <v>44058</v>
      </c>
      <c r="C230" s="8">
        <v>30012855</v>
      </c>
      <c r="D230" s="8" t="s">
        <v>1210</v>
      </c>
      <c r="E230" s="8" t="s">
        <v>1211</v>
      </c>
      <c r="F230" s="8" t="s">
        <v>1212</v>
      </c>
      <c r="G230" s="8">
        <v>15018495</v>
      </c>
      <c r="H230" s="8">
        <v>802095181</v>
      </c>
      <c r="I230" s="8" t="s">
        <v>77</v>
      </c>
      <c r="J230" s="8" t="s">
        <v>32</v>
      </c>
      <c r="K230" s="8" t="s">
        <v>1199</v>
      </c>
      <c r="L230" s="8" t="s">
        <v>740</v>
      </c>
      <c r="M230" s="9">
        <v>44061</v>
      </c>
      <c r="N230" s="9">
        <v>44114</v>
      </c>
      <c r="O230" s="8">
        <v>103.5</v>
      </c>
      <c r="P230" s="8" t="s">
        <v>48</v>
      </c>
      <c r="Q230" s="8" t="s">
        <v>1215</v>
      </c>
      <c r="R230" s="8" t="s">
        <v>1216</v>
      </c>
      <c r="S230" s="8">
        <v>4</v>
      </c>
      <c r="T230" s="8" t="s">
        <v>72</v>
      </c>
      <c r="U230" s="8" t="s">
        <v>1139</v>
      </c>
      <c r="V230" s="8" t="s">
        <v>65</v>
      </c>
      <c r="W230" s="8" t="s">
        <v>1217</v>
      </c>
      <c r="X230" s="8"/>
      <c r="Y230" s="8">
        <v>100</v>
      </c>
      <c r="Z230" s="8"/>
      <c r="AA230" s="8" t="s">
        <v>733</v>
      </c>
      <c r="AB230" s="8">
        <v>31</v>
      </c>
      <c r="AC230" s="13">
        <f t="shared" ref="AC230:AC234" si="30">M230</f>
        <v>44061</v>
      </c>
      <c r="AD230" s="13">
        <f t="shared" ref="AD230:AD234" si="31">N230</f>
        <v>44114</v>
      </c>
      <c r="AE230" s="8">
        <v>0</v>
      </c>
      <c r="AF230" s="8"/>
      <c r="AG230" s="8"/>
    </row>
    <row r="231" spans="1:33" hidden="1" x14ac:dyDescent="0.2">
      <c r="A231" s="8">
        <v>2504</v>
      </c>
      <c r="B231" s="9">
        <v>44073</v>
      </c>
      <c r="C231" s="8">
        <v>30012836</v>
      </c>
      <c r="D231" s="8" t="s">
        <v>74</v>
      </c>
      <c r="E231" s="8" t="s">
        <v>75</v>
      </c>
      <c r="F231" s="8" t="s">
        <v>966</v>
      </c>
      <c r="G231" s="8">
        <v>15018455</v>
      </c>
      <c r="H231" s="8">
        <v>802095134</v>
      </c>
      <c r="I231" s="8" t="s">
        <v>77</v>
      </c>
      <c r="J231" s="8" t="s">
        <v>32</v>
      </c>
      <c r="K231" s="8" t="s">
        <v>1268</v>
      </c>
      <c r="L231" s="8" t="s">
        <v>1269</v>
      </c>
      <c r="M231" s="9">
        <v>44062</v>
      </c>
      <c r="N231" s="9">
        <v>44109</v>
      </c>
      <c r="O231" s="8">
        <v>496.8</v>
      </c>
      <c r="P231" s="8" t="s">
        <v>48</v>
      </c>
      <c r="Q231" s="8" t="s">
        <v>149</v>
      </c>
      <c r="R231" s="8" t="s">
        <v>150</v>
      </c>
      <c r="S231" s="8">
        <v>20</v>
      </c>
      <c r="T231" s="8" t="s">
        <v>36</v>
      </c>
      <c r="U231" s="8" t="s">
        <v>290</v>
      </c>
      <c r="V231" s="8" t="s">
        <v>65</v>
      </c>
      <c r="W231" s="8" t="s">
        <v>1270</v>
      </c>
      <c r="X231" s="8"/>
      <c r="Y231" s="8">
        <v>480</v>
      </c>
      <c r="Z231" s="8"/>
      <c r="AA231" s="8" t="s">
        <v>39</v>
      </c>
      <c r="AB231" s="8">
        <v>31</v>
      </c>
      <c r="AC231" s="13">
        <f t="shared" si="30"/>
        <v>44062</v>
      </c>
      <c r="AD231" s="13">
        <f t="shared" si="31"/>
        <v>44109</v>
      </c>
      <c r="AE231" s="8">
        <v>0</v>
      </c>
      <c r="AF231" s="8"/>
      <c r="AG231" s="8"/>
    </row>
    <row r="232" spans="1:33" hidden="1" x14ac:dyDescent="0.2">
      <c r="A232" s="8">
        <v>2504</v>
      </c>
      <c r="B232" s="9">
        <v>44073</v>
      </c>
      <c r="C232" s="8">
        <v>30012836</v>
      </c>
      <c r="D232" s="8" t="s">
        <v>74</v>
      </c>
      <c r="E232" s="8" t="s">
        <v>75</v>
      </c>
      <c r="F232" s="8" t="s">
        <v>966</v>
      </c>
      <c r="G232" s="8">
        <v>15018456</v>
      </c>
      <c r="H232" s="8">
        <v>802095135</v>
      </c>
      <c r="I232" s="8" t="s">
        <v>77</v>
      </c>
      <c r="J232" s="8" t="s">
        <v>32</v>
      </c>
      <c r="K232" s="8" t="s">
        <v>1268</v>
      </c>
      <c r="L232" s="8" t="s">
        <v>1269</v>
      </c>
      <c r="M232" s="9">
        <v>44062</v>
      </c>
      <c r="N232" s="9">
        <v>44109</v>
      </c>
      <c r="O232" s="8">
        <v>496.8</v>
      </c>
      <c r="P232" s="8" t="s">
        <v>48</v>
      </c>
      <c r="Q232" s="8" t="s">
        <v>149</v>
      </c>
      <c r="R232" s="8" t="s">
        <v>150</v>
      </c>
      <c r="S232" s="8">
        <v>20</v>
      </c>
      <c r="T232" s="8" t="s">
        <v>36</v>
      </c>
      <c r="U232" s="8" t="s">
        <v>290</v>
      </c>
      <c r="V232" s="8" t="s">
        <v>65</v>
      </c>
      <c r="W232" s="8" t="s">
        <v>1273</v>
      </c>
      <c r="X232" s="8"/>
      <c r="Y232" s="8">
        <v>480</v>
      </c>
      <c r="Z232" s="8"/>
      <c r="AA232" s="8" t="s">
        <v>39</v>
      </c>
      <c r="AB232" s="8">
        <v>31</v>
      </c>
      <c r="AC232" s="13">
        <f t="shared" si="30"/>
        <v>44062</v>
      </c>
      <c r="AD232" s="13">
        <f t="shared" si="31"/>
        <v>44109</v>
      </c>
      <c r="AE232" s="8">
        <v>0</v>
      </c>
      <c r="AF232" s="8"/>
      <c r="AG232" s="8"/>
    </row>
    <row r="233" spans="1:33" hidden="1" x14ac:dyDescent="0.2">
      <c r="A233" s="8">
        <v>2504</v>
      </c>
      <c r="B233" s="9">
        <v>44073</v>
      </c>
      <c r="C233" s="8">
        <v>30012834</v>
      </c>
      <c r="D233" s="8" t="s">
        <v>74</v>
      </c>
      <c r="E233" s="8" t="s">
        <v>75</v>
      </c>
      <c r="F233" s="8" t="s">
        <v>966</v>
      </c>
      <c r="G233" s="8">
        <v>15018451</v>
      </c>
      <c r="H233" s="8">
        <v>802095130</v>
      </c>
      <c r="I233" s="8" t="s">
        <v>77</v>
      </c>
      <c r="J233" s="8" t="s">
        <v>32</v>
      </c>
      <c r="K233" s="8" t="s">
        <v>1402</v>
      </c>
      <c r="L233" s="8" t="s">
        <v>1403</v>
      </c>
      <c r="M233" s="9">
        <v>44064</v>
      </c>
      <c r="N233" s="9">
        <v>44124</v>
      </c>
      <c r="O233" s="8">
        <v>496.8</v>
      </c>
      <c r="P233" s="8" t="s">
        <v>48</v>
      </c>
      <c r="Q233" s="8" t="s">
        <v>149</v>
      </c>
      <c r="R233" s="8" t="s">
        <v>150</v>
      </c>
      <c r="S233" s="8">
        <v>20</v>
      </c>
      <c r="T233" s="8" t="s">
        <v>36</v>
      </c>
      <c r="U233" s="8" t="s">
        <v>763</v>
      </c>
      <c r="V233" s="8" t="s">
        <v>73</v>
      </c>
      <c r="W233" s="8" t="s">
        <v>1404</v>
      </c>
      <c r="X233" s="8"/>
      <c r="Y233" s="8">
        <v>480</v>
      </c>
      <c r="Z233" s="8"/>
      <c r="AA233" s="8" t="s">
        <v>39</v>
      </c>
      <c r="AB233" s="8">
        <v>31</v>
      </c>
      <c r="AC233" s="13">
        <f t="shared" si="30"/>
        <v>44064</v>
      </c>
      <c r="AD233" s="13">
        <f t="shared" si="31"/>
        <v>44124</v>
      </c>
      <c r="AE233" s="8">
        <v>0</v>
      </c>
      <c r="AF233" s="8"/>
      <c r="AG233" s="8"/>
    </row>
    <row r="234" spans="1:33" hidden="1" x14ac:dyDescent="0.2">
      <c r="A234" s="8">
        <v>2504</v>
      </c>
      <c r="B234" s="9">
        <v>44073</v>
      </c>
      <c r="C234" s="8">
        <v>30012834</v>
      </c>
      <c r="D234" s="8" t="s">
        <v>74</v>
      </c>
      <c r="E234" s="8" t="s">
        <v>75</v>
      </c>
      <c r="F234" s="8" t="s">
        <v>966</v>
      </c>
      <c r="G234" s="8">
        <v>15018452</v>
      </c>
      <c r="H234" s="8">
        <v>802095131</v>
      </c>
      <c r="I234" s="8" t="s">
        <v>77</v>
      </c>
      <c r="J234" s="8" t="s">
        <v>32</v>
      </c>
      <c r="K234" s="8" t="s">
        <v>1402</v>
      </c>
      <c r="L234" s="8" t="s">
        <v>1403</v>
      </c>
      <c r="M234" s="9">
        <v>44064</v>
      </c>
      <c r="N234" s="9">
        <v>44124</v>
      </c>
      <c r="O234" s="8">
        <v>496.8</v>
      </c>
      <c r="P234" s="8" t="s">
        <v>48</v>
      </c>
      <c r="Q234" s="8" t="s">
        <v>149</v>
      </c>
      <c r="R234" s="8" t="s">
        <v>150</v>
      </c>
      <c r="S234" s="8">
        <v>20</v>
      </c>
      <c r="T234" s="8" t="s">
        <v>36</v>
      </c>
      <c r="U234" s="8" t="s">
        <v>763</v>
      </c>
      <c r="V234" s="8" t="s">
        <v>73</v>
      </c>
      <c r="W234" s="8" t="s">
        <v>1407</v>
      </c>
      <c r="X234" s="8"/>
      <c r="Y234" s="8">
        <v>480</v>
      </c>
      <c r="Z234" s="8"/>
      <c r="AA234" s="8" t="s">
        <v>39</v>
      </c>
      <c r="AB234" s="8">
        <v>31</v>
      </c>
      <c r="AC234" s="13">
        <f t="shared" si="30"/>
        <v>44064</v>
      </c>
      <c r="AD234" s="13">
        <f t="shared" si="31"/>
        <v>44124</v>
      </c>
      <c r="AE234" s="8">
        <v>0</v>
      </c>
      <c r="AF234" s="8"/>
      <c r="AG234" s="8"/>
    </row>
    <row r="235" spans="1:33" hidden="1" x14ac:dyDescent="0.2">
      <c r="A235" s="8">
        <v>2502</v>
      </c>
      <c r="B235" s="9">
        <v>44073</v>
      </c>
      <c r="C235" s="8">
        <v>30012831</v>
      </c>
      <c r="D235" s="8" t="s">
        <v>28</v>
      </c>
      <c r="E235" s="8" t="s">
        <v>98</v>
      </c>
      <c r="F235" s="8" t="s">
        <v>205</v>
      </c>
      <c r="G235" s="8">
        <v>15018324</v>
      </c>
      <c r="H235" s="8">
        <v>802094882</v>
      </c>
      <c r="I235" s="8" t="s">
        <v>99</v>
      </c>
      <c r="J235" s="8" t="s">
        <v>32</v>
      </c>
      <c r="K235" s="8" t="s">
        <v>503</v>
      </c>
      <c r="L235" s="8" t="s">
        <v>1116</v>
      </c>
      <c r="M235" s="9">
        <v>44064</v>
      </c>
      <c r="N235" s="9">
        <v>44085</v>
      </c>
      <c r="O235" s="8">
        <v>296.71199999999999</v>
      </c>
      <c r="P235" s="8" t="s">
        <v>492</v>
      </c>
      <c r="Q235" s="8" t="s">
        <v>34</v>
      </c>
      <c r="R235" s="8" t="s">
        <v>35</v>
      </c>
      <c r="S235" s="8">
        <v>13</v>
      </c>
      <c r="T235" s="8" t="s">
        <v>87</v>
      </c>
      <c r="U235" s="8" t="s">
        <v>290</v>
      </c>
      <c r="V235" s="8" t="s">
        <v>493</v>
      </c>
      <c r="W235" s="8" t="s">
        <v>1174</v>
      </c>
      <c r="X235" s="8"/>
      <c r="Y235" s="8">
        <v>312</v>
      </c>
      <c r="Z235" s="8"/>
      <c r="AA235" s="8" t="s">
        <v>39</v>
      </c>
      <c r="AB235" s="8">
        <v>31</v>
      </c>
      <c r="AC235" s="13">
        <v>44064</v>
      </c>
      <c r="AD235" s="13">
        <v>44085</v>
      </c>
      <c r="AE235" s="8">
        <v>0</v>
      </c>
      <c r="AF235" s="8"/>
      <c r="AG235" s="8"/>
    </row>
    <row r="236" spans="1:33" x14ac:dyDescent="0.2">
      <c r="A236" s="8">
        <v>2501</v>
      </c>
      <c r="B236" s="9">
        <v>44074</v>
      </c>
      <c r="C236" s="8">
        <v>30012782</v>
      </c>
      <c r="D236" s="8" t="s">
        <v>365</v>
      </c>
      <c r="E236" s="8" t="s">
        <v>366</v>
      </c>
      <c r="F236" s="8" t="s">
        <v>367</v>
      </c>
      <c r="G236" s="8">
        <v>15018273</v>
      </c>
      <c r="H236" s="8">
        <v>802094846</v>
      </c>
      <c r="I236" s="8" t="s">
        <v>520</v>
      </c>
      <c r="J236" s="8" t="s">
        <v>58</v>
      </c>
      <c r="K236" s="8" t="s">
        <v>247</v>
      </c>
      <c r="L236" s="8" t="s">
        <v>1485</v>
      </c>
      <c r="M236" s="9">
        <v>44066</v>
      </c>
      <c r="N236" s="9">
        <v>44083</v>
      </c>
      <c r="O236" s="8">
        <v>95.48</v>
      </c>
      <c r="P236" s="8" t="s">
        <v>33</v>
      </c>
      <c r="Q236" s="8" t="s">
        <v>59</v>
      </c>
      <c r="R236" s="8" t="s">
        <v>368</v>
      </c>
      <c r="S236" s="8">
        <v>4</v>
      </c>
      <c r="T236" s="8" t="s">
        <v>61</v>
      </c>
      <c r="U236" s="8" t="s">
        <v>290</v>
      </c>
      <c r="V236" s="8" t="s">
        <v>52</v>
      </c>
      <c r="W236" s="8" t="s">
        <v>1486</v>
      </c>
      <c r="X236" s="8"/>
      <c r="Y236" s="8">
        <v>40</v>
      </c>
      <c r="Z236" s="8" t="s">
        <v>1487</v>
      </c>
      <c r="AA236" s="8" t="s">
        <v>39</v>
      </c>
      <c r="AB236" s="8">
        <v>31</v>
      </c>
      <c r="AC236" s="13">
        <f>M236</f>
        <v>44066</v>
      </c>
      <c r="AD236" s="13">
        <f t="shared" ref="AD236:AD237" si="32">N236</f>
        <v>44083</v>
      </c>
      <c r="AE236" s="8">
        <v>0</v>
      </c>
      <c r="AF236" s="8"/>
      <c r="AG236" s="8"/>
    </row>
    <row r="237" spans="1:33" x14ac:dyDescent="0.2">
      <c r="A237" s="8">
        <v>2501</v>
      </c>
      <c r="B237" s="9">
        <v>44074</v>
      </c>
      <c r="C237" s="8">
        <v>30012782</v>
      </c>
      <c r="D237" s="8" t="s">
        <v>54</v>
      </c>
      <c r="E237" s="8" t="s">
        <v>55</v>
      </c>
      <c r="F237" s="8" t="s">
        <v>56</v>
      </c>
      <c r="G237" s="8">
        <v>15018296</v>
      </c>
      <c r="H237" s="8">
        <v>802094857</v>
      </c>
      <c r="I237" s="8" t="s">
        <v>57</v>
      </c>
      <c r="J237" s="8" t="s">
        <v>58</v>
      </c>
      <c r="K237" s="8" t="s">
        <v>247</v>
      </c>
      <c r="L237" s="8" t="s">
        <v>1485</v>
      </c>
      <c r="M237" s="9">
        <v>44066</v>
      </c>
      <c r="N237" s="9">
        <v>44083</v>
      </c>
      <c r="O237" s="8">
        <v>186.8</v>
      </c>
      <c r="P237" s="8" t="s">
        <v>33</v>
      </c>
      <c r="Q237" s="8" t="s">
        <v>59</v>
      </c>
      <c r="R237" s="8" t="s">
        <v>60</v>
      </c>
      <c r="S237" s="8">
        <v>8</v>
      </c>
      <c r="T237" s="8" t="s">
        <v>61</v>
      </c>
      <c r="U237" s="8" t="s">
        <v>290</v>
      </c>
      <c r="V237" s="8" t="s">
        <v>52</v>
      </c>
      <c r="W237" s="8" t="s">
        <v>1490</v>
      </c>
      <c r="X237" s="8"/>
      <c r="Y237" s="8">
        <v>80</v>
      </c>
      <c r="Z237" s="8" t="s">
        <v>1492</v>
      </c>
      <c r="AA237" s="8" t="s">
        <v>39</v>
      </c>
      <c r="AB237" s="8">
        <v>31</v>
      </c>
      <c r="AC237" s="13">
        <f>M237</f>
        <v>44066</v>
      </c>
      <c r="AD237" s="13">
        <f t="shared" si="32"/>
        <v>44083</v>
      </c>
      <c r="AE237" s="8">
        <v>0</v>
      </c>
      <c r="AF237" s="8"/>
      <c r="AG237" s="8"/>
    </row>
    <row r="238" spans="1:33" hidden="1" x14ac:dyDescent="0.2">
      <c r="A238" s="8">
        <v>2504</v>
      </c>
      <c r="B238" s="9">
        <v>44074</v>
      </c>
      <c r="C238" s="8">
        <v>30012825</v>
      </c>
      <c r="D238" s="8" t="s">
        <v>91</v>
      </c>
      <c r="E238" s="8" t="s">
        <v>569</v>
      </c>
      <c r="F238" s="8" t="s">
        <v>570</v>
      </c>
      <c r="G238" s="8">
        <v>15018263</v>
      </c>
      <c r="H238" s="8">
        <v>802094844</v>
      </c>
      <c r="I238" s="8" t="s">
        <v>571</v>
      </c>
      <c r="J238" s="8" t="s">
        <v>58</v>
      </c>
      <c r="K238" s="8" t="s">
        <v>515</v>
      </c>
      <c r="L238" s="8" t="s">
        <v>753</v>
      </c>
      <c r="M238" s="9">
        <v>44065</v>
      </c>
      <c r="N238" s="9">
        <v>44079</v>
      </c>
      <c r="O238" s="8">
        <v>122.4</v>
      </c>
      <c r="P238" s="8" t="s">
        <v>48</v>
      </c>
      <c r="Q238" s="8" t="s">
        <v>131</v>
      </c>
      <c r="R238" s="8" t="s">
        <v>132</v>
      </c>
      <c r="S238" s="8">
        <v>5</v>
      </c>
      <c r="T238" s="8" t="s">
        <v>36</v>
      </c>
      <c r="U238" s="8" t="s">
        <v>290</v>
      </c>
      <c r="V238" s="8" t="s">
        <v>155</v>
      </c>
      <c r="W238" s="8" t="s">
        <v>1445</v>
      </c>
      <c r="X238" s="8"/>
      <c r="Y238" s="8">
        <v>60</v>
      </c>
      <c r="Z238" s="8" t="s">
        <v>53</v>
      </c>
      <c r="AA238" s="8" t="s">
        <v>39</v>
      </c>
      <c r="AB238" s="8">
        <v>31</v>
      </c>
      <c r="AC238" s="13">
        <f t="shared" ref="AC238:AC241" si="33">M238</f>
        <v>44065</v>
      </c>
      <c r="AD238" s="13">
        <f t="shared" ref="AD238:AD241" si="34">N238</f>
        <v>44079</v>
      </c>
      <c r="AE238" s="8">
        <v>0</v>
      </c>
      <c r="AF238" s="8"/>
      <c r="AG238" s="8"/>
    </row>
    <row r="239" spans="1:33" hidden="1" x14ac:dyDescent="0.2">
      <c r="A239" s="8">
        <v>2524</v>
      </c>
      <c r="B239" s="9">
        <v>44063</v>
      </c>
      <c r="C239" s="8">
        <v>30012825</v>
      </c>
      <c r="D239" s="8" t="s">
        <v>178</v>
      </c>
      <c r="E239" s="8" t="s">
        <v>186</v>
      </c>
      <c r="F239" s="8" t="s">
        <v>187</v>
      </c>
      <c r="G239" s="8">
        <v>15018354</v>
      </c>
      <c r="H239" s="8">
        <v>802094914</v>
      </c>
      <c r="I239" s="8" t="s">
        <v>389</v>
      </c>
      <c r="J239" s="8" t="s">
        <v>47</v>
      </c>
      <c r="K239" s="8" t="s">
        <v>515</v>
      </c>
      <c r="L239" s="8" t="s">
        <v>753</v>
      </c>
      <c r="M239" s="9">
        <v>44065</v>
      </c>
      <c r="N239" s="9">
        <v>44081</v>
      </c>
      <c r="O239" s="8">
        <v>147.24</v>
      </c>
      <c r="P239" s="8" t="s">
        <v>48</v>
      </c>
      <c r="Q239" s="8" t="s">
        <v>182</v>
      </c>
      <c r="R239" s="8" t="s">
        <v>391</v>
      </c>
      <c r="S239" s="8">
        <v>6</v>
      </c>
      <c r="T239" s="8" t="s">
        <v>36</v>
      </c>
      <c r="U239" s="8" t="s">
        <v>290</v>
      </c>
      <c r="V239" s="8" t="s">
        <v>155</v>
      </c>
      <c r="W239" s="8" t="s">
        <v>1448</v>
      </c>
      <c r="X239" s="8"/>
      <c r="Y239" s="8">
        <v>120</v>
      </c>
      <c r="Z239" s="8" t="s">
        <v>53</v>
      </c>
      <c r="AA239" s="8" t="s">
        <v>190</v>
      </c>
      <c r="AB239" s="8">
        <v>31</v>
      </c>
      <c r="AC239" s="13">
        <f t="shared" si="33"/>
        <v>44065</v>
      </c>
      <c r="AD239" s="13">
        <f t="shared" si="34"/>
        <v>44081</v>
      </c>
      <c r="AE239" s="8">
        <v>0</v>
      </c>
      <c r="AF239" s="8"/>
      <c r="AG239" s="8"/>
    </row>
    <row r="240" spans="1:33" hidden="1" x14ac:dyDescent="0.2">
      <c r="A240" s="8">
        <v>2504</v>
      </c>
      <c r="B240" s="9">
        <v>44058</v>
      </c>
      <c r="C240" s="8">
        <v>30012811</v>
      </c>
      <c r="D240" s="8" t="s">
        <v>28</v>
      </c>
      <c r="E240" s="8" t="s">
        <v>280</v>
      </c>
      <c r="F240" s="8" t="s">
        <v>352</v>
      </c>
      <c r="G240" s="8">
        <v>15018238</v>
      </c>
      <c r="H240" s="8">
        <v>802094751</v>
      </c>
      <c r="I240" s="8" t="s">
        <v>77</v>
      </c>
      <c r="J240" s="8" t="s">
        <v>32</v>
      </c>
      <c r="K240" s="8" t="s">
        <v>1426</v>
      </c>
      <c r="L240" s="8" t="s">
        <v>1269</v>
      </c>
      <c r="M240" s="9">
        <v>44065</v>
      </c>
      <c r="N240" s="9">
        <v>44097</v>
      </c>
      <c r="O240" s="8">
        <v>496.8</v>
      </c>
      <c r="P240" s="8" t="s">
        <v>48</v>
      </c>
      <c r="Q240" s="8" t="s">
        <v>353</v>
      </c>
      <c r="R240" s="8" t="s">
        <v>354</v>
      </c>
      <c r="S240" s="8">
        <v>20</v>
      </c>
      <c r="T240" s="8" t="s">
        <v>36</v>
      </c>
      <c r="U240" s="8" t="s">
        <v>290</v>
      </c>
      <c r="V240" s="8" t="s">
        <v>43</v>
      </c>
      <c r="W240" s="8" t="s">
        <v>1427</v>
      </c>
      <c r="X240" s="8"/>
      <c r="Y240" s="8">
        <v>480</v>
      </c>
      <c r="Z240" s="8"/>
      <c r="AA240" s="8" t="s">
        <v>39</v>
      </c>
      <c r="AB240" s="8">
        <v>31</v>
      </c>
      <c r="AC240" s="13">
        <f t="shared" si="33"/>
        <v>44065</v>
      </c>
      <c r="AD240" s="13">
        <f t="shared" si="34"/>
        <v>44097</v>
      </c>
      <c r="AE240" s="8">
        <v>0</v>
      </c>
      <c r="AF240" s="8"/>
      <c r="AG240" s="8"/>
    </row>
    <row r="241" spans="1:33" hidden="1" x14ac:dyDescent="0.2">
      <c r="A241" s="8">
        <v>2504</v>
      </c>
      <c r="B241" s="9">
        <v>44058</v>
      </c>
      <c r="C241" s="8">
        <v>30012811</v>
      </c>
      <c r="D241" s="8" t="s">
        <v>28</v>
      </c>
      <c r="E241" s="8" t="s">
        <v>280</v>
      </c>
      <c r="F241" s="8" t="s">
        <v>352</v>
      </c>
      <c r="G241" s="8">
        <v>15018239</v>
      </c>
      <c r="H241" s="8">
        <v>802094752</v>
      </c>
      <c r="I241" s="8" t="s">
        <v>77</v>
      </c>
      <c r="J241" s="8" t="s">
        <v>32</v>
      </c>
      <c r="K241" s="8" t="s">
        <v>1426</v>
      </c>
      <c r="L241" s="8" t="s">
        <v>1269</v>
      </c>
      <c r="M241" s="9">
        <v>44065</v>
      </c>
      <c r="N241" s="9">
        <v>44097</v>
      </c>
      <c r="O241" s="8">
        <v>496.8</v>
      </c>
      <c r="P241" s="8" t="s">
        <v>48</v>
      </c>
      <c r="Q241" s="8" t="s">
        <v>353</v>
      </c>
      <c r="R241" s="8" t="s">
        <v>354</v>
      </c>
      <c r="S241" s="8">
        <v>20</v>
      </c>
      <c r="T241" s="8" t="s">
        <v>36</v>
      </c>
      <c r="U241" s="8" t="s">
        <v>290</v>
      </c>
      <c r="V241" s="8" t="s">
        <v>43</v>
      </c>
      <c r="W241" s="8" t="s">
        <v>1430</v>
      </c>
      <c r="X241" s="8"/>
      <c r="Y241" s="8">
        <v>480</v>
      </c>
      <c r="Z241" s="8"/>
      <c r="AA241" s="8" t="s">
        <v>39</v>
      </c>
      <c r="AB241" s="8">
        <v>31</v>
      </c>
      <c r="AC241" s="13">
        <f t="shared" si="33"/>
        <v>44065</v>
      </c>
      <c r="AD241" s="13">
        <f t="shared" si="34"/>
        <v>44097</v>
      </c>
      <c r="AE241" s="8">
        <v>0</v>
      </c>
      <c r="AF241" s="8"/>
      <c r="AG241" s="8"/>
    </row>
    <row r="242" spans="1:33" hidden="1" x14ac:dyDescent="0.2">
      <c r="A242" s="8">
        <v>2502</v>
      </c>
      <c r="B242" s="9">
        <v>44073</v>
      </c>
      <c r="C242" s="8">
        <v>30012797</v>
      </c>
      <c r="D242" s="8" t="s">
        <v>54</v>
      </c>
      <c r="E242" s="8" t="s">
        <v>879</v>
      </c>
      <c r="F242" s="8" t="s">
        <v>880</v>
      </c>
      <c r="G242" s="8">
        <v>15018294</v>
      </c>
      <c r="H242" s="8">
        <v>802094855</v>
      </c>
      <c r="I242" s="8" t="s">
        <v>883</v>
      </c>
      <c r="J242" s="8" t="s">
        <v>83</v>
      </c>
      <c r="K242" s="8" t="s">
        <v>209</v>
      </c>
      <c r="L242" s="8" t="s">
        <v>1396</v>
      </c>
      <c r="M242" s="9">
        <v>44069</v>
      </c>
      <c r="N242" s="9">
        <v>44079</v>
      </c>
      <c r="O242" s="8">
        <v>161.28</v>
      </c>
      <c r="P242" s="8" t="s">
        <v>492</v>
      </c>
      <c r="Q242" s="8" t="s">
        <v>105</v>
      </c>
      <c r="R242" s="8" t="s">
        <v>106</v>
      </c>
      <c r="S242" s="8">
        <v>7</v>
      </c>
      <c r="T242" s="8" t="s">
        <v>87</v>
      </c>
      <c r="U242" s="8" t="s">
        <v>290</v>
      </c>
      <c r="V242" s="8" t="s">
        <v>43</v>
      </c>
      <c r="W242" s="8" t="s">
        <v>1397</v>
      </c>
      <c r="X242" s="8"/>
      <c r="Y242" s="8">
        <v>168</v>
      </c>
      <c r="Z242" s="8" t="s">
        <v>1398</v>
      </c>
      <c r="AA242" s="8" t="s">
        <v>39</v>
      </c>
      <c r="AB242" s="8">
        <v>31</v>
      </c>
      <c r="AC242" s="13">
        <f>M242</f>
        <v>44069</v>
      </c>
      <c r="AD242" s="13">
        <f>N242</f>
        <v>44079</v>
      </c>
      <c r="AE242" s="8">
        <v>0</v>
      </c>
      <c r="AF242" s="8">
        <v>0</v>
      </c>
      <c r="AG242" s="8"/>
    </row>
    <row r="243" spans="1:33" hidden="1" x14ac:dyDescent="0.2">
      <c r="A243" s="8">
        <v>2504</v>
      </c>
      <c r="B243" s="9">
        <v>44063</v>
      </c>
      <c r="C243" s="8">
        <v>30012819</v>
      </c>
      <c r="D243" s="8" t="s">
        <v>62</v>
      </c>
      <c r="E243" s="8" t="s">
        <v>217</v>
      </c>
      <c r="F243" s="8" t="s">
        <v>218</v>
      </c>
      <c r="G243" s="8">
        <v>15018225</v>
      </c>
      <c r="H243" s="8">
        <v>802094746</v>
      </c>
      <c r="I243" s="8" t="s">
        <v>77</v>
      </c>
      <c r="J243" s="8" t="s">
        <v>32</v>
      </c>
      <c r="K243" s="8" t="s">
        <v>430</v>
      </c>
      <c r="L243" s="8" t="s">
        <v>1434</v>
      </c>
      <c r="M243" s="9">
        <v>44065</v>
      </c>
      <c r="N243" s="9">
        <v>44097</v>
      </c>
      <c r="O243" s="8">
        <v>496.8</v>
      </c>
      <c r="P243" s="8" t="s">
        <v>48</v>
      </c>
      <c r="Q243" s="8" t="s">
        <v>34</v>
      </c>
      <c r="R243" s="8" t="s">
        <v>35</v>
      </c>
      <c r="S243" s="8">
        <v>20</v>
      </c>
      <c r="T243" s="8" t="s">
        <v>36</v>
      </c>
      <c r="U243" s="8" t="s">
        <v>290</v>
      </c>
      <c r="V243" s="8" t="s">
        <v>52</v>
      </c>
      <c r="W243" s="8" t="s">
        <v>1435</v>
      </c>
      <c r="X243" s="8"/>
      <c r="Y243" s="8">
        <v>480</v>
      </c>
      <c r="Z243" s="8"/>
      <c r="AA243" s="8" t="s">
        <v>39</v>
      </c>
      <c r="AB243" s="8">
        <v>31</v>
      </c>
      <c r="AC243" s="13">
        <f t="shared" ref="AC243:AC247" si="35">M243</f>
        <v>44065</v>
      </c>
      <c r="AD243" s="13">
        <f t="shared" ref="AD243:AD247" si="36">N243</f>
        <v>44097</v>
      </c>
      <c r="AE243" s="8">
        <v>0</v>
      </c>
      <c r="AF243" s="8"/>
      <c r="AG243" s="8"/>
    </row>
    <row r="244" spans="1:33" hidden="1" x14ac:dyDescent="0.2">
      <c r="A244" s="8">
        <v>2504</v>
      </c>
      <c r="B244" s="9">
        <v>44063</v>
      </c>
      <c r="C244" s="8">
        <v>30012819</v>
      </c>
      <c r="D244" s="8" t="s">
        <v>62</v>
      </c>
      <c r="E244" s="8" t="s">
        <v>217</v>
      </c>
      <c r="F244" s="8" t="s">
        <v>218</v>
      </c>
      <c r="G244" s="8">
        <v>15018226</v>
      </c>
      <c r="H244" s="8">
        <v>802094747</v>
      </c>
      <c r="I244" s="8" t="s">
        <v>77</v>
      </c>
      <c r="J244" s="8" t="s">
        <v>32</v>
      </c>
      <c r="K244" s="8" t="s">
        <v>430</v>
      </c>
      <c r="L244" s="8" t="s">
        <v>1434</v>
      </c>
      <c r="M244" s="9">
        <v>44065</v>
      </c>
      <c r="N244" s="9">
        <v>44097</v>
      </c>
      <c r="O244" s="8">
        <v>496.8</v>
      </c>
      <c r="P244" s="8" t="s">
        <v>48</v>
      </c>
      <c r="Q244" s="8" t="s">
        <v>34</v>
      </c>
      <c r="R244" s="8" t="s">
        <v>35</v>
      </c>
      <c r="S244" s="8">
        <v>20</v>
      </c>
      <c r="T244" s="8" t="s">
        <v>36</v>
      </c>
      <c r="U244" s="8" t="s">
        <v>290</v>
      </c>
      <c r="V244" s="8" t="s">
        <v>52</v>
      </c>
      <c r="W244" s="8" t="s">
        <v>1438</v>
      </c>
      <c r="X244" s="8"/>
      <c r="Y244" s="8">
        <v>480</v>
      </c>
      <c r="Z244" s="8"/>
      <c r="AA244" s="8" t="s">
        <v>39</v>
      </c>
      <c r="AB244" s="8">
        <v>31</v>
      </c>
      <c r="AC244" s="13">
        <f t="shared" si="35"/>
        <v>44065</v>
      </c>
      <c r="AD244" s="13">
        <f t="shared" si="36"/>
        <v>44097</v>
      </c>
      <c r="AE244" s="8">
        <v>0</v>
      </c>
      <c r="AF244" s="8"/>
      <c r="AG244" s="8"/>
    </row>
    <row r="245" spans="1:33" hidden="1" x14ac:dyDescent="0.2">
      <c r="A245" s="8">
        <v>2504</v>
      </c>
      <c r="B245" s="9">
        <v>44048</v>
      </c>
      <c r="C245" s="8">
        <v>30012819</v>
      </c>
      <c r="D245" s="8" t="s">
        <v>44</v>
      </c>
      <c r="E245" s="8" t="s">
        <v>45</v>
      </c>
      <c r="F245" s="8" t="s">
        <v>299</v>
      </c>
      <c r="G245" s="8">
        <v>15018264</v>
      </c>
      <c r="H245" s="8">
        <v>802094845</v>
      </c>
      <c r="I245" s="8" t="s">
        <v>567</v>
      </c>
      <c r="J245" s="8" t="s">
        <v>58</v>
      </c>
      <c r="K245" s="8" t="s">
        <v>430</v>
      </c>
      <c r="L245" s="8" t="s">
        <v>1434</v>
      </c>
      <c r="M245" s="9">
        <v>44065</v>
      </c>
      <c r="N245" s="9">
        <v>44096</v>
      </c>
      <c r="O245" s="8">
        <v>80.72</v>
      </c>
      <c r="P245" s="8" t="s">
        <v>48</v>
      </c>
      <c r="Q245" s="8" t="s">
        <v>85</v>
      </c>
      <c r="R245" s="8" t="s">
        <v>301</v>
      </c>
      <c r="S245" s="8">
        <v>4</v>
      </c>
      <c r="T245" s="8" t="s">
        <v>42</v>
      </c>
      <c r="U245" s="8" t="s">
        <v>290</v>
      </c>
      <c r="V245" s="8" t="s">
        <v>52</v>
      </c>
      <c r="W245" s="8" t="s">
        <v>1441</v>
      </c>
      <c r="X245" s="8"/>
      <c r="Y245" s="8">
        <v>40</v>
      </c>
      <c r="Z245" s="8" t="s">
        <v>53</v>
      </c>
      <c r="AA245" s="8" t="s">
        <v>39</v>
      </c>
      <c r="AB245" s="8">
        <v>31</v>
      </c>
      <c r="AC245" s="13">
        <f t="shared" si="35"/>
        <v>44065</v>
      </c>
      <c r="AD245" s="13">
        <f t="shared" si="36"/>
        <v>44096</v>
      </c>
      <c r="AE245" s="8">
        <v>0</v>
      </c>
      <c r="AF245" s="8"/>
      <c r="AG245" s="8"/>
    </row>
    <row r="246" spans="1:33" hidden="1" x14ac:dyDescent="0.2">
      <c r="A246" s="8">
        <v>2504</v>
      </c>
      <c r="B246" s="9">
        <v>44073</v>
      </c>
      <c r="C246" s="8">
        <v>30012832</v>
      </c>
      <c r="D246" s="8" t="s">
        <v>91</v>
      </c>
      <c r="E246" s="8" t="s">
        <v>347</v>
      </c>
      <c r="F246" s="8" t="s">
        <v>348</v>
      </c>
      <c r="G246" s="8">
        <v>15017737</v>
      </c>
      <c r="H246" s="8">
        <v>802094723</v>
      </c>
      <c r="I246" s="8" t="s">
        <v>349</v>
      </c>
      <c r="J246" s="8" t="s">
        <v>58</v>
      </c>
      <c r="K246" s="8" t="s">
        <v>430</v>
      </c>
      <c r="L246" s="8" t="s">
        <v>1434</v>
      </c>
      <c r="M246" s="9">
        <v>44065</v>
      </c>
      <c r="N246" s="9">
        <v>44085</v>
      </c>
      <c r="O246" s="8">
        <v>102.124</v>
      </c>
      <c r="P246" s="8" t="s">
        <v>48</v>
      </c>
      <c r="Q246" s="8" t="s">
        <v>100</v>
      </c>
      <c r="R246" s="8" t="s">
        <v>101</v>
      </c>
      <c r="S246" s="8">
        <v>4</v>
      </c>
      <c r="T246" s="8" t="s">
        <v>72</v>
      </c>
      <c r="U246" s="8" t="s">
        <v>290</v>
      </c>
      <c r="V246" s="8" t="s">
        <v>155</v>
      </c>
      <c r="W246" s="8" t="s">
        <v>1452</v>
      </c>
      <c r="X246" s="8"/>
      <c r="Y246" s="8">
        <v>44</v>
      </c>
      <c r="Z246" s="8" t="s">
        <v>1453</v>
      </c>
      <c r="AA246" s="8" t="s">
        <v>39</v>
      </c>
      <c r="AB246" s="8">
        <v>31</v>
      </c>
      <c r="AC246" s="13">
        <f t="shared" si="35"/>
        <v>44065</v>
      </c>
      <c r="AD246" s="13">
        <f t="shared" si="36"/>
        <v>44085</v>
      </c>
      <c r="AE246" s="8">
        <v>0</v>
      </c>
      <c r="AF246" s="8"/>
      <c r="AG246" s="8"/>
    </row>
    <row r="247" spans="1:33" hidden="1" x14ac:dyDescent="0.2">
      <c r="A247" s="8">
        <v>2504</v>
      </c>
      <c r="B247" s="9">
        <v>44063</v>
      </c>
      <c r="C247" s="8">
        <v>30012832</v>
      </c>
      <c r="D247" s="8" t="s">
        <v>102</v>
      </c>
      <c r="E247" s="8" t="s">
        <v>398</v>
      </c>
      <c r="F247" s="8" t="s">
        <v>399</v>
      </c>
      <c r="G247" s="8">
        <v>15018261</v>
      </c>
      <c r="H247" s="8">
        <v>802094843</v>
      </c>
      <c r="I247" s="8" t="s">
        <v>400</v>
      </c>
      <c r="J247" s="8" t="s">
        <v>58</v>
      </c>
      <c r="K247" s="8" t="s">
        <v>430</v>
      </c>
      <c r="L247" s="8" t="s">
        <v>1434</v>
      </c>
      <c r="M247" s="9">
        <v>44065</v>
      </c>
      <c r="N247" s="9">
        <v>44087</v>
      </c>
      <c r="O247" s="8">
        <v>76.88</v>
      </c>
      <c r="P247" s="8" t="s">
        <v>48</v>
      </c>
      <c r="Q247" s="8" t="s">
        <v>401</v>
      </c>
      <c r="R247" s="8" t="s">
        <v>402</v>
      </c>
      <c r="S247" s="8">
        <v>4</v>
      </c>
      <c r="T247" s="8" t="s">
        <v>140</v>
      </c>
      <c r="U247" s="8" t="s">
        <v>290</v>
      </c>
      <c r="V247" s="8" t="s">
        <v>155</v>
      </c>
      <c r="W247" s="8" t="s">
        <v>1456</v>
      </c>
      <c r="X247" s="8"/>
      <c r="Y247" s="8">
        <v>40</v>
      </c>
      <c r="Z247" s="8" t="s">
        <v>1457</v>
      </c>
      <c r="AA247" s="8" t="s">
        <v>39</v>
      </c>
      <c r="AB247" s="8">
        <v>31</v>
      </c>
      <c r="AC247" s="13">
        <f t="shared" si="35"/>
        <v>44065</v>
      </c>
      <c r="AD247" s="13">
        <f t="shared" si="36"/>
        <v>44087</v>
      </c>
      <c r="AE247" s="8">
        <v>0</v>
      </c>
      <c r="AF247" s="8"/>
      <c r="AG247" s="8"/>
    </row>
    <row r="248" spans="1:33" hidden="1" x14ac:dyDescent="0.2">
      <c r="A248" s="8">
        <v>2522</v>
      </c>
      <c r="B248" s="9">
        <v>44063</v>
      </c>
      <c r="C248" s="8">
        <v>30012861</v>
      </c>
      <c r="D248" s="8" t="s">
        <v>178</v>
      </c>
      <c r="E248" s="8" t="s">
        <v>186</v>
      </c>
      <c r="F248" s="8" t="s">
        <v>187</v>
      </c>
      <c r="G248" s="8">
        <v>15018353</v>
      </c>
      <c r="H248" s="8">
        <v>802094996</v>
      </c>
      <c r="I248" s="8" t="s">
        <v>188</v>
      </c>
      <c r="J248" s="8" t="s">
        <v>95</v>
      </c>
      <c r="K248" s="8" t="s">
        <v>1415</v>
      </c>
      <c r="L248" s="8" t="s">
        <v>1269</v>
      </c>
      <c r="M248" s="9">
        <v>44069</v>
      </c>
      <c r="N248" s="9">
        <v>44088</v>
      </c>
      <c r="O248" s="8">
        <v>167.43299999999999</v>
      </c>
      <c r="P248" s="8" t="s">
        <v>492</v>
      </c>
      <c r="Q248" s="8" t="s">
        <v>131</v>
      </c>
      <c r="R248" s="8" t="s">
        <v>189</v>
      </c>
      <c r="S248" s="8">
        <v>7</v>
      </c>
      <c r="T248" s="8" t="s">
        <v>87</v>
      </c>
      <c r="U248" s="8" t="s">
        <v>290</v>
      </c>
      <c r="V248" s="8" t="s">
        <v>65</v>
      </c>
      <c r="W248" s="8" t="s">
        <v>1416</v>
      </c>
      <c r="X248" s="8"/>
      <c r="Y248" s="8">
        <v>119</v>
      </c>
      <c r="Z248" s="8"/>
      <c r="AA248" s="8" t="s">
        <v>190</v>
      </c>
      <c r="AB248" s="8">
        <v>31</v>
      </c>
      <c r="AC248" s="13">
        <f t="shared" ref="AC248:AD250" si="37">M248</f>
        <v>44069</v>
      </c>
      <c r="AD248" s="13">
        <f t="shared" si="37"/>
        <v>44088</v>
      </c>
      <c r="AE248" s="8">
        <v>0</v>
      </c>
      <c r="AF248" s="8"/>
      <c r="AG248" s="8"/>
    </row>
    <row r="249" spans="1:33" hidden="1" x14ac:dyDescent="0.2">
      <c r="A249" s="8">
        <v>2522</v>
      </c>
      <c r="B249" s="9">
        <v>44058</v>
      </c>
      <c r="C249" s="8">
        <v>30012861</v>
      </c>
      <c r="D249" s="8" t="s">
        <v>178</v>
      </c>
      <c r="E249" s="8" t="s">
        <v>179</v>
      </c>
      <c r="F249" s="8" t="s">
        <v>180</v>
      </c>
      <c r="G249" s="8">
        <v>15018359</v>
      </c>
      <c r="H249" s="8">
        <v>802094919</v>
      </c>
      <c r="I249" s="8" t="s">
        <v>181</v>
      </c>
      <c r="J249" s="8" t="s">
        <v>95</v>
      </c>
      <c r="K249" s="8" t="s">
        <v>1415</v>
      </c>
      <c r="L249" s="8" t="s">
        <v>1269</v>
      </c>
      <c r="M249" s="9">
        <v>44069</v>
      </c>
      <c r="N249" s="9">
        <v>44090</v>
      </c>
      <c r="O249" s="8">
        <v>263.72500000000002</v>
      </c>
      <c r="P249" s="8" t="s">
        <v>492</v>
      </c>
      <c r="Q249" s="8" t="s">
        <v>182</v>
      </c>
      <c r="R249" s="8" t="s">
        <v>183</v>
      </c>
      <c r="S249" s="8">
        <v>11</v>
      </c>
      <c r="T249" s="8" t="s">
        <v>87</v>
      </c>
      <c r="U249" s="8" t="s">
        <v>290</v>
      </c>
      <c r="V249" s="8" t="s">
        <v>65</v>
      </c>
      <c r="W249" s="8" t="s">
        <v>1419</v>
      </c>
      <c r="X249" s="8"/>
      <c r="Y249" s="8">
        <v>275</v>
      </c>
      <c r="Z249" s="8"/>
      <c r="AA249" s="8" t="s">
        <v>184</v>
      </c>
      <c r="AB249" s="8">
        <v>31</v>
      </c>
      <c r="AC249" s="13">
        <f t="shared" si="37"/>
        <v>44069</v>
      </c>
      <c r="AD249" s="13">
        <f t="shared" si="37"/>
        <v>44090</v>
      </c>
      <c r="AE249" s="8">
        <v>0</v>
      </c>
      <c r="AF249" s="8"/>
      <c r="AG249" s="8"/>
    </row>
    <row r="250" spans="1:33" hidden="1" x14ac:dyDescent="0.2">
      <c r="A250" s="8">
        <v>2522</v>
      </c>
      <c r="B250" s="9">
        <v>44058</v>
      </c>
      <c r="C250" s="8">
        <v>30012861</v>
      </c>
      <c r="D250" s="8" t="s">
        <v>178</v>
      </c>
      <c r="E250" s="8" t="s">
        <v>179</v>
      </c>
      <c r="F250" s="8" t="s">
        <v>180</v>
      </c>
      <c r="G250" s="8">
        <v>15018360</v>
      </c>
      <c r="H250" s="8">
        <v>802094920</v>
      </c>
      <c r="I250" s="8" t="s">
        <v>181</v>
      </c>
      <c r="J250" s="8" t="s">
        <v>95</v>
      </c>
      <c r="K250" s="8" t="s">
        <v>1415</v>
      </c>
      <c r="L250" s="8" t="s">
        <v>1269</v>
      </c>
      <c r="M250" s="9">
        <v>44069</v>
      </c>
      <c r="N250" s="9">
        <v>44088</v>
      </c>
      <c r="O250" s="8">
        <v>119.875</v>
      </c>
      <c r="P250" s="8" t="s">
        <v>492</v>
      </c>
      <c r="Q250" s="8" t="s">
        <v>131</v>
      </c>
      <c r="R250" s="8" t="s">
        <v>185</v>
      </c>
      <c r="S250" s="8">
        <v>5</v>
      </c>
      <c r="T250" s="8" t="s">
        <v>87</v>
      </c>
      <c r="U250" s="8" t="s">
        <v>290</v>
      </c>
      <c r="V250" s="8" t="s">
        <v>65</v>
      </c>
      <c r="W250" s="8" t="s">
        <v>1422</v>
      </c>
      <c r="X250" s="8"/>
      <c r="Y250" s="8">
        <v>125</v>
      </c>
      <c r="Z250" s="8"/>
      <c r="AA250" s="8" t="s">
        <v>184</v>
      </c>
      <c r="AB250" s="8">
        <v>31</v>
      </c>
      <c r="AC250" s="13">
        <f t="shared" si="37"/>
        <v>44069</v>
      </c>
      <c r="AD250" s="13">
        <f t="shared" si="37"/>
        <v>44088</v>
      </c>
      <c r="AE250" s="8">
        <v>0</v>
      </c>
      <c r="AF250" s="8"/>
      <c r="AG250" s="8"/>
    </row>
    <row r="251" spans="1:33" hidden="1" x14ac:dyDescent="0.2">
      <c r="A251" s="8">
        <v>2504</v>
      </c>
      <c r="B251" s="9">
        <v>44068</v>
      </c>
      <c r="C251" s="8">
        <v>30012833</v>
      </c>
      <c r="D251" s="8" t="s">
        <v>91</v>
      </c>
      <c r="E251" s="8" t="s">
        <v>350</v>
      </c>
      <c r="F251" s="8" t="s">
        <v>351</v>
      </c>
      <c r="G251" s="8">
        <v>15018162</v>
      </c>
      <c r="H251" s="8">
        <v>802094726</v>
      </c>
      <c r="I251" s="8" t="s">
        <v>1502</v>
      </c>
      <c r="J251" s="8" t="s">
        <v>58</v>
      </c>
      <c r="K251" s="8" t="s">
        <v>1415</v>
      </c>
      <c r="L251" s="8" t="s">
        <v>1269</v>
      </c>
      <c r="M251" s="9">
        <v>44066</v>
      </c>
      <c r="N251" s="9">
        <v>44096</v>
      </c>
      <c r="O251" s="8">
        <v>50.74</v>
      </c>
      <c r="P251" s="8" t="s">
        <v>48</v>
      </c>
      <c r="Q251" s="8" t="s">
        <v>100</v>
      </c>
      <c r="R251" s="8" t="s">
        <v>101</v>
      </c>
      <c r="S251" s="8">
        <v>2</v>
      </c>
      <c r="T251" s="8" t="s">
        <v>72</v>
      </c>
      <c r="U251" s="8" t="s">
        <v>290</v>
      </c>
      <c r="V251" s="8" t="s">
        <v>65</v>
      </c>
      <c r="W251" s="8" t="s">
        <v>1503</v>
      </c>
      <c r="X251" s="8"/>
      <c r="Y251" s="8">
        <v>20</v>
      </c>
      <c r="Z251" s="8" t="s">
        <v>53</v>
      </c>
      <c r="AA251" s="8" t="s">
        <v>39</v>
      </c>
      <c r="AB251" s="8">
        <v>31</v>
      </c>
      <c r="AC251" s="13">
        <f t="shared" ref="AC251:AC252" si="38">M251</f>
        <v>44066</v>
      </c>
      <c r="AD251" s="13">
        <f t="shared" ref="AD251:AD253" si="39">N251</f>
        <v>44096</v>
      </c>
      <c r="AE251" s="8">
        <v>0</v>
      </c>
      <c r="AF251" s="8"/>
      <c r="AG251" s="8"/>
    </row>
    <row r="252" spans="1:33" hidden="1" x14ac:dyDescent="0.2">
      <c r="A252" s="8">
        <v>2504</v>
      </c>
      <c r="B252" s="9">
        <v>44068</v>
      </c>
      <c r="C252" s="8">
        <v>30012833</v>
      </c>
      <c r="D252" s="8" t="s">
        <v>91</v>
      </c>
      <c r="E252" s="8" t="s">
        <v>350</v>
      </c>
      <c r="F252" s="8" t="s">
        <v>351</v>
      </c>
      <c r="G252" s="8">
        <v>15018163</v>
      </c>
      <c r="H252" s="8">
        <v>802094727</v>
      </c>
      <c r="I252" s="8" t="s">
        <v>1506</v>
      </c>
      <c r="J252" s="8" t="s">
        <v>58</v>
      </c>
      <c r="K252" s="8" t="s">
        <v>1415</v>
      </c>
      <c r="L252" s="8" t="s">
        <v>1269</v>
      </c>
      <c r="M252" s="9">
        <v>44066</v>
      </c>
      <c r="N252" s="9">
        <v>44096</v>
      </c>
      <c r="O252" s="8">
        <v>51.061999999999998</v>
      </c>
      <c r="P252" s="8" t="s">
        <v>48</v>
      </c>
      <c r="Q252" s="8" t="s">
        <v>100</v>
      </c>
      <c r="R252" s="8" t="s">
        <v>101</v>
      </c>
      <c r="S252" s="8">
        <v>2</v>
      </c>
      <c r="T252" s="8" t="s">
        <v>72</v>
      </c>
      <c r="U252" s="8" t="s">
        <v>290</v>
      </c>
      <c r="V252" s="8" t="s">
        <v>65</v>
      </c>
      <c r="W252" s="8" t="s">
        <v>1507</v>
      </c>
      <c r="X252" s="8"/>
      <c r="Y252" s="8">
        <v>22</v>
      </c>
      <c r="Z252" s="8" t="s">
        <v>53</v>
      </c>
      <c r="AA252" s="8" t="s">
        <v>39</v>
      </c>
      <c r="AB252" s="8">
        <v>31</v>
      </c>
      <c r="AC252" s="13">
        <f t="shared" si="38"/>
        <v>44066</v>
      </c>
      <c r="AD252" s="13">
        <f t="shared" si="39"/>
        <v>44096</v>
      </c>
      <c r="AE252" s="8">
        <v>0</v>
      </c>
      <c r="AF252" s="8"/>
      <c r="AG252" s="8"/>
    </row>
    <row r="253" spans="1:33" x14ac:dyDescent="0.2">
      <c r="A253" s="8">
        <v>2501</v>
      </c>
      <c r="B253" s="9">
        <v>44073</v>
      </c>
      <c r="C253" s="8">
        <v>30012856</v>
      </c>
      <c r="D253" s="8" t="s">
        <v>74</v>
      </c>
      <c r="E253" s="8" t="s">
        <v>75</v>
      </c>
      <c r="F253" s="8" t="s">
        <v>1142</v>
      </c>
      <c r="G253" s="8">
        <v>15018462</v>
      </c>
      <c r="H253" s="8">
        <v>802095155</v>
      </c>
      <c r="I253" s="8" t="s">
        <v>1145</v>
      </c>
      <c r="J253" s="8" t="s">
        <v>58</v>
      </c>
      <c r="K253" s="8" t="s">
        <v>578</v>
      </c>
      <c r="L253" s="8" t="s">
        <v>1146</v>
      </c>
      <c r="M253" s="9">
        <v>44058</v>
      </c>
      <c r="N253" s="9">
        <v>44097</v>
      </c>
      <c r="O253" s="8">
        <v>71.61</v>
      </c>
      <c r="P253" s="8" t="s">
        <v>33</v>
      </c>
      <c r="Q253" s="8" t="s">
        <v>353</v>
      </c>
      <c r="R253" s="8" t="s">
        <v>1147</v>
      </c>
      <c r="S253" s="8">
        <v>3</v>
      </c>
      <c r="T253" s="8" t="s">
        <v>61</v>
      </c>
      <c r="U253" s="8" t="s">
        <v>290</v>
      </c>
      <c r="V253" s="8" t="s">
        <v>65</v>
      </c>
      <c r="W253" s="8" t="s">
        <v>1148</v>
      </c>
      <c r="X253" s="8"/>
      <c r="Y253" s="8">
        <v>21</v>
      </c>
      <c r="Z253" s="8" t="s">
        <v>962</v>
      </c>
      <c r="AA253" s="8" t="s">
        <v>39</v>
      </c>
      <c r="AB253" s="8">
        <v>31</v>
      </c>
      <c r="AC253" s="13">
        <f>M253</f>
        <v>44058</v>
      </c>
      <c r="AD253" s="13">
        <f t="shared" si="39"/>
        <v>44097</v>
      </c>
      <c r="AE253" s="8">
        <v>0</v>
      </c>
      <c r="AF253" s="8"/>
      <c r="AG253" s="8"/>
    </row>
    <row r="254" spans="1:33" hidden="1" x14ac:dyDescent="0.2">
      <c r="A254" s="8">
        <v>2503</v>
      </c>
      <c r="B254" s="9">
        <v>44073</v>
      </c>
      <c r="C254" s="8">
        <v>30012821</v>
      </c>
      <c r="D254" s="8" t="s">
        <v>28</v>
      </c>
      <c r="E254" s="8" t="s">
        <v>129</v>
      </c>
      <c r="F254" s="8" t="s">
        <v>371</v>
      </c>
      <c r="G254" s="8">
        <v>15018328</v>
      </c>
      <c r="H254" s="8">
        <v>802094893</v>
      </c>
      <c r="I254" s="8" t="s">
        <v>372</v>
      </c>
      <c r="J254" s="8" t="s">
        <v>223</v>
      </c>
      <c r="K254" s="8" t="s">
        <v>1190</v>
      </c>
      <c r="L254" s="8" t="s">
        <v>622</v>
      </c>
      <c r="M254" s="9">
        <v>44060</v>
      </c>
      <c r="N254" s="9">
        <v>44113</v>
      </c>
      <c r="O254" s="8">
        <v>412</v>
      </c>
      <c r="P254" s="8" t="s">
        <v>287</v>
      </c>
      <c r="Q254" s="8" t="s">
        <v>373</v>
      </c>
      <c r="R254" s="8" t="s">
        <v>374</v>
      </c>
      <c r="S254" s="8">
        <v>20</v>
      </c>
      <c r="T254" s="8" t="s">
        <v>87</v>
      </c>
      <c r="U254" s="8" t="s">
        <v>290</v>
      </c>
      <c r="V254" s="8" t="s">
        <v>65</v>
      </c>
      <c r="W254" s="8" t="s">
        <v>1191</v>
      </c>
      <c r="X254" s="8"/>
      <c r="Y254" s="8">
        <v>400</v>
      </c>
      <c r="Z254" s="8"/>
      <c r="AA254" s="8" t="s">
        <v>39</v>
      </c>
      <c r="AB254" s="8">
        <v>31</v>
      </c>
      <c r="AC254" s="13">
        <v>44060</v>
      </c>
      <c r="AD254" s="13">
        <v>44113</v>
      </c>
      <c r="AE254" s="8">
        <v>0</v>
      </c>
      <c r="AF254" s="8">
        <v>0</v>
      </c>
      <c r="AG254" s="8"/>
    </row>
    <row r="255" spans="1:33" hidden="1" x14ac:dyDescent="0.2">
      <c r="A255" s="8">
        <v>2504</v>
      </c>
      <c r="B255" s="9">
        <v>44058</v>
      </c>
      <c r="C255" s="8">
        <v>30012826</v>
      </c>
      <c r="D255" s="8" t="s">
        <v>66</v>
      </c>
      <c r="E255" s="8" t="s">
        <v>67</v>
      </c>
      <c r="F255" s="8" t="s">
        <v>68</v>
      </c>
      <c r="G255" s="8">
        <v>15018366</v>
      </c>
      <c r="H255" s="8">
        <v>802094926</v>
      </c>
      <c r="I255" s="8" t="s">
        <v>69</v>
      </c>
      <c r="J255" s="8" t="s">
        <v>58</v>
      </c>
      <c r="K255" s="8" t="s">
        <v>1496</v>
      </c>
      <c r="L255" s="8" t="s">
        <v>1497</v>
      </c>
      <c r="M255" s="9">
        <v>44066</v>
      </c>
      <c r="N255" s="9">
        <v>44113</v>
      </c>
      <c r="O255" s="8">
        <v>52</v>
      </c>
      <c r="P255" s="8" t="s">
        <v>48</v>
      </c>
      <c r="Q255" s="8" t="s">
        <v>70</v>
      </c>
      <c r="R255" s="8" t="s">
        <v>71</v>
      </c>
      <c r="S255" s="8">
        <v>2</v>
      </c>
      <c r="T255" s="8" t="s">
        <v>72</v>
      </c>
      <c r="U255" s="8" t="s">
        <v>290</v>
      </c>
      <c r="V255" s="8" t="s">
        <v>73</v>
      </c>
      <c r="W255" s="8" t="s">
        <v>1498</v>
      </c>
      <c r="X255" s="8"/>
      <c r="Y255" s="8">
        <v>23</v>
      </c>
      <c r="Z255" s="8" t="s">
        <v>53</v>
      </c>
      <c r="AA255" s="8" t="s">
        <v>39</v>
      </c>
      <c r="AB255" s="8">
        <v>31</v>
      </c>
      <c r="AC255" s="13">
        <f>M255</f>
        <v>44066</v>
      </c>
      <c r="AD255" s="13">
        <f>N255</f>
        <v>44113</v>
      </c>
      <c r="AE255" s="8">
        <v>0</v>
      </c>
      <c r="AF255" s="8"/>
      <c r="AG255" s="8"/>
    </row>
    <row r="256" spans="1:33" hidden="1" x14ac:dyDescent="0.2">
      <c r="A256" s="8">
        <v>2502</v>
      </c>
      <c r="B256" s="9">
        <v>44073</v>
      </c>
      <c r="C256" s="8">
        <v>30012803</v>
      </c>
      <c r="D256" s="8" t="s">
        <v>28</v>
      </c>
      <c r="E256" s="8" t="s">
        <v>98</v>
      </c>
      <c r="F256" s="8" t="s">
        <v>205</v>
      </c>
      <c r="G256" s="8">
        <v>15018322</v>
      </c>
      <c r="H256" s="8">
        <v>802094880</v>
      </c>
      <c r="I256" s="8" t="s">
        <v>99</v>
      </c>
      <c r="J256" s="8" t="s">
        <v>32</v>
      </c>
      <c r="K256" s="8" t="s">
        <v>759</v>
      </c>
      <c r="L256" s="8" t="s">
        <v>760</v>
      </c>
      <c r="M256" s="9">
        <v>44052</v>
      </c>
      <c r="N256" s="9">
        <v>44071</v>
      </c>
      <c r="O256" s="8">
        <v>503.75299999999999</v>
      </c>
      <c r="P256" s="8" t="s">
        <v>492</v>
      </c>
      <c r="Q256" s="8" t="s">
        <v>34</v>
      </c>
      <c r="R256" s="8" t="s">
        <v>35</v>
      </c>
      <c r="S256" s="8">
        <v>22</v>
      </c>
      <c r="T256" s="8" t="s">
        <v>87</v>
      </c>
      <c r="U256" s="8" t="s">
        <v>37</v>
      </c>
      <c r="V256" s="8" t="s">
        <v>493</v>
      </c>
      <c r="W256" s="8" t="s">
        <v>819</v>
      </c>
      <c r="X256" s="8"/>
      <c r="Y256" s="8">
        <v>528</v>
      </c>
      <c r="Z256" s="8"/>
      <c r="AA256" s="8" t="s">
        <v>39</v>
      </c>
      <c r="AB256" s="8">
        <v>31</v>
      </c>
      <c r="AC256" s="13">
        <v>44053</v>
      </c>
      <c r="AD256" s="13">
        <f>N256</f>
        <v>44071</v>
      </c>
      <c r="AE256" s="8">
        <v>1</v>
      </c>
      <c r="AF256" s="8"/>
      <c r="AG256" s="8" t="s">
        <v>1679</v>
      </c>
    </row>
    <row r="257" spans="1:33" hidden="1" x14ac:dyDescent="0.2">
      <c r="A257" s="8">
        <v>2502</v>
      </c>
      <c r="B257" s="9">
        <v>44053</v>
      </c>
      <c r="C257" s="8">
        <v>30012803</v>
      </c>
      <c r="D257" s="8" t="s">
        <v>102</v>
      </c>
      <c r="E257" s="8" t="s">
        <v>191</v>
      </c>
      <c r="F257" s="8" t="s">
        <v>192</v>
      </c>
      <c r="G257" s="8">
        <v>15018356</v>
      </c>
      <c r="H257" s="8">
        <v>802094916</v>
      </c>
      <c r="I257" s="8" t="s">
        <v>382</v>
      </c>
      <c r="J257" s="8" t="s">
        <v>83</v>
      </c>
      <c r="K257" s="8" t="s">
        <v>759</v>
      </c>
      <c r="L257" s="8" t="s">
        <v>760</v>
      </c>
      <c r="M257" s="9">
        <v>44052</v>
      </c>
      <c r="N257" s="9">
        <v>44075</v>
      </c>
      <c r="O257" s="8">
        <v>54.511000000000003</v>
      </c>
      <c r="P257" s="8" t="s">
        <v>492</v>
      </c>
      <c r="Q257" s="8" t="s">
        <v>85</v>
      </c>
      <c r="R257" s="8" t="s">
        <v>194</v>
      </c>
      <c r="S257" s="8">
        <v>3</v>
      </c>
      <c r="T257" s="8" t="s">
        <v>87</v>
      </c>
      <c r="U257" s="8" t="s">
        <v>37</v>
      </c>
      <c r="V257" s="8" t="s">
        <v>493</v>
      </c>
      <c r="W257" s="8" t="s">
        <v>822</v>
      </c>
      <c r="X257" s="8"/>
      <c r="Y257" s="8">
        <v>98</v>
      </c>
      <c r="Z257" s="8"/>
      <c r="AA257" s="8" t="s">
        <v>39</v>
      </c>
      <c r="AB257" s="8">
        <v>31</v>
      </c>
      <c r="AC257" s="13">
        <v>44053</v>
      </c>
      <c r="AD257" s="13">
        <f>N257</f>
        <v>44075</v>
      </c>
      <c r="AE257" s="8">
        <v>1</v>
      </c>
      <c r="AF257" s="8"/>
      <c r="AG257" s="8" t="s">
        <v>1679</v>
      </c>
    </row>
    <row r="258" spans="1:33" hidden="1" x14ac:dyDescent="0.2">
      <c r="A258" s="8">
        <v>2502</v>
      </c>
      <c r="B258" s="9">
        <v>44053</v>
      </c>
      <c r="C258" s="8">
        <v>30012803</v>
      </c>
      <c r="D258" s="8" t="s">
        <v>102</v>
      </c>
      <c r="E258" s="8" t="s">
        <v>191</v>
      </c>
      <c r="F258" s="8" t="s">
        <v>192</v>
      </c>
      <c r="G258" s="8">
        <v>15018470</v>
      </c>
      <c r="H258" s="8">
        <v>802095157</v>
      </c>
      <c r="I258" s="8" t="s">
        <v>193</v>
      </c>
      <c r="J258" s="8" t="s">
        <v>83</v>
      </c>
      <c r="K258" s="8" t="s">
        <v>759</v>
      </c>
      <c r="L258" s="8" t="s">
        <v>760</v>
      </c>
      <c r="M258" s="9">
        <v>44052</v>
      </c>
      <c r="N258" s="9">
        <v>44075</v>
      </c>
      <c r="O258" s="8">
        <v>18.815000000000001</v>
      </c>
      <c r="P258" s="8" t="s">
        <v>492</v>
      </c>
      <c r="Q258" s="8" t="s">
        <v>85</v>
      </c>
      <c r="R258" s="8" t="s">
        <v>826</v>
      </c>
      <c r="S258" s="8">
        <v>1</v>
      </c>
      <c r="T258" s="8" t="s">
        <v>87</v>
      </c>
      <c r="U258" s="8" t="s">
        <v>37</v>
      </c>
      <c r="V258" s="8" t="s">
        <v>493</v>
      </c>
      <c r="W258" s="8" t="s">
        <v>822</v>
      </c>
      <c r="X258" s="8"/>
      <c r="Y258" s="8">
        <v>34</v>
      </c>
      <c r="Z258" s="8"/>
      <c r="AA258" s="8" t="s">
        <v>39</v>
      </c>
      <c r="AB258" s="8">
        <v>31</v>
      </c>
      <c r="AC258" s="13">
        <v>44053</v>
      </c>
      <c r="AD258" s="13">
        <f>N258</f>
        <v>44075</v>
      </c>
      <c r="AE258" s="8">
        <v>1</v>
      </c>
      <c r="AF258" s="8"/>
      <c r="AG258" s="8" t="s">
        <v>1679</v>
      </c>
    </row>
    <row r="259" spans="1:33" hidden="1" x14ac:dyDescent="0.2">
      <c r="A259" s="8">
        <v>2504</v>
      </c>
      <c r="B259" s="9">
        <v>44068</v>
      </c>
      <c r="C259" s="8">
        <v>30012820</v>
      </c>
      <c r="D259" s="8" t="s">
        <v>62</v>
      </c>
      <c r="E259" s="8" t="s">
        <v>217</v>
      </c>
      <c r="F259" s="8" t="s">
        <v>218</v>
      </c>
      <c r="G259" s="8">
        <v>15018229</v>
      </c>
      <c r="H259" s="8">
        <v>802094750</v>
      </c>
      <c r="I259" s="8" t="s">
        <v>77</v>
      </c>
      <c r="J259" s="8" t="s">
        <v>32</v>
      </c>
      <c r="K259" s="8" t="s">
        <v>574</v>
      </c>
      <c r="L259" s="8" t="s">
        <v>1516</v>
      </c>
      <c r="M259" s="9">
        <v>44067</v>
      </c>
      <c r="N259" s="9">
        <v>44101</v>
      </c>
      <c r="O259" s="8">
        <v>496.8</v>
      </c>
      <c r="P259" s="8" t="s">
        <v>48</v>
      </c>
      <c r="Q259" s="8" t="s">
        <v>34</v>
      </c>
      <c r="R259" s="8" t="s">
        <v>35</v>
      </c>
      <c r="S259" s="8">
        <v>20</v>
      </c>
      <c r="T259" s="8" t="s">
        <v>36</v>
      </c>
      <c r="U259" s="8" t="s">
        <v>290</v>
      </c>
      <c r="V259" s="8" t="s">
        <v>52</v>
      </c>
      <c r="W259" s="8" t="s">
        <v>1517</v>
      </c>
      <c r="X259" s="8"/>
      <c r="Y259" s="8">
        <v>480</v>
      </c>
      <c r="Z259" s="8"/>
      <c r="AA259" s="8" t="s">
        <v>39</v>
      </c>
      <c r="AB259" s="8">
        <v>31</v>
      </c>
      <c r="AC259" s="13">
        <f t="shared" ref="AC259:AC263" si="40">M259</f>
        <v>44067</v>
      </c>
      <c r="AD259" s="13">
        <f t="shared" ref="AD259:AD264" si="41">N259</f>
        <v>44101</v>
      </c>
      <c r="AE259" s="8">
        <v>0</v>
      </c>
      <c r="AF259" s="8"/>
      <c r="AG259" s="8"/>
    </row>
    <row r="260" spans="1:33" hidden="1" x14ac:dyDescent="0.2">
      <c r="A260" s="8">
        <v>2504</v>
      </c>
      <c r="B260" s="9">
        <v>44073</v>
      </c>
      <c r="C260" s="8">
        <v>30012842</v>
      </c>
      <c r="D260" s="8" t="s">
        <v>91</v>
      </c>
      <c r="E260" s="8" t="s">
        <v>728</v>
      </c>
      <c r="F260" s="8" t="s">
        <v>729</v>
      </c>
      <c r="G260" s="8">
        <v>15018472</v>
      </c>
      <c r="H260" s="8">
        <v>802095162</v>
      </c>
      <c r="I260" s="8" t="s">
        <v>730</v>
      </c>
      <c r="J260" s="8" t="s">
        <v>58</v>
      </c>
      <c r="K260" s="8" t="s">
        <v>133</v>
      </c>
      <c r="L260" s="8" t="s">
        <v>954</v>
      </c>
      <c r="M260" s="9">
        <v>44068</v>
      </c>
      <c r="N260" s="9">
        <v>44117</v>
      </c>
      <c r="O260" s="8">
        <v>257.18</v>
      </c>
      <c r="P260" s="8" t="s">
        <v>48</v>
      </c>
      <c r="Q260" s="8" t="s">
        <v>731</v>
      </c>
      <c r="R260" s="8" t="s">
        <v>732</v>
      </c>
      <c r="S260" s="8">
        <v>10</v>
      </c>
      <c r="T260" s="8" t="s">
        <v>72</v>
      </c>
      <c r="U260" s="8" t="s">
        <v>290</v>
      </c>
      <c r="V260" s="8" t="s">
        <v>65</v>
      </c>
      <c r="W260" s="8" t="s">
        <v>1548</v>
      </c>
      <c r="X260" s="8"/>
      <c r="Y260" s="8">
        <v>110</v>
      </c>
      <c r="Z260" s="8"/>
      <c r="AA260" s="8" t="s">
        <v>733</v>
      </c>
      <c r="AB260" s="8">
        <v>31</v>
      </c>
      <c r="AC260" s="13">
        <f t="shared" si="40"/>
        <v>44068</v>
      </c>
      <c r="AD260" s="13">
        <f t="shared" si="41"/>
        <v>44117</v>
      </c>
      <c r="AE260" s="8">
        <v>0</v>
      </c>
      <c r="AF260" s="8"/>
      <c r="AG260" s="8"/>
    </row>
    <row r="261" spans="1:33" hidden="1" x14ac:dyDescent="0.2">
      <c r="A261" s="8">
        <v>2504</v>
      </c>
      <c r="B261" s="9">
        <v>44073</v>
      </c>
      <c r="C261" s="8">
        <v>30012842</v>
      </c>
      <c r="D261" s="8" t="s">
        <v>91</v>
      </c>
      <c r="E261" s="8" t="s">
        <v>728</v>
      </c>
      <c r="F261" s="8" t="s">
        <v>729</v>
      </c>
      <c r="G261" s="8">
        <v>15018473</v>
      </c>
      <c r="H261" s="8">
        <v>802095163</v>
      </c>
      <c r="I261" s="8" t="s">
        <v>1551</v>
      </c>
      <c r="J261" s="8" t="s">
        <v>58</v>
      </c>
      <c r="K261" s="8" t="s">
        <v>133</v>
      </c>
      <c r="L261" s="8" t="s">
        <v>954</v>
      </c>
      <c r="M261" s="9">
        <v>44068</v>
      </c>
      <c r="N261" s="9">
        <v>44117</v>
      </c>
      <c r="O261" s="8">
        <v>152.22</v>
      </c>
      <c r="P261" s="8" t="s">
        <v>48</v>
      </c>
      <c r="Q261" s="8" t="s">
        <v>731</v>
      </c>
      <c r="R261" s="8" t="s">
        <v>732</v>
      </c>
      <c r="S261" s="8">
        <v>6</v>
      </c>
      <c r="T261" s="8" t="s">
        <v>72</v>
      </c>
      <c r="U261" s="8" t="s">
        <v>290</v>
      </c>
      <c r="V261" s="8" t="s">
        <v>65</v>
      </c>
      <c r="W261" s="8" t="s">
        <v>1552</v>
      </c>
      <c r="X261" s="8"/>
      <c r="Y261" s="8">
        <v>60</v>
      </c>
      <c r="Z261" s="8"/>
      <c r="AA261" s="8" t="s">
        <v>733</v>
      </c>
      <c r="AB261" s="8">
        <v>31</v>
      </c>
      <c r="AC261" s="13">
        <f t="shared" si="40"/>
        <v>44068</v>
      </c>
      <c r="AD261" s="13">
        <f t="shared" si="41"/>
        <v>44117</v>
      </c>
      <c r="AE261" s="8">
        <v>0</v>
      </c>
      <c r="AF261" s="8"/>
      <c r="AG261" s="8"/>
    </row>
    <row r="262" spans="1:33" hidden="1" x14ac:dyDescent="0.2">
      <c r="A262" s="8">
        <v>2504</v>
      </c>
      <c r="B262" s="9">
        <v>44073</v>
      </c>
      <c r="C262" s="8">
        <v>30012835</v>
      </c>
      <c r="D262" s="8" t="s">
        <v>74</v>
      </c>
      <c r="E262" s="8" t="s">
        <v>75</v>
      </c>
      <c r="F262" s="8" t="s">
        <v>966</v>
      </c>
      <c r="G262" s="8">
        <v>15018457</v>
      </c>
      <c r="H262" s="8">
        <v>802095136</v>
      </c>
      <c r="I262" s="8" t="s">
        <v>77</v>
      </c>
      <c r="J262" s="8" t="s">
        <v>32</v>
      </c>
      <c r="K262" s="8" t="s">
        <v>1587</v>
      </c>
      <c r="L262" s="8" t="s">
        <v>1588</v>
      </c>
      <c r="M262" s="9">
        <v>44069</v>
      </c>
      <c r="N262" s="9">
        <v>44116</v>
      </c>
      <c r="O262" s="8">
        <v>496.8</v>
      </c>
      <c r="P262" s="8" t="s">
        <v>48</v>
      </c>
      <c r="Q262" s="8" t="s">
        <v>149</v>
      </c>
      <c r="R262" s="8" t="s">
        <v>150</v>
      </c>
      <c r="S262" s="8">
        <v>20</v>
      </c>
      <c r="T262" s="8" t="s">
        <v>36</v>
      </c>
      <c r="U262" s="8" t="s">
        <v>290</v>
      </c>
      <c r="V262" s="8" t="s">
        <v>88</v>
      </c>
      <c r="W262" s="8" t="s">
        <v>1589</v>
      </c>
      <c r="X262" s="8"/>
      <c r="Y262" s="8">
        <v>480</v>
      </c>
      <c r="Z262" s="8"/>
      <c r="AA262" s="8" t="s">
        <v>39</v>
      </c>
      <c r="AB262" s="8">
        <v>31</v>
      </c>
      <c r="AC262" s="13">
        <f t="shared" si="40"/>
        <v>44069</v>
      </c>
      <c r="AD262" s="13">
        <f t="shared" si="41"/>
        <v>44116</v>
      </c>
      <c r="AE262" s="8">
        <v>0</v>
      </c>
      <c r="AF262" s="8"/>
      <c r="AG262" s="8"/>
    </row>
    <row r="263" spans="1:33" hidden="1" x14ac:dyDescent="0.2">
      <c r="A263" s="8">
        <v>2504</v>
      </c>
      <c r="B263" s="9">
        <v>44073</v>
      </c>
      <c r="C263" s="8">
        <v>30012835</v>
      </c>
      <c r="D263" s="8" t="s">
        <v>74</v>
      </c>
      <c r="E263" s="8" t="s">
        <v>75</v>
      </c>
      <c r="F263" s="8" t="s">
        <v>966</v>
      </c>
      <c r="G263" s="8">
        <v>15018458</v>
      </c>
      <c r="H263" s="8">
        <v>802095137</v>
      </c>
      <c r="I263" s="8" t="s">
        <v>77</v>
      </c>
      <c r="J263" s="8" t="s">
        <v>32</v>
      </c>
      <c r="K263" s="8" t="s">
        <v>1587</v>
      </c>
      <c r="L263" s="8" t="s">
        <v>1588</v>
      </c>
      <c r="M263" s="9">
        <v>44069</v>
      </c>
      <c r="N263" s="9">
        <v>44116</v>
      </c>
      <c r="O263" s="8">
        <v>496.8</v>
      </c>
      <c r="P263" s="8" t="s">
        <v>48</v>
      </c>
      <c r="Q263" s="8" t="s">
        <v>149</v>
      </c>
      <c r="R263" s="8" t="s">
        <v>150</v>
      </c>
      <c r="S263" s="8">
        <v>20</v>
      </c>
      <c r="T263" s="8" t="s">
        <v>36</v>
      </c>
      <c r="U263" s="8" t="s">
        <v>290</v>
      </c>
      <c r="V263" s="8" t="s">
        <v>88</v>
      </c>
      <c r="W263" s="8" t="s">
        <v>1592</v>
      </c>
      <c r="X263" s="8"/>
      <c r="Y263" s="8">
        <v>480</v>
      </c>
      <c r="Z263" s="8"/>
      <c r="AA263" s="8" t="s">
        <v>39</v>
      </c>
      <c r="AB263" s="8">
        <v>31</v>
      </c>
      <c r="AC263" s="13">
        <f t="shared" si="40"/>
        <v>44069</v>
      </c>
      <c r="AD263" s="13">
        <f t="shared" si="41"/>
        <v>44116</v>
      </c>
      <c r="AE263" s="8">
        <v>0</v>
      </c>
      <c r="AF263" s="8"/>
      <c r="AG263" s="8"/>
    </row>
    <row r="264" spans="1:33" x14ac:dyDescent="0.2">
      <c r="A264" s="8">
        <v>2501</v>
      </c>
      <c r="B264" s="9">
        <v>44073</v>
      </c>
      <c r="C264" s="8">
        <v>30012780</v>
      </c>
      <c r="D264" s="8" t="s">
        <v>28</v>
      </c>
      <c r="E264" s="8" t="s">
        <v>29</v>
      </c>
      <c r="F264" s="8" t="s">
        <v>397</v>
      </c>
      <c r="G264" s="8">
        <v>15018346</v>
      </c>
      <c r="H264" s="8">
        <v>802094909</v>
      </c>
      <c r="I264" s="8" t="s">
        <v>31</v>
      </c>
      <c r="J264" s="8" t="s">
        <v>32</v>
      </c>
      <c r="K264" s="8" t="s">
        <v>1199</v>
      </c>
      <c r="L264" s="8" t="s">
        <v>740</v>
      </c>
      <c r="M264" s="9">
        <v>44064</v>
      </c>
      <c r="N264" s="9">
        <v>44082</v>
      </c>
      <c r="O264" s="8">
        <v>501.904</v>
      </c>
      <c r="P264" s="8" t="s">
        <v>33</v>
      </c>
      <c r="Q264" s="8" t="s">
        <v>153</v>
      </c>
      <c r="R264" s="8" t="s">
        <v>154</v>
      </c>
      <c r="S264" s="8">
        <v>19</v>
      </c>
      <c r="T264" s="8" t="s">
        <v>362</v>
      </c>
      <c r="U264" s="8" t="s">
        <v>290</v>
      </c>
      <c r="V264" s="8" t="s">
        <v>155</v>
      </c>
      <c r="W264" s="8" t="s">
        <v>1392</v>
      </c>
      <c r="X264" s="8"/>
      <c r="Y264" s="8">
        <v>494</v>
      </c>
      <c r="Z264" s="8"/>
      <c r="AA264" s="8" t="s">
        <v>39</v>
      </c>
      <c r="AB264" s="8">
        <v>31</v>
      </c>
      <c r="AC264" s="13">
        <f>M264</f>
        <v>44064</v>
      </c>
      <c r="AD264" s="13">
        <f t="shared" si="41"/>
        <v>44082</v>
      </c>
      <c r="AE264" s="8">
        <v>0</v>
      </c>
      <c r="AF264" s="8"/>
      <c r="AG264" s="8"/>
    </row>
    <row r="265" spans="1:33" hidden="1" x14ac:dyDescent="0.2">
      <c r="A265" s="8">
        <v>2504</v>
      </c>
      <c r="B265" s="9">
        <v>44073</v>
      </c>
      <c r="C265" s="8">
        <v>30012864</v>
      </c>
      <c r="D265" s="8" t="s">
        <v>74</v>
      </c>
      <c r="E265" s="8" t="s">
        <v>75</v>
      </c>
      <c r="F265" s="8" t="s">
        <v>966</v>
      </c>
      <c r="G265" s="8">
        <v>15018453</v>
      </c>
      <c r="H265" s="8">
        <v>802095132</v>
      </c>
      <c r="I265" s="8" t="s">
        <v>77</v>
      </c>
      <c r="J265" s="8" t="s">
        <v>32</v>
      </c>
      <c r="K265" s="8" t="s">
        <v>1639</v>
      </c>
      <c r="L265" s="8" t="s">
        <v>1640</v>
      </c>
      <c r="M265" s="9">
        <v>44071</v>
      </c>
      <c r="N265" s="9">
        <v>44131</v>
      </c>
      <c r="O265" s="8">
        <v>496.8</v>
      </c>
      <c r="P265" s="8" t="s">
        <v>48</v>
      </c>
      <c r="Q265" s="8" t="s">
        <v>149</v>
      </c>
      <c r="R265" s="8" t="s">
        <v>150</v>
      </c>
      <c r="S265" s="8">
        <v>20</v>
      </c>
      <c r="T265" s="8" t="s">
        <v>36</v>
      </c>
      <c r="U265" s="8" t="s">
        <v>290</v>
      </c>
      <c r="V265" s="8" t="s">
        <v>73</v>
      </c>
      <c r="W265" s="8" t="s">
        <v>1641</v>
      </c>
      <c r="X265" s="8"/>
      <c r="Y265" s="8">
        <v>480</v>
      </c>
      <c r="Z265" s="8"/>
      <c r="AA265" s="8" t="s">
        <v>39</v>
      </c>
      <c r="AB265" s="8">
        <v>31</v>
      </c>
      <c r="AC265" s="13">
        <f t="shared" ref="AC265:AC269" si="42">M265</f>
        <v>44071</v>
      </c>
      <c r="AD265" s="13">
        <f t="shared" ref="AD265:AD272" si="43">N265</f>
        <v>44131</v>
      </c>
      <c r="AE265" s="8">
        <v>0</v>
      </c>
      <c r="AF265" s="8"/>
      <c r="AG265" s="8"/>
    </row>
    <row r="266" spans="1:33" hidden="1" x14ac:dyDescent="0.2">
      <c r="A266" s="8">
        <v>2504</v>
      </c>
      <c r="B266" s="9">
        <v>44074</v>
      </c>
      <c r="C266" s="8">
        <v>30012827</v>
      </c>
      <c r="D266" s="8" t="s">
        <v>62</v>
      </c>
      <c r="E266" s="8" t="s">
        <v>296</v>
      </c>
      <c r="F266" s="8" t="s">
        <v>297</v>
      </c>
      <c r="G266" s="8">
        <v>15018274</v>
      </c>
      <c r="H266" s="8">
        <v>802094847</v>
      </c>
      <c r="I266" s="8" t="s">
        <v>298</v>
      </c>
      <c r="J266" s="8" t="s">
        <v>58</v>
      </c>
      <c r="K266" s="8" t="s">
        <v>1625</v>
      </c>
      <c r="L266" s="8" t="s">
        <v>547</v>
      </c>
      <c r="M266" s="9">
        <v>44071</v>
      </c>
      <c r="N266" s="9">
        <v>44093</v>
      </c>
      <c r="O266" s="8">
        <v>70.334999999999994</v>
      </c>
      <c r="P266" s="8" t="s">
        <v>48</v>
      </c>
      <c r="Q266" s="8" t="s">
        <v>59</v>
      </c>
      <c r="R266" s="8" t="s">
        <v>60</v>
      </c>
      <c r="S266" s="8">
        <v>3</v>
      </c>
      <c r="T266" s="8" t="s">
        <v>61</v>
      </c>
      <c r="U266" s="8" t="s">
        <v>290</v>
      </c>
      <c r="V266" s="8" t="s">
        <v>52</v>
      </c>
      <c r="W266" s="8" t="s">
        <v>1626</v>
      </c>
      <c r="X266" s="8"/>
      <c r="Y266" s="8">
        <v>27</v>
      </c>
      <c r="Z266" s="8" t="s">
        <v>1627</v>
      </c>
      <c r="AA266" s="8" t="s">
        <v>39</v>
      </c>
      <c r="AB266" s="8">
        <v>31</v>
      </c>
      <c r="AC266" s="13">
        <f t="shared" si="42"/>
        <v>44071</v>
      </c>
      <c r="AD266" s="13">
        <f t="shared" si="43"/>
        <v>44093</v>
      </c>
      <c r="AE266" s="8">
        <v>0</v>
      </c>
      <c r="AF266" s="8"/>
      <c r="AG266" s="8"/>
    </row>
    <row r="267" spans="1:33" hidden="1" x14ac:dyDescent="0.2">
      <c r="A267" s="8">
        <v>2504</v>
      </c>
      <c r="B267" s="9">
        <v>44074</v>
      </c>
      <c r="C267" s="8">
        <v>30012827</v>
      </c>
      <c r="D267" s="8" t="s">
        <v>62</v>
      </c>
      <c r="E267" s="8" t="s">
        <v>294</v>
      </c>
      <c r="F267" s="8" t="s">
        <v>295</v>
      </c>
      <c r="G267" s="8">
        <v>15018275</v>
      </c>
      <c r="H267" s="8">
        <v>802094848</v>
      </c>
      <c r="I267" s="8" t="s">
        <v>77</v>
      </c>
      <c r="J267" s="8" t="s">
        <v>32</v>
      </c>
      <c r="K267" s="8" t="s">
        <v>1625</v>
      </c>
      <c r="L267" s="8" t="s">
        <v>547</v>
      </c>
      <c r="M267" s="9">
        <v>44071</v>
      </c>
      <c r="N267" s="9">
        <v>44093</v>
      </c>
      <c r="O267" s="8">
        <v>99.36</v>
      </c>
      <c r="P267" s="8" t="s">
        <v>48</v>
      </c>
      <c r="Q267" s="8" t="s">
        <v>59</v>
      </c>
      <c r="R267" s="8" t="s">
        <v>60</v>
      </c>
      <c r="S267" s="8">
        <v>4</v>
      </c>
      <c r="T267" s="8" t="s">
        <v>36</v>
      </c>
      <c r="U267" s="8" t="s">
        <v>290</v>
      </c>
      <c r="V267" s="8" t="s">
        <v>52</v>
      </c>
      <c r="W267" s="8" t="s">
        <v>1630</v>
      </c>
      <c r="X267" s="8"/>
      <c r="Y267" s="8">
        <v>96</v>
      </c>
      <c r="Z267" s="8" t="s">
        <v>1492</v>
      </c>
      <c r="AA267" s="8" t="s">
        <v>39</v>
      </c>
      <c r="AB267" s="8">
        <v>31</v>
      </c>
      <c r="AC267" s="13">
        <f t="shared" si="42"/>
        <v>44071</v>
      </c>
      <c r="AD267" s="13">
        <f t="shared" si="43"/>
        <v>44093</v>
      </c>
      <c r="AE267" s="8">
        <v>0</v>
      </c>
      <c r="AF267" s="8"/>
      <c r="AG267" s="8"/>
    </row>
    <row r="268" spans="1:33" hidden="1" x14ac:dyDescent="0.2">
      <c r="A268" s="8">
        <v>2504</v>
      </c>
      <c r="B268" s="9">
        <v>44068</v>
      </c>
      <c r="C268" s="8">
        <v>30012854</v>
      </c>
      <c r="D268" s="8" t="s">
        <v>91</v>
      </c>
      <c r="E268" s="8" t="s">
        <v>258</v>
      </c>
      <c r="F268" s="8" t="s">
        <v>259</v>
      </c>
      <c r="G268" s="8">
        <v>15018486</v>
      </c>
      <c r="H268" s="8">
        <v>802095176</v>
      </c>
      <c r="I268" s="8" t="s">
        <v>77</v>
      </c>
      <c r="J268" s="8" t="s">
        <v>32</v>
      </c>
      <c r="K268" s="8" t="s">
        <v>581</v>
      </c>
      <c r="L268" s="8" t="s">
        <v>1634</v>
      </c>
      <c r="M268" s="9">
        <v>44071</v>
      </c>
      <c r="N268" s="9">
        <v>44094</v>
      </c>
      <c r="O268" s="8">
        <v>198.72</v>
      </c>
      <c r="P268" s="8" t="s">
        <v>48</v>
      </c>
      <c r="Q268" s="8" t="s">
        <v>134</v>
      </c>
      <c r="R268" s="8" t="s">
        <v>135</v>
      </c>
      <c r="S268" s="8">
        <v>8</v>
      </c>
      <c r="T268" s="8" t="s">
        <v>36</v>
      </c>
      <c r="U268" s="8" t="s">
        <v>290</v>
      </c>
      <c r="V268" s="8" t="s">
        <v>52</v>
      </c>
      <c r="W268" s="8" t="s">
        <v>1635</v>
      </c>
      <c r="X268" s="8"/>
      <c r="Y268" s="8">
        <v>192</v>
      </c>
      <c r="Z268" s="8"/>
      <c r="AA268" s="8" t="s">
        <v>39</v>
      </c>
      <c r="AB268" s="8">
        <v>31</v>
      </c>
      <c r="AC268" s="13">
        <f t="shared" si="42"/>
        <v>44071</v>
      </c>
      <c r="AD268" s="13">
        <f t="shared" si="43"/>
        <v>44094</v>
      </c>
      <c r="AE268" s="8">
        <v>0</v>
      </c>
      <c r="AF268" s="8"/>
      <c r="AG268" s="8"/>
    </row>
    <row r="269" spans="1:33" hidden="1" x14ac:dyDescent="0.2">
      <c r="A269" s="8">
        <v>2504</v>
      </c>
      <c r="B269" s="9">
        <v>44074</v>
      </c>
      <c r="C269" s="8">
        <v>30012838</v>
      </c>
      <c r="D269" s="8" t="s">
        <v>137</v>
      </c>
      <c r="E269" s="8" t="s">
        <v>392</v>
      </c>
      <c r="F269" s="8" t="s">
        <v>393</v>
      </c>
      <c r="G269" s="8">
        <v>15018259</v>
      </c>
      <c r="H269" s="8">
        <v>802094842</v>
      </c>
      <c r="I269" s="8" t="s">
        <v>394</v>
      </c>
      <c r="J269" s="8" t="s">
        <v>58</v>
      </c>
      <c r="K269" s="8" t="s">
        <v>245</v>
      </c>
      <c r="L269" s="8" t="s">
        <v>1645</v>
      </c>
      <c r="M269" s="9">
        <v>44072</v>
      </c>
      <c r="N269" s="9">
        <v>44102</v>
      </c>
      <c r="O269" s="8">
        <v>145.29599999999999</v>
      </c>
      <c r="P269" s="8" t="s">
        <v>48</v>
      </c>
      <c r="Q269" s="8" t="s">
        <v>166</v>
      </c>
      <c r="R269" s="8" t="s">
        <v>395</v>
      </c>
      <c r="S269" s="8">
        <v>6</v>
      </c>
      <c r="T269" s="8" t="s">
        <v>36</v>
      </c>
      <c r="U269" s="8" t="s">
        <v>290</v>
      </c>
      <c r="V269" s="8" t="s">
        <v>52</v>
      </c>
      <c r="W269" s="8" t="s">
        <v>1646</v>
      </c>
      <c r="X269" s="8"/>
      <c r="Y269" s="8">
        <v>72</v>
      </c>
      <c r="Z269" s="8" t="s">
        <v>1647</v>
      </c>
      <c r="AA269" s="8" t="s">
        <v>39</v>
      </c>
      <c r="AB269" s="8">
        <v>31</v>
      </c>
      <c r="AC269" s="13">
        <f t="shared" si="42"/>
        <v>44072</v>
      </c>
      <c r="AD269" s="13">
        <f t="shared" si="43"/>
        <v>44102</v>
      </c>
      <c r="AE269" s="8">
        <v>0</v>
      </c>
      <c r="AF269" s="8"/>
      <c r="AG269" s="8"/>
    </row>
    <row r="270" spans="1:33" x14ac:dyDescent="0.2">
      <c r="A270" s="8">
        <v>2501</v>
      </c>
      <c r="B270" s="9">
        <v>44048</v>
      </c>
      <c r="C270" s="8">
        <v>30012770</v>
      </c>
      <c r="D270" s="8" t="s">
        <v>62</v>
      </c>
      <c r="E270" s="8" t="s">
        <v>324</v>
      </c>
      <c r="F270" s="8" t="s">
        <v>325</v>
      </c>
      <c r="G270" s="8">
        <v>15018213</v>
      </c>
      <c r="H270" s="8">
        <v>802094831</v>
      </c>
      <c r="I270" s="8" t="s">
        <v>31</v>
      </c>
      <c r="J270" s="8" t="s">
        <v>32</v>
      </c>
      <c r="K270" s="8" t="s">
        <v>494</v>
      </c>
      <c r="L270" s="8" t="s">
        <v>1152</v>
      </c>
      <c r="M270" s="9">
        <v>44066</v>
      </c>
      <c r="N270" s="9">
        <v>44085</v>
      </c>
      <c r="O270" s="8">
        <v>501.904</v>
      </c>
      <c r="P270" s="8" t="s">
        <v>33</v>
      </c>
      <c r="Q270" s="8" t="s">
        <v>34</v>
      </c>
      <c r="R270" s="8" t="s">
        <v>35</v>
      </c>
      <c r="S270" s="8">
        <v>26</v>
      </c>
      <c r="T270" s="8" t="s">
        <v>140</v>
      </c>
      <c r="U270" s="8" t="s">
        <v>290</v>
      </c>
      <c r="V270" s="8" t="s">
        <v>65</v>
      </c>
      <c r="W270" s="8" t="s">
        <v>1475</v>
      </c>
      <c r="X270" s="8"/>
      <c r="Y270" s="8">
        <v>494</v>
      </c>
      <c r="Z270" s="8"/>
      <c r="AA270" s="8" t="s">
        <v>39</v>
      </c>
      <c r="AB270" s="8">
        <v>31</v>
      </c>
      <c r="AC270" s="13">
        <f>M270</f>
        <v>44066</v>
      </c>
      <c r="AD270" s="13">
        <f t="shared" si="43"/>
        <v>44085</v>
      </c>
      <c r="AE270" s="8">
        <v>0</v>
      </c>
      <c r="AF270" s="8"/>
      <c r="AG270" s="8"/>
    </row>
    <row r="271" spans="1:33" x14ac:dyDescent="0.2">
      <c r="A271" s="8">
        <v>2501</v>
      </c>
      <c r="B271" s="9">
        <v>44060</v>
      </c>
      <c r="C271" s="8">
        <v>30012770</v>
      </c>
      <c r="D271" s="8" t="s">
        <v>28</v>
      </c>
      <c r="E271" s="8" t="s">
        <v>40</v>
      </c>
      <c r="F271" s="8" t="s">
        <v>41</v>
      </c>
      <c r="G271" s="8">
        <v>15018216</v>
      </c>
      <c r="H271" s="8">
        <v>802094834</v>
      </c>
      <c r="I271" s="8" t="s">
        <v>31</v>
      </c>
      <c r="J271" s="8" t="s">
        <v>32</v>
      </c>
      <c r="K271" s="8" t="s">
        <v>494</v>
      </c>
      <c r="L271" s="8" t="s">
        <v>1152</v>
      </c>
      <c r="M271" s="9">
        <v>44066</v>
      </c>
      <c r="N271" s="9">
        <v>44085</v>
      </c>
      <c r="O271" s="8">
        <v>304.8</v>
      </c>
      <c r="P271" s="8" t="s">
        <v>33</v>
      </c>
      <c r="Q271" s="8" t="s">
        <v>34</v>
      </c>
      <c r="R271" s="8" t="s">
        <v>35</v>
      </c>
      <c r="S271" s="8">
        <v>15</v>
      </c>
      <c r="T271" s="8" t="s">
        <v>42</v>
      </c>
      <c r="U271" s="8" t="s">
        <v>290</v>
      </c>
      <c r="V271" s="8" t="s">
        <v>65</v>
      </c>
      <c r="W271" s="8" t="s">
        <v>1478</v>
      </c>
      <c r="X271" s="8"/>
      <c r="Y271" s="8">
        <v>300</v>
      </c>
      <c r="Z271" s="8"/>
      <c r="AA271" s="8" t="s">
        <v>39</v>
      </c>
      <c r="AB271" s="8">
        <v>31</v>
      </c>
      <c r="AC271" s="13">
        <f>M271</f>
        <v>44066</v>
      </c>
      <c r="AD271" s="13">
        <f t="shared" si="43"/>
        <v>44085</v>
      </c>
      <c r="AE271" s="8">
        <v>0</v>
      </c>
      <c r="AF271" s="8"/>
      <c r="AG271" s="8"/>
    </row>
    <row r="272" spans="1:33" x14ac:dyDescent="0.2">
      <c r="A272" s="8">
        <v>2501</v>
      </c>
      <c r="B272" s="9">
        <v>44068</v>
      </c>
      <c r="C272" s="8">
        <v>30012770</v>
      </c>
      <c r="D272" s="8" t="s">
        <v>62</v>
      </c>
      <c r="E272" s="8" t="s">
        <v>217</v>
      </c>
      <c r="F272" s="8" t="s">
        <v>218</v>
      </c>
      <c r="G272" s="8">
        <v>15018221</v>
      </c>
      <c r="H272" s="8">
        <v>802094838</v>
      </c>
      <c r="I272" s="8" t="s">
        <v>31</v>
      </c>
      <c r="J272" s="8" t="s">
        <v>32</v>
      </c>
      <c r="K272" s="8" t="s">
        <v>494</v>
      </c>
      <c r="L272" s="8" t="s">
        <v>1152</v>
      </c>
      <c r="M272" s="9">
        <v>44066</v>
      </c>
      <c r="N272" s="9">
        <v>44085</v>
      </c>
      <c r="O272" s="8">
        <v>487.68</v>
      </c>
      <c r="P272" s="8" t="s">
        <v>33</v>
      </c>
      <c r="Q272" s="8" t="s">
        <v>34</v>
      </c>
      <c r="R272" s="8" t="s">
        <v>35</v>
      </c>
      <c r="S272" s="8">
        <v>20</v>
      </c>
      <c r="T272" s="8" t="s">
        <v>36</v>
      </c>
      <c r="U272" s="8" t="s">
        <v>290</v>
      </c>
      <c r="V272" s="8" t="s">
        <v>65</v>
      </c>
      <c r="W272" s="8" t="s">
        <v>1481</v>
      </c>
      <c r="X272" s="8"/>
      <c r="Y272" s="8">
        <v>480</v>
      </c>
      <c r="Z272" s="8"/>
      <c r="AA272" s="8" t="s">
        <v>39</v>
      </c>
      <c r="AB272" s="8">
        <v>31</v>
      </c>
      <c r="AC272" s="13">
        <f>M272</f>
        <v>44066</v>
      </c>
      <c r="AD272" s="13">
        <f t="shared" si="43"/>
        <v>44085</v>
      </c>
      <c r="AE272" s="8">
        <v>0</v>
      </c>
      <c r="AF272" s="8"/>
      <c r="AG272" s="8"/>
    </row>
    <row r="273" spans="1:33" hidden="1" x14ac:dyDescent="0.2">
      <c r="A273" s="8">
        <v>2502</v>
      </c>
      <c r="B273" s="9">
        <v>44048</v>
      </c>
      <c r="C273" s="8">
        <v>30012785</v>
      </c>
      <c r="D273" s="8" t="s">
        <v>44</v>
      </c>
      <c r="E273" s="8" t="s">
        <v>269</v>
      </c>
      <c r="F273" s="8" t="s">
        <v>270</v>
      </c>
      <c r="G273" s="8">
        <v>15018115</v>
      </c>
      <c r="H273" s="8">
        <v>802094754</v>
      </c>
      <c r="I273" s="8" t="s">
        <v>94</v>
      </c>
      <c r="J273" s="8" t="s">
        <v>95</v>
      </c>
      <c r="K273" s="8" t="s">
        <v>177</v>
      </c>
      <c r="L273" s="8" t="s">
        <v>989</v>
      </c>
      <c r="M273" s="9">
        <v>44054</v>
      </c>
      <c r="N273" s="9">
        <v>44063</v>
      </c>
      <c r="O273" s="8">
        <v>167.31399999999999</v>
      </c>
      <c r="P273" s="8" t="s">
        <v>84</v>
      </c>
      <c r="Q273" s="8" t="s">
        <v>271</v>
      </c>
      <c r="R273" s="8" t="s">
        <v>272</v>
      </c>
      <c r="S273" s="8">
        <v>7</v>
      </c>
      <c r="T273" s="8" t="s">
        <v>87</v>
      </c>
      <c r="U273" s="8" t="s">
        <v>290</v>
      </c>
      <c r="V273" s="8" t="s">
        <v>88</v>
      </c>
      <c r="W273" s="8" t="s">
        <v>990</v>
      </c>
      <c r="X273" s="8"/>
      <c r="Y273" s="8">
        <v>119</v>
      </c>
      <c r="Z273" s="8" t="s">
        <v>992</v>
      </c>
      <c r="AA273" s="8" t="s">
        <v>39</v>
      </c>
      <c r="AB273" s="8">
        <v>31</v>
      </c>
      <c r="AC273" s="13">
        <v>44058</v>
      </c>
      <c r="AD273" s="13">
        <v>44064</v>
      </c>
      <c r="AE273" s="8">
        <v>5</v>
      </c>
      <c r="AF273" s="8">
        <f t="shared" ref="AF273:AF289" si="44">AD273-N273</f>
        <v>1</v>
      </c>
      <c r="AG273" s="8" t="s">
        <v>1678</v>
      </c>
    </row>
    <row r="274" spans="1:33" hidden="1" x14ac:dyDescent="0.2">
      <c r="A274" s="8">
        <v>2502</v>
      </c>
      <c r="B274" s="9">
        <v>44073</v>
      </c>
      <c r="C274" s="8">
        <v>30012785</v>
      </c>
      <c r="D274" s="8" t="s">
        <v>91</v>
      </c>
      <c r="E274" s="8" t="s">
        <v>107</v>
      </c>
      <c r="F274" s="8" t="s">
        <v>537</v>
      </c>
      <c r="G274" s="8">
        <v>15018299</v>
      </c>
      <c r="H274" s="8">
        <v>802094860</v>
      </c>
      <c r="I274" s="8" t="s">
        <v>31</v>
      </c>
      <c r="J274" s="8" t="s">
        <v>32</v>
      </c>
      <c r="K274" s="8" t="s">
        <v>177</v>
      </c>
      <c r="L274" s="8" t="s">
        <v>989</v>
      </c>
      <c r="M274" s="9">
        <v>44054</v>
      </c>
      <c r="N274" s="9">
        <v>44085</v>
      </c>
      <c r="O274" s="8">
        <v>247.96199999999999</v>
      </c>
      <c r="P274" s="8" t="s">
        <v>84</v>
      </c>
      <c r="Q274" s="8" t="s">
        <v>105</v>
      </c>
      <c r="R274" s="8" t="s">
        <v>106</v>
      </c>
      <c r="S274" s="8">
        <v>11</v>
      </c>
      <c r="T274" s="8" t="s">
        <v>87</v>
      </c>
      <c r="U274" s="8" t="s">
        <v>37</v>
      </c>
      <c r="V274" s="8" t="s">
        <v>88</v>
      </c>
      <c r="W274" s="8" t="s">
        <v>995</v>
      </c>
      <c r="X274" s="8"/>
      <c r="Y274" s="8">
        <v>253</v>
      </c>
      <c r="Z274" s="8" t="s">
        <v>996</v>
      </c>
      <c r="AA274" s="8" t="s">
        <v>109</v>
      </c>
      <c r="AB274" s="8">
        <v>31</v>
      </c>
      <c r="AC274" s="13">
        <v>44058</v>
      </c>
      <c r="AD274" s="13">
        <v>44085</v>
      </c>
      <c r="AE274" s="8">
        <v>5</v>
      </c>
      <c r="AF274" s="8">
        <f t="shared" si="44"/>
        <v>0</v>
      </c>
      <c r="AG274" s="8" t="s">
        <v>1678</v>
      </c>
    </row>
    <row r="275" spans="1:33" hidden="1" x14ac:dyDescent="0.2">
      <c r="A275" s="8">
        <v>2502</v>
      </c>
      <c r="B275" s="9">
        <v>44073</v>
      </c>
      <c r="C275" s="8">
        <v>30012785</v>
      </c>
      <c r="D275" s="8" t="s">
        <v>28</v>
      </c>
      <c r="E275" s="8" t="s">
        <v>98</v>
      </c>
      <c r="F275" s="8" t="s">
        <v>205</v>
      </c>
      <c r="G275" s="8">
        <v>15018321</v>
      </c>
      <c r="H275" s="8">
        <v>802094879</v>
      </c>
      <c r="I275" s="8" t="s">
        <v>99</v>
      </c>
      <c r="J275" s="8" t="s">
        <v>32</v>
      </c>
      <c r="K275" s="8" t="s">
        <v>177</v>
      </c>
      <c r="L275" s="8" t="s">
        <v>989</v>
      </c>
      <c r="M275" s="9">
        <v>44054</v>
      </c>
      <c r="N275" s="9">
        <v>44085</v>
      </c>
      <c r="O275" s="8">
        <v>502.12799999999999</v>
      </c>
      <c r="P275" s="8" t="s">
        <v>84</v>
      </c>
      <c r="Q275" s="8" t="s">
        <v>34</v>
      </c>
      <c r="R275" s="8" t="s">
        <v>35</v>
      </c>
      <c r="S275" s="8">
        <v>22</v>
      </c>
      <c r="T275" s="8" t="s">
        <v>87</v>
      </c>
      <c r="U275" s="8" t="s">
        <v>290</v>
      </c>
      <c r="V275" s="8" t="s">
        <v>88</v>
      </c>
      <c r="W275" s="8" t="s">
        <v>999</v>
      </c>
      <c r="X275" s="8"/>
      <c r="Y275" s="8">
        <v>528</v>
      </c>
      <c r="Z275" s="8"/>
      <c r="AA275" s="8" t="s">
        <v>39</v>
      </c>
      <c r="AB275" s="8">
        <v>31</v>
      </c>
      <c r="AC275" s="13">
        <v>44058</v>
      </c>
      <c r="AD275" s="13">
        <v>44088</v>
      </c>
      <c r="AE275" s="8">
        <v>5</v>
      </c>
      <c r="AF275" s="8">
        <f t="shared" si="44"/>
        <v>3</v>
      </c>
      <c r="AG275" s="8" t="s">
        <v>1678</v>
      </c>
    </row>
    <row r="276" spans="1:33" hidden="1" x14ac:dyDescent="0.2">
      <c r="A276" s="8">
        <v>2502</v>
      </c>
      <c r="B276" s="9">
        <v>44073</v>
      </c>
      <c r="C276" s="8">
        <v>30012785</v>
      </c>
      <c r="D276" s="8" t="s">
        <v>54</v>
      </c>
      <c r="E276" s="8" t="s">
        <v>103</v>
      </c>
      <c r="F276" s="8" t="s">
        <v>104</v>
      </c>
      <c r="G276" s="8">
        <v>15018350</v>
      </c>
      <c r="H276" s="8">
        <v>802094911</v>
      </c>
      <c r="I276" s="8" t="s">
        <v>31</v>
      </c>
      <c r="J276" s="8" t="s">
        <v>32</v>
      </c>
      <c r="K276" s="8" t="s">
        <v>177</v>
      </c>
      <c r="L276" s="8" t="s">
        <v>989</v>
      </c>
      <c r="M276" s="9">
        <v>44054</v>
      </c>
      <c r="N276" s="9">
        <v>44085</v>
      </c>
      <c r="O276" s="8">
        <v>188.16</v>
      </c>
      <c r="P276" s="8" t="s">
        <v>84</v>
      </c>
      <c r="Q276" s="8" t="s">
        <v>105</v>
      </c>
      <c r="R276" s="8" t="s">
        <v>106</v>
      </c>
      <c r="S276" s="8">
        <v>8</v>
      </c>
      <c r="T276" s="8" t="s">
        <v>87</v>
      </c>
      <c r="U276" s="8" t="s">
        <v>290</v>
      </c>
      <c r="V276" s="8" t="s">
        <v>88</v>
      </c>
      <c r="W276" s="8" t="s">
        <v>1002</v>
      </c>
      <c r="X276" s="8"/>
      <c r="Y276" s="8">
        <v>192</v>
      </c>
      <c r="Z276" s="8" t="s">
        <v>996</v>
      </c>
      <c r="AA276" s="8" t="s">
        <v>39</v>
      </c>
      <c r="AB276" s="8">
        <v>31</v>
      </c>
      <c r="AC276" s="13">
        <v>44058</v>
      </c>
      <c r="AD276" s="13">
        <v>44085</v>
      </c>
      <c r="AE276" s="8">
        <v>5</v>
      </c>
      <c r="AF276" s="8">
        <f t="shared" si="44"/>
        <v>0</v>
      </c>
      <c r="AG276" s="8" t="s">
        <v>1678</v>
      </c>
    </row>
    <row r="277" spans="1:33" hidden="1" x14ac:dyDescent="0.2">
      <c r="A277" s="8">
        <v>2502</v>
      </c>
      <c r="B277" s="9">
        <v>44073</v>
      </c>
      <c r="C277" s="8">
        <v>30012785</v>
      </c>
      <c r="D277" s="8" t="s">
        <v>54</v>
      </c>
      <c r="E277" s="8" t="s">
        <v>103</v>
      </c>
      <c r="F277" s="8" t="s">
        <v>104</v>
      </c>
      <c r="G277" s="8">
        <v>15018351</v>
      </c>
      <c r="H277" s="8">
        <v>802094912</v>
      </c>
      <c r="I277" s="8" t="s">
        <v>31</v>
      </c>
      <c r="J277" s="8" t="s">
        <v>32</v>
      </c>
      <c r="K277" s="8" t="s">
        <v>177</v>
      </c>
      <c r="L277" s="8" t="s">
        <v>989</v>
      </c>
      <c r="M277" s="9">
        <v>44054</v>
      </c>
      <c r="N277" s="9">
        <v>44085</v>
      </c>
      <c r="O277" s="8">
        <v>211.245</v>
      </c>
      <c r="P277" s="8" t="s">
        <v>84</v>
      </c>
      <c r="Q277" s="8" t="s">
        <v>105</v>
      </c>
      <c r="R277" s="8" t="s">
        <v>106</v>
      </c>
      <c r="S277" s="8">
        <v>9</v>
      </c>
      <c r="T277" s="8" t="s">
        <v>87</v>
      </c>
      <c r="U277" s="8" t="s">
        <v>37</v>
      </c>
      <c r="V277" s="8" t="s">
        <v>88</v>
      </c>
      <c r="W277" s="8" t="s">
        <v>1005</v>
      </c>
      <c r="X277" s="8"/>
      <c r="Y277" s="8">
        <v>216</v>
      </c>
      <c r="Z277" s="8" t="s">
        <v>996</v>
      </c>
      <c r="AA277" s="8" t="s">
        <v>39</v>
      </c>
      <c r="AB277" s="8">
        <v>31</v>
      </c>
      <c r="AC277" s="13">
        <v>44058</v>
      </c>
      <c r="AD277" s="13">
        <v>44085</v>
      </c>
      <c r="AE277" s="8">
        <v>5</v>
      </c>
      <c r="AF277" s="8">
        <f t="shared" si="44"/>
        <v>0</v>
      </c>
      <c r="AG277" s="8" t="s">
        <v>1678</v>
      </c>
    </row>
    <row r="278" spans="1:33" hidden="1" x14ac:dyDescent="0.2">
      <c r="A278" s="8">
        <v>2502</v>
      </c>
      <c r="B278" s="9">
        <v>44048</v>
      </c>
      <c r="C278" s="8">
        <v>30012785</v>
      </c>
      <c r="D278" s="8" t="s">
        <v>152</v>
      </c>
      <c r="E278" s="8" t="s">
        <v>138</v>
      </c>
      <c r="F278" s="8" t="s">
        <v>265</v>
      </c>
      <c r="G278" s="8">
        <v>15018373</v>
      </c>
      <c r="H278" s="8">
        <v>802094999</v>
      </c>
      <c r="I278" s="8" t="s">
        <v>377</v>
      </c>
      <c r="J278" s="8" t="s">
        <v>47</v>
      </c>
      <c r="K278" s="8" t="s">
        <v>177</v>
      </c>
      <c r="L278" s="8" t="s">
        <v>989</v>
      </c>
      <c r="M278" s="9">
        <v>44054</v>
      </c>
      <c r="N278" s="9">
        <v>44085</v>
      </c>
      <c r="O278" s="8">
        <v>153</v>
      </c>
      <c r="P278" s="8" t="s">
        <v>84</v>
      </c>
      <c r="Q278" s="8" t="s">
        <v>34</v>
      </c>
      <c r="R278" s="8" t="s">
        <v>266</v>
      </c>
      <c r="S278" s="8">
        <v>8</v>
      </c>
      <c r="T278" s="8" t="s">
        <v>87</v>
      </c>
      <c r="U278" s="8" t="s">
        <v>290</v>
      </c>
      <c r="V278" s="8" t="s">
        <v>88</v>
      </c>
      <c r="W278" s="8" t="s">
        <v>1008</v>
      </c>
      <c r="X278" s="8"/>
      <c r="Y278" s="8">
        <v>16</v>
      </c>
      <c r="Z278" s="8" t="s">
        <v>856</v>
      </c>
      <c r="AA278" s="8" t="s">
        <v>39</v>
      </c>
      <c r="AB278" s="8">
        <v>31</v>
      </c>
      <c r="AC278" s="13">
        <v>44058</v>
      </c>
      <c r="AD278" s="13">
        <v>44088</v>
      </c>
      <c r="AE278" s="8">
        <v>5</v>
      </c>
      <c r="AF278" s="8">
        <f t="shared" si="44"/>
        <v>3</v>
      </c>
      <c r="AG278" s="8" t="s">
        <v>1678</v>
      </c>
    </row>
    <row r="279" spans="1:33" hidden="1" x14ac:dyDescent="0.2">
      <c r="A279" s="8">
        <v>2502</v>
      </c>
      <c r="B279" s="9">
        <v>44048</v>
      </c>
      <c r="C279" s="8">
        <v>30012785</v>
      </c>
      <c r="D279" s="8" t="s">
        <v>152</v>
      </c>
      <c r="E279" s="8" t="s">
        <v>138</v>
      </c>
      <c r="F279" s="8" t="s">
        <v>265</v>
      </c>
      <c r="G279" s="8">
        <v>15018380</v>
      </c>
      <c r="H279" s="8">
        <v>802095001</v>
      </c>
      <c r="I279" s="8" t="s">
        <v>1011</v>
      </c>
      <c r="J279" s="8" t="s">
        <v>47</v>
      </c>
      <c r="K279" s="8" t="s">
        <v>177</v>
      </c>
      <c r="L279" s="8" t="s">
        <v>989</v>
      </c>
      <c r="M279" s="9">
        <v>44054</v>
      </c>
      <c r="N279" s="9">
        <v>44085</v>
      </c>
      <c r="O279" s="8">
        <v>221.31200000000001</v>
      </c>
      <c r="P279" s="8" t="s">
        <v>84</v>
      </c>
      <c r="Q279" s="8" t="s">
        <v>34</v>
      </c>
      <c r="R279" s="8" t="s">
        <v>266</v>
      </c>
      <c r="S279" s="8">
        <v>8</v>
      </c>
      <c r="T279" s="8" t="s">
        <v>87</v>
      </c>
      <c r="U279" s="8" t="s">
        <v>290</v>
      </c>
      <c r="V279" s="8" t="s">
        <v>88</v>
      </c>
      <c r="W279" s="8" t="s">
        <v>1012</v>
      </c>
      <c r="X279" s="8"/>
      <c r="Y279" s="8">
        <v>16</v>
      </c>
      <c r="Z279" s="8" t="s">
        <v>856</v>
      </c>
      <c r="AA279" s="8" t="s">
        <v>39</v>
      </c>
      <c r="AB279" s="8">
        <v>31</v>
      </c>
      <c r="AC279" s="13">
        <v>44058</v>
      </c>
      <c r="AD279" s="13">
        <v>44088</v>
      </c>
      <c r="AE279" s="8">
        <v>5</v>
      </c>
      <c r="AF279" s="8">
        <f t="shared" si="44"/>
        <v>3</v>
      </c>
      <c r="AG279" s="8" t="s">
        <v>1678</v>
      </c>
    </row>
    <row r="280" spans="1:33" hidden="1" x14ac:dyDescent="0.2">
      <c r="A280" s="8">
        <v>2502</v>
      </c>
      <c r="B280" s="9">
        <v>44048</v>
      </c>
      <c r="C280" s="8">
        <v>30012785</v>
      </c>
      <c r="D280" s="8" t="s">
        <v>152</v>
      </c>
      <c r="E280" s="8" t="s">
        <v>138</v>
      </c>
      <c r="F280" s="8" t="s">
        <v>265</v>
      </c>
      <c r="G280" s="8">
        <v>15018386</v>
      </c>
      <c r="H280" s="8">
        <v>802095002</v>
      </c>
      <c r="I280" s="8" t="s">
        <v>407</v>
      </c>
      <c r="J280" s="8" t="s">
        <v>47</v>
      </c>
      <c r="K280" s="8" t="s">
        <v>177</v>
      </c>
      <c r="L280" s="8" t="s">
        <v>989</v>
      </c>
      <c r="M280" s="9">
        <v>44054</v>
      </c>
      <c r="N280" s="9">
        <v>44085</v>
      </c>
      <c r="O280" s="8">
        <v>260</v>
      </c>
      <c r="P280" s="8" t="s">
        <v>84</v>
      </c>
      <c r="Q280" s="8" t="s">
        <v>34</v>
      </c>
      <c r="R280" s="8" t="s">
        <v>266</v>
      </c>
      <c r="S280" s="8">
        <v>13</v>
      </c>
      <c r="T280" s="8" t="s">
        <v>87</v>
      </c>
      <c r="U280" s="8" t="s">
        <v>290</v>
      </c>
      <c r="V280" s="8" t="s">
        <v>88</v>
      </c>
      <c r="W280" s="8" t="s">
        <v>1015</v>
      </c>
      <c r="X280" s="8"/>
      <c r="Y280" s="8">
        <v>25</v>
      </c>
      <c r="Z280" s="8" t="s">
        <v>856</v>
      </c>
      <c r="AA280" s="8" t="s">
        <v>39</v>
      </c>
      <c r="AB280" s="8">
        <v>31</v>
      </c>
      <c r="AC280" s="13">
        <v>44058</v>
      </c>
      <c r="AD280" s="13">
        <v>44088</v>
      </c>
      <c r="AE280" s="8">
        <v>5</v>
      </c>
      <c r="AF280" s="8">
        <f t="shared" si="44"/>
        <v>3</v>
      </c>
      <c r="AG280" s="8" t="s">
        <v>1678</v>
      </c>
    </row>
    <row r="281" spans="1:33" hidden="1" x14ac:dyDescent="0.2">
      <c r="A281" s="8">
        <v>2502</v>
      </c>
      <c r="B281" s="9">
        <v>44048</v>
      </c>
      <c r="C281" s="8">
        <v>30012785</v>
      </c>
      <c r="D281" s="8" t="s">
        <v>152</v>
      </c>
      <c r="E281" s="8" t="s">
        <v>138</v>
      </c>
      <c r="F281" s="8" t="s">
        <v>265</v>
      </c>
      <c r="G281" s="8">
        <v>15018387</v>
      </c>
      <c r="H281" s="8">
        <v>802095003</v>
      </c>
      <c r="I281" s="8" t="s">
        <v>408</v>
      </c>
      <c r="J281" s="8" t="s">
        <v>47</v>
      </c>
      <c r="K281" s="8" t="s">
        <v>177</v>
      </c>
      <c r="L281" s="8" t="s">
        <v>989</v>
      </c>
      <c r="M281" s="9">
        <v>44054</v>
      </c>
      <c r="N281" s="9">
        <v>44085</v>
      </c>
      <c r="O281" s="8">
        <v>111.73</v>
      </c>
      <c r="P281" s="8" t="s">
        <v>84</v>
      </c>
      <c r="Q281" s="8" t="s">
        <v>34</v>
      </c>
      <c r="R281" s="8" t="s">
        <v>266</v>
      </c>
      <c r="S281" s="8">
        <v>5</v>
      </c>
      <c r="T281" s="8" t="s">
        <v>87</v>
      </c>
      <c r="U281" s="8" t="s">
        <v>290</v>
      </c>
      <c r="V281" s="8" t="s">
        <v>88</v>
      </c>
      <c r="W281" s="8" t="s">
        <v>1018</v>
      </c>
      <c r="X281" s="8"/>
      <c r="Y281" s="8">
        <v>10</v>
      </c>
      <c r="Z281" s="8" t="s">
        <v>856</v>
      </c>
      <c r="AA281" s="8" t="s">
        <v>39</v>
      </c>
      <c r="AB281" s="8">
        <v>31</v>
      </c>
      <c r="AC281" s="13">
        <v>44058</v>
      </c>
      <c r="AD281" s="13">
        <v>44088</v>
      </c>
      <c r="AE281" s="8">
        <v>5</v>
      </c>
      <c r="AF281" s="8">
        <f t="shared" si="44"/>
        <v>3</v>
      </c>
      <c r="AG281" s="8" t="s">
        <v>1678</v>
      </c>
    </row>
    <row r="282" spans="1:33" hidden="1" x14ac:dyDescent="0.2">
      <c r="A282" s="8">
        <v>2502</v>
      </c>
      <c r="B282" s="9">
        <v>44048</v>
      </c>
      <c r="C282" s="8">
        <v>30012785</v>
      </c>
      <c r="D282" s="8" t="s">
        <v>152</v>
      </c>
      <c r="E282" s="8" t="s">
        <v>138</v>
      </c>
      <c r="F282" s="8" t="s">
        <v>265</v>
      </c>
      <c r="G282" s="8">
        <v>15018388</v>
      </c>
      <c r="H282" s="8">
        <v>802095004</v>
      </c>
      <c r="I282" s="8" t="s">
        <v>385</v>
      </c>
      <c r="J282" s="8" t="s">
        <v>47</v>
      </c>
      <c r="K282" s="8" t="s">
        <v>177</v>
      </c>
      <c r="L282" s="8" t="s">
        <v>989</v>
      </c>
      <c r="M282" s="9">
        <v>44054</v>
      </c>
      <c r="N282" s="9">
        <v>44085</v>
      </c>
      <c r="O282" s="8">
        <v>208.54</v>
      </c>
      <c r="P282" s="8" t="s">
        <v>84</v>
      </c>
      <c r="Q282" s="8" t="s">
        <v>34</v>
      </c>
      <c r="R282" s="8" t="s">
        <v>266</v>
      </c>
      <c r="S282" s="8">
        <v>10</v>
      </c>
      <c r="T282" s="8" t="s">
        <v>87</v>
      </c>
      <c r="U282" s="8" t="s">
        <v>290</v>
      </c>
      <c r="V282" s="8" t="s">
        <v>88</v>
      </c>
      <c r="W282" s="8" t="s">
        <v>1021</v>
      </c>
      <c r="X282" s="8"/>
      <c r="Y282" s="8">
        <v>20</v>
      </c>
      <c r="Z282" s="8" t="s">
        <v>856</v>
      </c>
      <c r="AA282" s="8" t="s">
        <v>39</v>
      </c>
      <c r="AB282" s="8">
        <v>31</v>
      </c>
      <c r="AC282" s="13">
        <v>44058</v>
      </c>
      <c r="AD282" s="13">
        <v>44088</v>
      </c>
      <c r="AE282" s="8">
        <v>5</v>
      </c>
      <c r="AF282" s="8">
        <f t="shared" si="44"/>
        <v>3</v>
      </c>
      <c r="AG282" s="8" t="s">
        <v>1678</v>
      </c>
    </row>
    <row r="283" spans="1:33" hidden="1" x14ac:dyDescent="0.2">
      <c r="A283" s="8">
        <v>2502</v>
      </c>
      <c r="B283" s="9">
        <v>44048</v>
      </c>
      <c r="C283" s="8">
        <v>30012785</v>
      </c>
      <c r="D283" s="8" t="s">
        <v>152</v>
      </c>
      <c r="E283" s="8" t="s">
        <v>138</v>
      </c>
      <c r="F283" s="8" t="s">
        <v>265</v>
      </c>
      <c r="G283" s="8">
        <v>15018389</v>
      </c>
      <c r="H283" s="8">
        <v>802095005</v>
      </c>
      <c r="I283" s="8" t="s">
        <v>386</v>
      </c>
      <c r="J283" s="8" t="s">
        <v>47</v>
      </c>
      <c r="K283" s="8" t="s">
        <v>177</v>
      </c>
      <c r="L283" s="8" t="s">
        <v>989</v>
      </c>
      <c r="M283" s="9">
        <v>44054</v>
      </c>
      <c r="N283" s="9">
        <v>44085</v>
      </c>
      <c r="O283" s="8">
        <v>225.4</v>
      </c>
      <c r="P283" s="8" t="s">
        <v>84</v>
      </c>
      <c r="Q283" s="8" t="s">
        <v>34</v>
      </c>
      <c r="R283" s="8" t="s">
        <v>266</v>
      </c>
      <c r="S283" s="8">
        <v>10</v>
      </c>
      <c r="T283" s="8" t="s">
        <v>87</v>
      </c>
      <c r="U283" s="8" t="s">
        <v>290</v>
      </c>
      <c r="V283" s="8" t="s">
        <v>88</v>
      </c>
      <c r="W283" s="8" t="s">
        <v>1024</v>
      </c>
      <c r="X283" s="8"/>
      <c r="Y283" s="8">
        <v>20</v>
      </c>
      <c r="Z283" s="8" t="s">
        <v>856</v>
      </c>
      <c r="AA283" s="8" t="s">
        <v>39</v>
      </c>
      <c r="AB283" s="8">
        <v>31</v>
      </c>
      <c r="AC283" s="13">
        <v>44058</v>
      </c>
      <c r="AD283" s="13">
        <v>44088</v>
      </c>
      <c r="AE283" s="8">
        <v>5</v>
      </c>
      <c r="AF283" s="8">
        <f t="shared" si="44"/>
        <v>3</v>
      </c>
      <c r="AG283" s="8" t="s">
        <v>1678</v>
      </c>
    </row>
    <row r="284" spans="1:33" hidden="1" x14ac:dyDescent="0.2">
      <c r="A284" s="8">
        <v>2502</v>
      </c>
      <c r="B284" s="9">
        <v>44073</v>
      </c>
      <c r="C284" s="8">
        <v>30012786</v>
      </c>
      <c r="D284" s="8" t="s">
        <v>91</v>
      </c>
      <c r="E284" s="8" t="s">
        <v>107</v>
      </c>
      <c r="F284" s="8" t="s">
        <v>108</v>
      </c>
      <c r="G284" s="8">
        <v>15018318</v>
      </c>
      <c r="H284" s="8">
        <v>802094878</v>
      </c>
      <c r="I284" s="8" t="s">
        <v>31</v>
      </c>
      <c r="J284" s="8" t="s">
        <v>32</v>
      </c>
      <c r="K284" s="8" t="s">
        <v>177</v>
      </c>
      <c r="L284" s="8" t="s">
        <v>1527</v>
      </c>
      <c r="M284" s="9">
        <v>44068</v>
      </c>
      <c r="N284" s="9">
        <v>44098</v>
      </c>
      <c r="O284" s="8">
        <v>202.86</v>
      </c>
      <c r="P284" s="8" t="s">
        <v>84</v>
      </c>
      <c r="Q284" s="8" t="s">
        <v>105</v>
      </c>
      <c r="R284" s="8" t="s">
        <v>106</v>
      </c>
      <c r="S284" s="8">
        <v>9</v>
      </c>
      <c r="T284" s="8" t="s">
        <v>87</v>
      </c>
      <c r="U284" s="8" t="s">
        <v>290</v>
      </c>
      <c r="V284" s="8" t="s">
        <v>88</v>
      </c>
      <c r="W284" s="8" t="s">
        <v>1528</v>
      </c>
      <c r="X284" s="8"/>
      <c r="Y284" s="8">
        <v>207</v>
      </c>
      <c r="Z284" s="8" t="s">
        <v>1529</v>
      </c>
      <c r="AA284" s="8" t="s">
        <v>109</v>
      </c>
      <c r="AB284" s="8">
        <v>31</v>
      </c>
      <c r="AC284" s="13">
        <v>44071</v>
      </c>
      <c r="AD284" s="13">
        <f>N284</f>
        <v>44098</v>
      </c>
      <c r="AE284" s="8">
        <f t="shared" ref="AE284:AE289" si="45">AC284-M284</f>
        <v>3</v>
      </c>
      <c r="AF284" s="8">
        <f t="shared" si="44"/>
        <v>0</v>
      </c>
      <c r="AG284" s="8" t="s">
        <v>1678</v>
      </c>
    </row>
    <row r="285" spans="1:33" hidden="1" x14ac:dyDescent="0.2">
      <c r="A285" s="8">
        <v>2502</v>
      </c>
      <c r="B285" s="9">
        <v>44073</v>
      </c>
      <c r="C285" s="8">
        <v>30012786</v>
      </c>
      <c r="D285" s="8" t="s">
        <v>28</v>
      </c>
      <c r="E285" s="8" t="s">
        <v>98</v>
      </c>
      <c r="F285" s="8" t="s">
        <v>205</v>
      </c>
      <c r="G285" s="8">
        <v>15018323</v>
      </c>
      <c r="H285" s="8">
        <v>802094881</v>
      </c>
      <c r="I285" s="8" t="s">
        <v>99</v>
      </c>
      <c r="J285" s="8" t="s">
        <v>32</v>
      </c>
      <c r="K285" s="8" t="s">
        <v>177</v>
      </c>
      <c r="L285" s="8" t="s">
        <v>1527</v>
      </c>
      <c r="M285" s="9">
        <v>44068</v>
      </c>
      <c r="N285" s="9">
        <v>44091</v>
      </c>
      <c r="O285" s="8">
        <v>502.12799999999999</v>
      </c>
      <c r="P285" s="8" t="s">
        <v>84</v>
      </c>
      <c r="Q285" s="8" t="s">
        <v>34</v>
      </c>
      <c r="R285" s="8" t="s">
        <v>35</v>
      </c>
      <c r="S285" s="8">
        <v>22</v>
      </c>
      <c r="T285" s="8" t="s">
        <v>87</v>
      </c>
      <c r="U285" s="8" t="s">
        <v>290</v>
      </c>
      <c r="V285" s="8" t="s">
        <v>88</v>
      </c>
      <c r="W285" s="8" t="s">
        <v>1532</v>
      </c>
      <c r="X285" s="8"/>
      <c r="Y285" s="8">
        <v>528</v>
      </c>
      <c r="Z285" s="8"/>
      <c r="AA285" s="8" t="s">
        <v>39</v>
      </c>
      <c r="AB285" s="8">
        <v>31</v>
      </c>
      <c r="AC285" s="13">
        <v>44071</v>
      </c>
      <c r="AD285" s="13">
        <v>44102</v>
      </c>
      <c r="AE285" s="8">
        <f t="shared" si="45"/>
        <v>3</v>
      </c>
      <c r="AF285" s="8">
        <f t="shared" si="44"/>
        <v>11</v>
      </c>
      <c r="AG285" s="8" t="s">
        <v>1678</v>
      </c>
    </row>
    <row r="286" spans="1:33" hidden="1" x14ac:dyDescent="0.2">
      <c r="A286" s="8">
        <v>2502</v>
      </c>
      <c r="B286" s="9">
        <v>44073</v>
      </c>
      <c r="C286" s="8">
        <v>30012786</v>
      </c>
      <c r="D286" s="8" t="s">
        <v>28</v>
      </c>
      <c r="E286" s="8" t="s">
        <v>29</v>
      </c>
      <c r="F286" s="8" t="s">
        <v>41</v>
      </c>
      <c r="G286" s="8">
        <v>15018343</v>
      </c>
      <c r="H286" s="8">
        <v>802094906</v>
      </c>
      <c r="I286" s="8" t="s">
        <v>31</v>
      </c>
      <c r="J286" s="8" t="s">
        <v>32</v>
      </c>
      <c r="K286" s="8" t="s">
        <v>177</v>
      </c>
      <c r="L286" s="8" t="s">
        <v>1527</v>
      </c>
      <c r="M286" s="9">
        <v>44068</v>
      </c>
      <c r="N286" s="9">
        <v>44091</v>
      </c>
      <c r="O286" s="8">
        <v>493.92</v>
      </c>
      <c r="P286" s="8" t="s">
        <v>84</v>
      </c>
      <c r="Q286" s="8" t="s">
        <v>34</v>
      </c>
      <c r="R286" s="8" t="s">
        <v>35</v>
      </c>
      <c r="S286" s="8">
        <v>21</v>
      </c>
      <c r="T286" s="8" t="s">
        <v>87</v>
      </c>
      <c r="U286" s="8" t="s">
        <v>290</v>
      </c>
      <c r="V286" s="8" t="s">
        <v>88</v>
      </c>
      <c r="W286" s="8" t="s">
        <v>1535</v>
      </c>
      <c r="X286" s="8"/>
      <c r="Y286" s="8">
        <v>504</v>
      </c>
      <c r="Z286" s="8"/>
      <c r="AA286" s="8" t="s">
        <v>39</v>
      </c>
      <c r="AB286" s="8">
        <v>31</v>
      </c>
      <c r="AC286" s="13">
        <v>44071</v>
      </c>
      <c r="AD286" s="13">
        <v>44102</v>
      </c>
      <c r="AE286" s="8">
        <f t="shared" si="45"/>
        <v>3</v>
      </c>
      <c r="AF286" s="8">
        <f t="shared" si="44"/>
        <v>11</v>
      </c>
      <c r="AG286" s="8" t="s">
        <v>1678</v>
      </c>
    </row>
    <row r="287" spans="1:33" hidden="1" x14ac:dyDescent="0.2">
      <c r="A287" s="8">
        <v>2502</v>
      </c>
      <c r="B287" s="9">
        <v>44073</v>
      </c>
      <c r="C287" s="8">
        <v>30012786</v>
      </c>
      <c r="D287" s="8" t="s">
        <v>152</v>
      </c>
      <c r="E287" s="8" t="s">
        <v>508</v>
      </c>
      <c r="F287" s="8" t="s">
        <v>509</v>
      </c>
      <c r="G287" s="8">
        <v>15018461</v>
      </c>
      <c r="H287" s="8">
        <v>802095154</v>
      </c>
      <c r="I287" s="8" t="s">
        <v>94</v>
      </c>
      <c r="J287" s="8" t="s">
        <v>95</v>
      </c>
      <c r="K287" s="8" t="s">
        <v>177</v>
      </c>
      <c r="L287" s="8" t="s">
        <v>1527</v>
      </c>
      <c r="M287" s="9">
        <v>44068</v>
      </c>
      <c r="N287" s="9">
        <v>44098</v>
      </c>
      <c r="O287" s="8">
        <v>191.21600000000001</v>
      </c>
      <c r="P287" s="8" t="s">
        <v>84</v>
      </c>
      <c r="Q287" s="8" t="s">
        <v>49</v>
      </c>
      <c r="R287" s="8" t="s">
        <v>50</v>
      </c>
      <c r="S287" s="8">
        <v>8</v>
      </c>
      <c r="T287" s="8" t="s">
        <v>87</v>
      </c>
      <c r="U287" s="8" t="s">
        <v>290</v>
      </c>
      <c r="V287" s="8" t="s">
        <v>88</v>
      </c>
      <c r="W287" s="8" t="s">
        <v>1538</v>
      </c>
      <c r="X287" s="8"/>
      <c r="Y287" s="8">
        <v>136</v>
      </c>
      <c r="Z287" s="8" t="s">
        <v>996</v>
      </c>
      <c r="AA287" s="8" t="s">
        <v>39</v>
      </c>
      <c r="AB287" s="8">
        <v>31</v>
      </c>
      <c r="AC287" s="13">
        <v>44071</v>
      </c>
      <c r="AD287" s="13">
        <v>44101</v>
      </c>
      <c r="AE287" s="8">
        <f t="shared" si="45"/>
        <v>3</v>
      </c>
      <c r="AF287" s="8">
        <f t="shared" si="44"/>
        <v>3</v>
      </c>
      <c r="AG287" s="8" t="s">
        <v>1678</v>
      </c>
    </row>
    <row r="288" spans="1:33" hidden="1" x14ac:dyDescent="0.2">
      <c r="A288" s="8">
        <v>2502</v>
      </c>
      <c r="B288" s="9">
        <v>44073</v>
      </c>
      <c r="C288" s="8">
        <v>30012786</v>
      </c>
      <c r="D288" s="8" t="s">
        <v>91</v>
      </c>
      <c r="E288" s="8" t="s">
        <v>92</v>
      </c>
      <c r="F288" s="8" t="s">
        <v>93</v>
      </c>
      <c r="G288" s="8">
        <v>15018478</v>
      </c>
      <c r="H288" s="8">
        <v>802095171</v>
      </c>
      <c r="I288" s="8" t="s">
        <v>714</v>
      </c>
      <c r="J288" s="8" t="s">
        <v>95</v>
      </c>
      <c r="K288" s="8" t="s">
        <v>177</v>
      </c>
      <c r="L288" s="8" t="s">
        <v>1527</v>
      </c>
      <c r="M288" s="9">
        <v>44068</v>
      </c>
      <c r="N288" s="9">
        <v>44096</v>
      </c>
      <c r="O288" s="8">
        <v>196</v>
      </c>
      <c r="P288" s="8" t="s">
        <v>84</v>
      </c>
      <c r="Q288" s="8" t="s">
        <v>96</v>
      </c>
      <c r="R288" s="8" t="s">
        <v>97</v>
      </c>
      <c r="S288" s="8">
        <v>8</v>
      </c>
      <c r="T288" s="8" t="s">
        <v>87</v>
      </c>
      <c r="U288" s="8" t="s">
        <v>290</v>
      </c>
      <c r="V288" s="8" t="s">
        <v>88</v>
      </c>
      <c r="W288" s="8" t="s">
        <v>1541</v>
      </c>
      <c r="X288" s="8"/>
      <c r="Y288" s="8">
        <v>280</v>
      </c>
      <c r="Z288" s="8"/>
      <c r="AA288" s="8" t="s">
        <v>39</v>
      </c>
      <c r="AB288" s="8">
        <v>31</v>
      </c>
      <c r="AC288" s="13">
        <v>44071</v>
      </c>
      <c r="AD288" s="13">
        <v>44099</v>
      </c>
      <c r="AE288" s="8">
        <f t="shared" si="45"/>
        <v>3</v>
      </c>
      <c r="AF288" s="8">
        <f t="shared" si="44"/>
        <v>3</v>
      </c>
      <c r="AG288" s="8" t="s">
        <v>1678</v>
      </c>
    </row>
    <row r="289" spans="1:33" hidden="1" x14ac:dyDescent="0.2">
      <c r="A289" s="8">
        <v>2502</v>
      </c>
      <c r="B289" s="9">
        <v>44073</v>
      </c>
      <c r="C289" s="8">
        <v>30012786</v>
      </c>
      <c r="D289" s="8" t="s">
        <v>91</v>
      </c>
      <c r="E289" s="8" t="s">
        <v>92</v>
      </c>
      <c r="F289" s="8" t="s">
        <v>93</v>
      </c>
      <c r="G289" s="8">
        <v>15018479</v>
      </c>
      <c r="H289" s="8">
        <v>802095172</v>
      </c>
      <c r="I289" s="8" t="s">
        <v>714</v>
      </c>
      <c r="J289" s="8" t="s">
        <v>95</v>
      </c>
      <c r="K289" s="8" t="s">
        <v>177</v>
      </c>
      <c r="L289" s="8" t="s">
        <v>1527</v>
      </c>
      <c r="M289" s="9">
        <v>44068</v>
      </c>
      <c r="N289" s="9">
        <v>44096</v>
      </c>
      <c r="O289" s="8">
        <v>196</v>
      </c>
      <c r="P289" s="8" t="s">
        <v>84</v>
      </c>
      <c r="Q289" s="8" t="s">
        <v>96</v>
      </c>
      <c r="R289" s="8" t="s">
        <v>97</v>
      </c>
      <c r="S289" s="8">
        <v>8</v>
      </c>
      <c r="T289" s="8" t="s">
        <v>87</v>
      </c>
      <c r="U289" s="8" t="s">
        <v>290</v>
      </c>
      <c r="V289" s="8" t="s">
        <v>88</v>
      </c>
      <c r="W289" s="8" t="s">
        <v>1544</v>
      </c>
      <c r="X289" s="8"/>
      <c r="Y289" s="8">
        <v>280</v>
      </c>
      <c r="Z289" s="8"/>
      <c r="AA289" s="8" t="s">
        <v>39</v>
      </c>
      <c r="AB289" s="8">
        <v>31</v>
      </c>
      <c r="AC289" s="13">
        <v>44071</v>
      </c>
      <c r="AD289" s="13">
        <v>44099</v>
      </c>
      <c r="AE289" s="8">
        <f t="shared" si="45"/>
        <v>3</v>
      </c>
      <c r="AF289" s="8">
        <f t="shared" si="44"/>
        <v>3</v>
      </c>
      <c r="AG289" s="8" t="s">
        <v>1678</v>
      </c>
    </row>
    <row r="290" spans="1:33" x14ac:dyDescent="0.2">
      <c r="A290" s="8">
        <v>2501</v>
      </c>
      <c r="B290" s="9">
        <v>44053</v>
      </c>
      <c r="C290" s="8">
        <v>30012773</v>
      </c>
      <c r="D290" s="8" t="s">
        <v>28</v>
      </c>
      <c r="E290" s="8" t="s">
        <v>40</v>
      </c>
      <c r="F290" s="8" t="s">
        <v>41</v>
      </c>
      <c r="G290" s="8">
        <v>15018215</v>
      </c>
      <c r="H290" s="8">
        <v>802094833</v>
      </c>
      <c r="I290" s="8" t="s">
        <v>31</v>
      </c>
      <c r="J290" s="8" t="s">
        <v>32</v>
      </c>
      <c r="K290" s="8" t="s">
        <v>743</v>
      </c>
      <c r="L290" s="8" t="s">
        <v>744</v>
      </c>
      <c r="M290" s="9">
        <v>44049</v>
      </c>
      <c r="N290" s="9">
        <v>44060</v>
      </c>
      <c r="O290" s="8">
        <v>303.26600000000002</v>
      </c>
      <c r="P290" s="8" t="s">
        <v>33</v>
      </c>
      <c r="Q290" s="8" t="s">
        <v>34</v>
      </c>
      <c r="R290" s="8" t="s">
        <v>35</v>
      </c>
      <c r="S290" s="8">
        <v>15</v>
      </c>
      <c r="T290" s="8" t="s">
        <v>42</v>
      </c>
      <c r="U290" s="8" t="s">
        <v>37</v>
      </c>
      <c r="V290" s="8" t="s">
        <v>43</v>
      </c>
      <c r="W290" s="8" t="s">
        <v>892</v>
      </c>
      <c r="X290" s="8"/>
      <c r="Y290" s="8">
        <v>300</v>
      </c>
      <c r="Z290" s="8"/>
      <c r="AA290" s="8" t="s">
        <v>39</v>
      </c>
      <c r="AB290" s="8">
        <v>31</v>
      </c>
      <c r="AC290" s="13">
        <v>44052</v>
      </c>
      <c r="AD290" s="13">
        <f>N290</f>
        <v>44060</v>
      </c>
      <c r="AE290" s="8">
        <v>3</v>
      </c>
      <c r="AF290" s="8"/>
      <c r="AG290" s="8" t="s">
        <v>1684</v>
      </c>
    </row>
    <row r="291" spans="1:33" hidden="1" x14ac:dyDescent="0.2">
      <c r="A291" s="8">
        <v>2504</v>
      </c>
      <c r="B291" s="9">
        <v>44073</v>
      </c>
      <c r="C291" s="8">
        <v>30012863</v>
      </c>
      <c r="D291" s="8" t="s">
        <v>365</v>
      </c>
      <c r="E291" s="8" t="s">
        <v>543</v>
      </c>
      <c r="F291" s="8" t="s">
        <v>575</v>
      </c>
      <c r="G291" s="8">
        <v>15018442</v>
      </c>
      <c r="H291" s="8">
        <v>802095160</v>
      </c>
      <c r="I291" s="8" t="s">
        <v>77</v>
      </c>
      <c r="J291" s="8" t="s">
        <v>32</v>
      </c>
      <c r="K291" s="8" t="s">
        <v>403</v>
      </c>
      <c r="L291" s="8" t="s">
        <v>490</v>
      </c>
      <c r="M291" s="9">
        <v>44074</v>
      </c>
      <c r="N291" s="9">
        <v>44095</v>
      </c>
      <c r="O291" s="8">
        <v>496.8</v>
      </c>
      <c r="P291" s="8" t="s">
        <v>48</v>
      </c>
      <c r="Q291" s="8" t="s">
        <v>576</v>
      </c>
      <c r="R291" s="8" t="s">
        <v>577</v>
      </c>
      <c r="S291" s="8">
        <v>24</v>
      </c>
      <c r="T291" s="8" t="s">
        <v>42</v>
      </c>
      <c r="U291" s="8" t="s">
        <v>1139</v>
      </c>
      <c r="V291" s="8" t="s">
        <v>52</v>
      </c>
      <c r="W291" s="8" t="s">
        <v>1662</v>
      </c>
      <c r="X291" s="8"/>
      <c r="Y291" s="8">
        <v>480</v>
      </c>
      <c r="Z291" s="8"/>
      <c r="AA291" s="8" t="s">
        <v>39</v>
      </c>
      <c r="AB291" s="8">
        <v>31</v>
      </c>
      <c r="AC291" s="13">
        <f t="shared" ref="AC291:AC292" si="46">M291</f>
        <v>44074</v>
      </c>
      <c r="AD291" s="13">
        <f t="shared" ref="AD291:AD292" si="47">N291</f>
        <v>44095</v>
      </c>
      <c r="AE291" s="8">
        <v>0</v>
      </c>
      <c r="AF291" s="8"/>
      <c r="AG291" s="8"/>
    </row>
    <row r="292" spans="1:33" hidden="1" x14ac:dyDescent="0.2">
      <c r="A292" s="8">
        <v>2504</v>
      </c>
      <c r="B292" s="9">
        <v>44073</v>
      </c>
      <c r="C292" s="8">
        <v>30012843</v>
      </c>
      <c r="D292" s="8" t="s">
        <v>91</v>
      </c>
      <c r="E292" s="8" t="s">
        <v>728</v>
      </c>
      <c r="F292" s="8" t="s">
        <v>729</v>
      </c>
      <c r="G292" s="8">
        <v>15018471</v>
      </c>
      <c r="H292" s="8">
        <v>802095161</v>
      </c>
      <c r="I292" s="8" t="s">
        <v>730</v>
      </c>
      <c r="J292" s="8" t="s">
        <v>58</v>
      </c>
      <c r="K292" s="8" t="s">
        <v>579</v>
      </c>
      <c r="L292" s="8" t="s">
        <v>1152</v>
      </c>
      <c r="M292" s="9">
        <v>44075</v>
      </c>
      <c r="N292" s="9">
        <v>44124</v>
      </c>
      <c r="O292" s="8">
        <v>205.744</v>
      </c>
      <c r="P292" s="8" t="s">
        <v>48</v>
      </c>
      <c r="Q292" s="8" t="s">
        <v>731</v>
      </c>
      <c r="R292" s="8" t="s">
        <v>732</v>
      </c>
      <c r="S292" s="8">
        <v>8</v>
      </c>
      <c r="T292" s="8" t="s">
        <v>72</v>
      </c>
      <c r="U292" s="8" t="s">
        <v>290</v>
      </c>
      <c r="V292" s="8" t="s">
        <v>65</v>
      </c>
      <c r="W292" s="8" t="s">
        <v>1672</v>
      </c>
      <c r="X292" s="8"/>
      <c r="Y292" s="8">
        <v>88</v>
      </c>
      <c r="Z292" s="8"/>
      <c r="AA292" s="8" t="s">
        <v>733</v>
      </c>
      <c r="AB292" s="8">
        <v>31</v>
      </c>
      <c r="AC292" s="13">
        <f t="shared" si="46"/>
        <v>44075</v>
      </c>
      <c r="AD292" s="13">
        <f t="shared" si="47"/>
        <v>44124</v>
      </c>
      <c r="AE292" s="8">
        <v>0</v>
      </c>
      <c r="AF292" s="8"/>
      <c r="AG292" s="8"/>
    </row>
    <row r="293" spans="1:33" hidden="1" x14ac:dyDescent="0.2">
      <c r="A293" s="8">
        <v>2502</v>
      </c>
      <c r="B293" s="9">
        <v>44073</v>
      </c>
      <c r="C293" s="8"/>
      <c r="D293" s="8" t="s">
        <v>28</v>
      </c>
      <c r="E293" s="8" t="s">
        <v>129</v>
      </c>
      <c r="F293" s="8" t="s">
        <v>507</v>
      </c>
      <c r="G293" s="8">
        <v>15018342</v>
      </c>
      <c r="H293" s="8">
        <v>802094905</v>
      </c>
      <c r="I293" s="8" t="s">
        <v>89</v>
      </c>
      <c r="J293" s="8" t="s">
        <v>90</v>
      </c>
      <c r="K293" s="8"/>
      <c r="L293" s="8"/>
      <c r="M293" s="8"/>
      <c r="N293" s="9">
        <v>44099</v>
      </c>
      <c r="O293" s="8">
        <v>498.4</v>
      </c>
      <c r="P293" s="8" t="s">
        <v>84</v>
      </c>
      <c r="Q293" s="8" t="s">
        <v>405</v>
      </c>
      <c r="R293" s="8" t="s">
        <v>406</v>
      </c>
      <c r="S293" s="8">
        <v>20</v>
      </c>
      <c r="T293" s="8" t="s">
        <v>87</v>
      </c>
      <c r="U293" s="8" t="s">
        <v>290</v>
      </c>
      <c r="V293" s="8"/>
      <c r="W293" s="8" t="s">
        <v>1665</v>
      </c>
      <c r="X293" s="8"/>
      <c r="Y293" s="8">
        <v>700</v>
      </c>
      <c r="Z293" s="8"/>
      <c r="AA293" s="8" t="s">
        <v>39</v>
      </c>
      <c r="AB293" s="8">
        <v>31</v>
      </c>
      <c r="AC293" s="13"/>
      <c r="AD293" s="13"/>
      <c r="AE293" s="8"/>
      <c r="AF293" s="8"/>
      <c r="AG293" s="8"/>
    </row>
    <row r="294" spans="1:33" hidden="1" x14ac:dyDescent="0.2">
      <c r="A294" s="8">
        <v>2502</v>
      </c>
      <c r="B294" s="9">
        <v>44073</v>
      </c>
      <c r="C294" s="8"/>
      <c r="D294" s="8" t="s">
        <v>28</v>
      </c>
      <c r="E294" s="8" t="s">
        <v>129</v>
      </c>
      <c r="F294" s="8" t="s">
        <v>507</v>
      </c>
      <c r="G294" s="8">
        <v>15018344</v>
      </c>
      <c r="H294" s="8">
        <v>802094907</v>
      </c>
      <c r="I294" s="8" t="s">
        <v>89</v>
      </c>
      <c r="J294" s="8" t="s">
        <v>90</v>
      </c>
      <c r="K294" s="8"/>
      <c r="L294" s="8"/>
      <c r="M294" s="8"/>
      <c r="N294" s="9">
        <v>44099</v>
      </c>
      <c r="O294" s="8">
        <v>498.4</v>
      </c>
      <c r="P294" s="8" t="s">
        <v>84</v>
      </c>
      <c r="Q294" s="8" t="s">
        <v>405</v>
      </c>
      <c r="R294" s="8" t="s">
        <v>406</v>
      </c>
      <c r="S294" s="8">
        <v>20</v>
      </c>
      <c r="T294" s="8" t="s">
        <v>87</v>
      </c>
      <c r="U294" s="8" t="s">
        <v>290</v>
      </c>
      <c r="V294" s="8"/>
      <c r="W294" s="8" t="s">
        <v>1668</v>
      </c>
      <c r="X294" s="8"/>
      <c r="Y294" s="8">
        <v>700</v>
      </c>
      <c r="Z294" s="8"/>
      <c r="AA294" s="8" t="s">
        <v>39</v>
      </c>
      <c r="AB294" s="8">
        <v>31</v>
      </c>
      <c r="AC294" s="13"/>
      <c r="AD294" s="13"/>
      <c r="AE294" s="8"/>
      <c r="AF294" s="8"/>
      <c r="AG294" s="8"/>
    </row>
  </sheetData>
  <autoFilter ref="A1:AG294" xr:uid="{07552DE1-F742-4358-B237-8C1DB9EDB705}">
    <filterColumn colId="0">
      <filters>
        <filter val="250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B294"/>
  <sheetViews>
    <sheetView zoomScaleNormal="100" workbookViewId="0">
      <pane ySplit="1" topLeftCell="A2" activePane="bottomLeft" state="frozen"/>
      <selection activeCell="L28" sqref="L28"/>
      <selection pane="bottomLeft" activeCell="M300" sqref="M300"/>
    </sheetView>
  </sheetViews>
  <sheetFormatPr defaultColWidth="8.7109375" defaultRowHeight="12.75" x14ac:dyDescent="0.2"/>
  <cols>
    <col min="1" max="1" width="7" style="1" customWidth="1"/>
    <col min="2" max="2" width="15" style="1" bestFit="1" customWidth="1"/>
    <col min="3" max="3" width="12" style="1" bestFit="1" customWidth="1"/>
    <col min="4" max="4" width="8.28515625" style="1" bestFit="1" customWidth="1"/>
    <col min="5" max="5" width="43" style="1" bestFit="1" customWidth="1"/>
    <col min="6" max="6" width="14.7109375" style="1" bestFit="1" customWidth="1"/>
    <col min="7" max="7" width="12.85546875" style="1" bestFit="1" customWidth="1"/>
    <col min="8" max="8" width="11.140625" style="1" bestFit="1" customWidth="1"/>
    <col min="9" max="9" width="44.42578125" style="1" bestFit="1" customWidth="1"/>
    <col min="10" max="10" width="10.28515625" style="1" bestFit="1" customWidth="1"/>
    <col min="11" max="11" width="23" style="1" bestFit="1" customWidth="1"/>
    <col min="12" max="12" width="10" style="1" bestFit="1" customWidth="1"/>
    <col min="13" max="13" width="12" style="1" bestFit="1" customWidth="1"/>
    <col min="14" max="14" width="14" style="1" bestFit="1" customWidth="1"/>
    <col min="15" max="15" width="15.5703125" style="1" bestFit="1" customWidth="1"/>
    <col min="16" max="16" width="10.7109375" style="1" bestFit="1" customWidth="1"/>
    <col min="17" max="17" width="12.42578125" style="1" bestFit="1" customWidth="1"/>
    <col min="18" max="18" width="34.5703125" style="1" bestFit="1" customWidth="1"/>
    <col min="19" max="19" width="10.5703125" style="1" bestFit="1" customWidth="1"/>
    <col min="20" max="20" width="11.140625" style="1" bestFit="1" customWidth="1"/>
    <col min="21" max="21" width="20.28515625" style="1" bestFit="1" customWidth="1"/>
    <col min="22" max="22" width="13.85546875" style="1" bestFit="1" customWidth="1"/>
    <col min="23" max="23" width="24.42578125" style="1" bestFit="1" customWidth="1"/>
    <col min="24" max="24" width="11.140625" style="1" bestFit="1" customWidth="1"/>
    <col min="25" max="25" width="10.7109375" style="1" bestFit="1" customWidth="1"/>
    <col min="26" max="26" width="24.140625" style="1" bestFit="1" customWidth="1"/>
    <col min="27" max="28" width="11.42578125" style="1" bestFit="1" customWidth="1"/>
    <col min="29" max="16384" width="8.7109375" style="1"/>
  </cols>
  <sheetData>
    <row r="1" spans="1:28" s="6" customFormat="1" ht="38.2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7" t="s">
        <v>17</v>
      </c>
      <c r="S1" s="7" t="s">
        <v>18</v>
      </c>
      <c r="T1" s="5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7" t="s">
        <v>25</v>
      </c>
      <c r="AA1" s="5" t="s">
        <v>26</v>
      </c>
      <c r="AB1" s="5" t="s">
        <v>27</v>
      </c>
    </row>
    <row r="2" spans="1:28" hidden="1" x14ac:dyDescent="0.2">
      <c r="A2" s="2" t="s">
        <v>431</v>
      </c>
      <c r="B2" s="3">
        <v>44027</v>
      </c>
      <c r="C2" s="2" t="s">
        <v>599</v>
      </c>
      <c r="D2" s="2" t="s">
        <v>62</v>
      </c>
      <c r="E2" s="2" t="s">
        <v>217</v>
      </c>
      <c r="F2" s="2" t="s">
        <v>218</v>
      </c>
      <c r="G2" s="2" t="s">
        <v>600</v>
      </c>
      <c r="H2" s="2" t="s">
        <v>601</v>
      </c>
      <c r="I2" s="2" t="s">
        <v>31</v>
      </c>
      <c r="J2" s="2" t="s">
        <v>32</v>
      </c>
      <c r="K2" s="2" t="s">
        <v>240</v>
      </c>
      <c r="L2" s="2" t="s">
        <v>586</v>
      </c>
      <c r="M2" s="3">
        <v>44050</v>
      </c>
      <c r="N2" s="3">
        <v>44060</v>
      </c>
      <c r="O2" s="4">
        <v>509.70499999999998</v>
      </c>
      <c r="P2" s="2" t="s">
        <v>33</v>
      </c>
      <c r="Q2" s="2" t="s">
        <v>34</v>
      </c>
      <c r="R2" s="2" t="s">
        <v>35</v>
      </c>
      <c r="S2" s="2" t="s">
        <v>435</v>
      </c>
      <c r="T2" s="2" t="s">
        <v>36</v>
      </c>
      <c r="U2" s="2" t="s">
        <v>37</v>
      </c>
      <c r="V2" s="2" t="s">
        <v>43</v>
      </c>
      <c r="W2" s="2" t="s">
        <v>602</v>
      </c>
      <c r="X2" s="2" t="s">
        <v>412</v>
      </c>
      <c r="Y2" s="2" t="s">
        <v>436</v>
      </c>
      <c r="Z2" s="2" t="s">
        <v>412</v>
      </c>
      <c r="AA2" s="2" t="s">
        <v>39</v>
      </c>
      <c r="AB2" s="2" t="s">
        <v>414</v>
      </c>
    </row>
    <row r="3" spans="1:28" hidden="1" x14ac:dyDescent="0.2">
      <c r="A3" s="2" t="s">
        <v>431</v>
      </c>
      <c r="B3" s="3">
        <v>44027</v>
      </c>
      <c r="C3" s="2" t="s">
        <v>603</v>
      </c>
      <c r="D3" s="2" t="s">
        <v>62</v>
      </c>
      <c r="E3" s="2" t="s">
        <v>217</v>
      </c>
      <c r="F3" s="2" t="s">
        <v>218</v>
      </c>
      <c r="G3" s="2" t="s">
        <v>604</v>
      </c>
      <c r="H3" s="2" t="s">
        <v>605</v>
      </c>
      <c r="I3" s="2" t="s">
        <v>31</v>
      </c>
      <c r="J3" s="2" t="s">
        <v>32</v>
      </c>
      <c r="K3" s="2" t="s">
        <v>240</v>
      </c>
      <c r="L3" s="2" t="s">
        <v>586</v>
      </c>
      <c r="M3" s="3">
        <v>44050</v>
      </c>
      <c r="N3" s="3">
        <v>44060</v>
      </c>
      <c r="O3" s="4">
        <v>484.45100000000002</v>
      </c>
      <c r="P3" s="2" t="s">
        <v>33</v>
      </c>
      <c r="Q3" s="2" t="s">
        <v>34</v>
      </c>
      <c r="R3" s="2" t="s">
        <v>35</v>
      </c>
      <c r="S3" s="2" t="s">
        <v>428</v>
      </c>
      <c r="T3" s="2" t="s">
        <v>36</v>
      </c>
      <c r="U3" s="2" t="s">
        <v>37</v>
      </c>
      <c r="V3" s="2" t="s">
        <v>38</v>
      </c>
      <c r="W3" s="2" t="s">
        <v>606</v>
      </c>
      <c r="X3" s="2" t="s">
        <v>412</v>
      </c>
      <c r="Y3" s="2" t="s">
        <v>429</v>
      </c>
      <c r="Z3" s="2" t="s">
        <v>412</v>
      </c>
      <c r="AA3" s="2" t="s">
        <v>39</v>
      </c>
      <c r="AB3" s="2" t="s">
        <v>414</v>
      </c>
    </row>
    <row r="4" spans="1:28" hidden="1" x14ac:dyDescent="0.2">
      <c r="A4" s="2" t="s">
        <v>431</v>
      </c>
      <c r="B4" s="3">
        <v>44043</v>
      </c>
      <c r="C4" s="2" t="s">
        <v>637</v>
      </c>
      <c r="D4" s="2" t="s">
        <v>54</v>
      </c>
      <c r="E4" s="2" t="s">
        <v>55</v>
      </c>
      <c r="F4" s="2" t="s">
        <v>56</v>
      </c>
      <c r="G4" s="2" t="s">
        <v>638</v>
      </c>
      <c r="H4" s="2" t="s">
        <v>639</v>
      </c>
      <c r="I4" s="2" t="s">
        <v>57</v>
      </c>
      <c r="J4" s="2" t="s">
        <v>58</v>
      </c>
      <c r="K4" s="2" t="s">
        <v>293</v>
      </c>
      <c r="L4" s="2" t="s">
        <v>512</v>
      </c>
      <c r="M4" s="3">
        <v>44045</v>
      </c>
      <c r="N4" s="3">
        <v>44055</v>
      </c>
      <c r="O4" s="4">
        <v>93.787999999999997</v>
      </c>
      <c r="P4" s="2" t="s">
        <v>33</v>
      </c>
      <c r="Q4" s="2" t="s">
        <v>59</v>
      </c>
      <c r="R4" s="2" t="s">
        <v>60</v>
      </c>
      <c r="S4" s="2" t="s">
        <v>419</v>
      </c>
      <c r="T4" s="2" t="s">
        <v>61</v>
      </c>
      <c r="U4" s="2" t="s">
        <v>37</v>
      </c>
      <c r="V4" s="2" t="s">
        <v>52</v>
      </c>
      <c r="W4" s="2" t="s">
        <v>640</v>
      </c>
      <c r="X4" s="2" t="s">
        <v>412</v>
      </c>
      <c r="Y4" s="2" t="s">
        <v>433</v>
      </c>
      <c r="Z4" s="2" t="s">
        <v>615</v>
      </c>
      <c r="AA4" s="2" t="s">
        <v>39</v>
      </c>
      <c r="AB4" s="2" t="s">
        <v>414</v>
      </c>
    </row>
    <row r="5" spans="1:28" hidden="1" x14ac:dyDescent="0.2">
      <c r="A5" s="2" t="s">
        <v>431</v>
      </c>
      <c r="B5" s="3">
        <v>44043</v>
      </c>
      <c r="C5" s="2" t="s">
        <v>637</v>
      </c>
      <c r="D5" s="2" t="s">
        <v>62</v>
      </c>
      <c r="E5" s="2" t="s">
        <v>641</v>
      </c>
      <c r="F5" s="2" t="s">
        <v>642</v>
      </c>
      <c r="G5" s="2" t="s">
        <v>643</v>
      </c>
      <c r="H5" s="2" t="s">
        <v>644</v>
      </c>
      <c r="I5" s="2" t="s">
        <v>63</v>
      </c>
      <c r="J5" s="2" t="s">
        <v>64</v>
      </c>
      <c r="K5" s="2" t="s">
        <v>293</v>
      </c>
      <c r="L5" s="2" t="s">
        <v>512</v>
      </c>
      <c r="M5" s="3">
        <v>44045</v>
      </c>
      <c r="N5" s="3">
        <v>44055</v>
      </c>
      <c r="O5" s="4">
        <v>193.55</v>
      </c>
      <c r="P5" s="2" t="s">
        <v>33</v>
      </c>
      <c r="Q5" s="2" t="s">
        <v>59</v>
      </c>
      <c r="R5" s="2" t="s">
        <v>60</v>
      </c>
      <c r="S5" s="2" t="s">
        <v>420</v>
      </c>
      <c r="T5" s="2" t="s">
        <v>36</v>
      </c>
      <c r="U5" s="2" t="s">
        <v>37</v>
      </c>
      <c r="V5" s="2" t="s">
        <v>52</v>
      </c>
      <c r="W5" s="2" t="s">
        <v>645</v>
      </c>
      <c r="X5" s="2" t="s">
        <v>412</v>
      </c>
      <c r="Y5" s="2" t="s">
        <v>421</v>
      </c>
      <c r="Z5" s="2" t="s">
        <v>615</v>
      </c>
      <c r="AA5" s="2" t="s">
        <v>39</v>
      </c>
      <c r="AB5" s="2" t="s">
        <v>414</v>
      </c>
    </row>
    <row r="6" spans="1:28" hidden="1" x14ac:dyDescent="0.2">
      <c r="A6" s="2" t="s">
        <v>431</v>
      </c>
      <c r="B6" s="3">
        <v>44043</v>
      </c>
      <c r="C6" s="2" t="s">
        <v>637</v>
      </c>
      <c r="D6" s="2" t="s">
        <v>54</v>
      </c>
      <c r="E6" s="2" t="s">
        <v>369</v>
      </c>
      <c r="F6" s="2" t="s">
        <v>370</v>
      </c>
      <c r="G6" s="2" t="s">
        <v>646</v>
      </c>
      <c r="H6" s="2" t="s">
        <v>647</v>
      </c>
      <c r="I6" s="2" t="s">
        <v>63</v>
      </c>
      <c r="J6" s="2" t="s">
        <v>64</v>
      </c>
      <c r="K6" s="2" t="s">
        <v>293</v>
      </c>
      <c r="L6" s="2" t="s">
        <v>512</v>
      </c>
      <c r="M6" s="3">
        <v>44045</v>
      </c>
      <c r="N6" s="3">
        <v>44055</v>
      </c>
      <c r="O6" s="4">
        <v>290.15199999999999</v>
      </c>
      <c r="P6" s="2" t="s">
        <v>33</v>
      </c>
      <c r="Q6" s="2" t="s">
        <v>59</v>
      </c>
      <c r="R6" s="2" t="s">
        <v>60</v>
      </c>
      <c r="S6" s="2" t="s">
        <v>425</v>
      </c>
      <c r="T6" s="2" t="s">
        <v>36</v>
      </c>
      <c r="U6" s="2" t="s">
        <v>37</v>
      </c>
      <c r="V6" s="2" t="s">
        <v>52</v>
      </c>
      <c r="W6" s="2" t="s">
        <v>648</v>
      </c>
      <c r="X6" s="2" t="s">
        <v>412</v>
      </c>
      <c r="Y6" s="2" t="s">
        <v>426</v>
      </c>
      <c r="Z6" s="2" t="s">
        <v>649</v>
      </c>
      <c r="AA6" s="2" t="s">
        <v>39</v>
      </c>
      <c r="AB6" s="2" t="s">
        <v>414</v>
      </c>
    </row>
    <row r="7" spans="1:28" hidden="1" x14ac:dyDescent="0.2">
      <c r="A7" s="2" t="s">
        <v>431</v>
      </c>
      <c r="B7" s="3">
        <v>44043</v>
      </c>
      <c r="C7" s="2" t="s">
        <v>637</v>
      </c>
      <c r="D7" s="2" t="s">
        <v>54</v>
      </c>
      <c r="E7" s="2" t="s">
        <v>369</v>
      </c>
      <c r="F7" s="2" t="s">
        <v>370</v>
      </c>
      <c r="G7" s="2" t="s">
        <v>650</v>
      </c>
      <c r="H7" s="2" t="s">
        <v>651</v>
      </c>
      <c r="I7" s="2" t="s">
        <v>63</v>
      </c>
      <c r="J7" s="2" t="s">
        <v>64</v>
      </c>
      <c r="K7" s="2" t="s">
        <v>293</v>
      </c>
      <c r="L7" s="2" t="s">
        <v>512</v>
      </c>
      <c r="M7" s="3">
        <v>44045</v>
      </c>
      <c r="N7" s="3">
        <v>44055</v>
      </c>
      <c r="O7" s="4">
        <v>290.20699999999999</v>
      </c>
      <c r="P7" s="2" t="s">
        <v>33</v>
      </c>
      <c r="Q7" s="2" t="s">
        <v>59</v>
      </c>
      <c r="R7" s="2" t="s">
        <v>60</v>
      </c>
      <c r="S7" s="2" t="s">
        <v>425</v>
      </c>
      <c r="T7" s="2" t="s">
        <v>36</v>
      </c>
      <c r="U7" s="2" t="s">
        <v>37</v>
      </c>
      <c r="V7" s="2" t="s">
        <v>52</v>
      </c>
      <c r="W7" s="2" t="s">
        <v>652</v>
      </c>
      <c r="X7" s="2" t="s">
        <v>412</v>
      </c>
      <c r="Y7" s="2" t="s">
        <v>426</v>
      </c>
      <c r="Z7" s="2" t="s">
        <v>649</v>
      </c>
      <c r="AA7" s="2" t="s">
        <v>39</v>
      </c>
      <c r="AB7" s="2" t="s">
        <v>414</v>
      </c>
    </row>
    <row r="8" spans="1:28" hidden="1" x14ac:dyDescent="0.2">
      <c r="A8" s="2" t="s">
        <v>427</v>
      </c>
      <c r="B8" s="3">
        <v>44017</v>
      </c>
      <c r="C8" s="2" t="s">
        <v>705</v>
      </c>
      <c r="D8" s="2" t="s">
        <v>44</v>
      </c>
      <c r="E8" s="2" t="s">
        <v>45</v>
      </c>
      <c r="F8" s="2" t="s">
        <v>46</v>
      </c>
      <c r="G8" s="2" t="s">
        <v>706</v>
      </c>
      <c r="H8" s="2" t="s">
        <v>707</v>
      </c>
      <c r="I8" s="2" t="s">
        <v>708</v>
      </c>
      <c r="J8" s="2" t="s">
        <v>47</v>
      </c>
      <c r="K8" s="2" t="s">
        <v>257</v>
      </c>
      <c r="L8" s="2" t="s">
        <v>622</v>
      </c>
      <c r="M8" s="3">
        <v>44045</v>
      </c>
      <c r="N8" s="3">
        <v>44070</v>
      </c>
      <c r="O8" s="4">
        <v>30.38</v>
      </c>
      <c r="P8" s="2" t="s">
        <v>48</v>
      </c>
      <c r="Q8" s="2" t="s">
        <v>49</v>
      </c>
      <c r="R8" s="2" t="s">
        <v>50</v>
      </c>
      <c r="S8" s="2" t="s">
        <v>446</v>
      </c>
      <c r="T8" s="2" t="s">
        <v>51</v>
      </c>
      <c r="U8" s="2" t="s">
        <v>37</v>
      </c>
      <c r="V8" s="2" t="s">
        <v>43</v>
      </c>
      <c r="W8" s="2" t="s">
        <v>709</v>
      </c>
      <c r="X8" s="2" t="s">
        <v>412</v>
      </c>
      <c r="Y8" s="2" t="s">
        <v>446</v>
      </c>
      <c r="Z8" s="2" t="s">
        <v>53</v>
      </c>
      <c r="AA8" s="2" t="s">
        <v>39</v>
      </c>
      <c r="AB8" s="2" t="s">
        <v>414</v>
      </c>
    </row>
    <row r="9" spans="1:28" hidden="1" x14ac:dyDescent="0.2">
      <c r="A9" s="2" t="s">
        <v>427</v>
      </c>
      <c r="B9" s="3">
        <v>44017</v>
      </c>
      <c r="C9" s="2" t="s">
        <v>705</v>
      </c>
      <c r="D9" s="2" t="s">
        <v>44</v>
      </c>
      <c r="E9" s="2" t="s">
        <v>45</v>
      </c>
      <c r="F9" s="2" t="s">
        <v>46</v>
      </c>
      <c r="G9" s="2" t="s">
        <v>710</v>
      </c>
      <c r="H9" s="2" t="s">
        <v>711</v>
      </c>
      <c r="I9" s="2" t="s">
        <v>712</v>
      </c>
      <c r="J9" s="2" t="s">
        <v>47</v>
      </c>
      <c r="K9" s="2" t="s">
        <v>257</v>
      </c>
      <c r="L9" s="2" t="s">
        <v>622</v>
      </c>
      <c r="M9" s="3">
        <v>44045</v>
      </c>
      <c r="N9" s="3">
        <v>44070</v>
      </c>
      <c r="O9" s="4">
        <v>30.36</v>
      </c>
      <c r="P9" s="2" t="s">
        <v>48</v>
      </c>
      <c r="Q9" s="2" t="s">
        <v>49</v>
      </c>
      <c r="R9" s="2" t="s">
        <v>50</v>
      </c>
      <c r="S9" s="2" t="s">
        <v>446</v>
      </c>
      <c r="T9" s="2" t="s">
        <v>51</v>
      </c>
      <c r="U9" s="2" t="s">
        <v>37</v>
      </c>
      <c r="V9" s="2" t="s">
        <v>43</v>
      </c>
      <c r="W9" s="2" t="s">
        <v>709</v>
      </c>
      <c r="X9" s="2" t="s">
        <v>412</v>
      </c>
      <c r="Y9" s="2" t="s">
        <v>446</v>
      </c>
      <c r="Z9" s="2" t="s">
        <v>53</v>
      </c>
      <c r="AA9" s="2" t="s">
        <v>39</v>
      </c>
      <c r="AB9" s="2" t="s">
        <v>414</v>
      </c>
    </row>
    <row r="10" spans="1:28" hidden="1" x14ac:dyDescent="0.2">
      <c r="A10" s="2" t="s">
        <v>431</v>
      </c>
      <c r="B10" s="3">
        <v>44037</v>
      </c>
      <c r="C10" s="2" t="s">
        <v>723</v>
      </c>
      <c r="D10" s="2" t="s">
        <v>365</v>
      </c>
      <c r="E10" s="2" t="s">
        <v>620</v>
      </c>
      <c r="F10" s="2" t="s">
        <v>621</v>
      </c>
      <c r="G10" s="2" t="s">
        <v>724</v>
      </c>
      <c r="H10" s="2" t="s">
        <v>725</v>
      </c>
      <c r="I10" s="2" t="s">
        <v>31</v>
      </c>
      <c r="J10" s="2" t="s">
        <v>32</v>
      </c>
      <c r="K10" s="2" t="s">
        <v>260</v>
      </c>
      <c r="L10" s="2" t="s">
        <v>518</v>
      </c>
      <c r="M10" s="3">
        <v>44049</v>
      </c>
      <c r="N10" s="3">
        <v>44058</v>
      </c>
      <c r="O10" s="4">
        <v>288.238</v>
      </c>
      <c r="P10" s="2" t="s">
        <v>33</v>
      </c>
      <c r="Q10" s="2" t="s">
        <v>159</v>
      </c>
      <c r="R10" s="2" t="s">
        <v>160</v>
      </c>
      <c r="S10" s="2" t="s">
        <v>456</v>
      </c>
      <c r="T10" s="2" t="s">
        <v>362</v>
      </c>
      <c r="U10" s="2" t="s">
        <v>37</v>
      </c>
      <c r="V10" s="2" t="s">
        <v>155</v>
      </c>
      <c r="W10" s="2" t="s">
        <v>726</v>
      </c>
      <c r="X10" s="2" t="s">
        <v>412</v>
      </c>
      <c r="Y10" s="2" t="s">
        <v>480</v>
      </c>
      <c r="Z10" s="2" t="s">
        <v>412</v>
      </c>
      <c r="AA10" s="2" t="s">
        <v>39</v>
      </c>
      <c r="AB10" s="2" t="s">
        <v>414</v>
      </c>
    </row>
    <row r="11" spans="1:28" hidden="1" x14ac:dyDescent="0.2">
      <c r="A11" s="2" t="s">
        <v>427</v>
      </c>
      <c r="B11" s="3">
        <v>44042</v>
      </c>
      <c r="C11" s="2" t="s">
        <v>630</v>
      </c>
      <c r="D11" s="2" t="s">
        <v>74</v>
      </c>
      <c r="E11" s="2" t="s">
        <v>75</v>
      </c>
      <c r="F11" s="2" t="s">
        <v>76</v>
      </c>
      <c r="G11" s="2" t="s">
        <v>631</v>
      </c>
      <c r="H11" s="2" t="s">
        <v>632</v>
      </c>
      <c r="I11" s="2" t="s">
        <v>77</v>
      </c>
      <c r="J11" s="2" t="s">
        <v>32</v>
      </c>
      <c r="K11" s="2" t="s">
        <v>761</v>
      </c>
      <c r="L11" s="2" t="s">
        <v>762</v>
      </c>
      <c r="M11" s="3">
        <v>44045</v>
      </c>
      <c r="N11" s="3">
        <v>44085</v>
      </c>
      <c r="O11" s="4">
        <v>299.22000000000003</v>
      </c>
      <c r="P11" s="2" t="s">
        <v>48</v>
      </c>
      <c r="Q11" s="2" t="s">
        <v>78</v>
      </c>
      <c r="R11" s="2" t="s">
        <v>79</v>
      </c>
      <c r="S11" s="2" t="s">
        <v>425</v>
      </c>
      <c r="T11" s="2" t="s">
        <v>36</v>
      </c>
      <c r="U11" s="2" t="s">
        <v>37</v>
      </c>
      <c r="V11" s="2" t="s">
        <v>73</v>
      </c>
      <c r="W11" s="2" t="s">
        <v>633</v>
      </c>
      <c r="X11" s="2" t="s">
        <v>412</v>
      </c>
      <c r="Y11" s="2" t="s">
        <v>426</v>
      </c>
      <c r="Z11" s="2" t="s">
        <v>412</v>
      </c>
      <c r="AA11" s="2" t="s">
        <v>39</v>
      </c>
      <c r="AB11" s="2" t="s">
        <v>414</v>
      </c>
    </row>
    <row r="12" spans="1:28" hidden="1" x14ac:dyDescent="0.2">
      <c r="A12" s="2" t="s">
        <v>427</v>
      </c>
      <c r="B12" s="3">
        <v>44042</v>
      </c>
      <c r="C12" s="2" t="s">
        <v>630</v>
      </c>
      <c r="D12" s="2" t="s">
        <v>74</v>
      </c>
      <c r="E12" s="2" t="s">
        <v>75</v>
      </c>
      <c r="F12" s="2" t="s">
        <v>76</v>
      </c>
      <c r="G12" s="2" t="s">
        <v>634</v>
      </c>
      <c r="H12" s="2" t="s">
        <v>635</v>
      </c>
      <c r="I12" s="2" t="s">
        <v>77</v>
      </c>
      <c r="J12" s="2" t="s">
        <v>32</v>
      </c>
      <c r="K12" s="2" t="s">
        <v>761</v>
      </c>
      <c r="L12" s="2" t="s">
        <v>762</v>
      </c>
      <c r="M12" s="3">
        <v>44045</v>
      </c>
      <c r="N12" s="3">
        <v>44085</v>
      </c>
      <c r="O12" s="4">
        <v>223.82599999999999</v>
      </c>
      <c r="P12" s="2" t="s">
        <v>48</v>
      </c>
      <c r="Q12" s="2" t="s">
        <v>78</v>
      </c>
      <c r="R12" s="2" t="s">
        <v>79</v>
      </c>
      <c r="S12" s="2" t="s">
        <v>422</v>
      </c>
      <c r="T12" s="2" t="s">
        <v>36</v>
      </c>
      <c r="U12" s="2" t="s">
        <v>37</v>
      </c>
      <c r="V12" s="2" t="s">
        <v>73</v>
      </c>
      <c r="W12" s="2" t="s">
        <v>636</v>
      </c>
      <c r="X12" s="2" t="s">
        <v>412</v>
      </c>
      <c r="Y12" s="2" t="s">
        <v>423</v>
      </c>
      <c r="Z12" s="2" t="s">
        <v>412</v>
      </c>
      <c r="AA12" s="2" t="s">
        <v>39</v>
      </c>
      <c r="AB12" s="2" t="s">
        <v>414</v>
      </c>
    </row>
    <row r="13" spans="1:28" hidden="1" x14ac:dyDescent="0.2">
      <c r="A13" s="2" t="s">
        <v>427</v>
      </c>
      <c r="B13" s="3">
        <v>44042</v>
      </c>
      <c r="C13" s="2" t="s">
        <v>544</v>
      </c>
      <c r="D13" s="2" t="s">
        <v>91</v>
      </c>
      <c r="E13" s="2" t="s">
        <v>347</v>
      </c>
      <c r="F13" s="2" t="s">
        <v>348</v>
      </c>
      <c r="G13" s="2" t="s">
        <v>545</v>
      </c>
      <c r="H13" s="2" t="s">
        <v>546</v>
      </c>
      <c r="I13" s="2" t="s">
        <v>349</v>
      </c>
      <c r="J13" s="2" t="s">
        <v>58</v>
      </c>
      <c r="K13" s="2" t="s">
        <v>245</v>
      </c>
      <c r="L13" s="2" t="s">
        <v>547</v>
      </c>
      <c r="M13" s="3">
        <v>44045</v>
      </c>
      <c r="N13" s="3">
        <v>44057</v>
      </c>
      <c r="O13" s="4">
        <v>103.4</v>
      </c>
      <c r="P13" s="2" t="s">
        <v>48</v>
      </c>
      <c r="Q13" s="2" t="s">
        <v>100</v>
      </c>
      <c r="R13" s="2" t="s">
        <v>101</v>
      </c>
      <c r="S13" s="2" t="s">
        <v>419</v>
      </c>
      <c r="T13" s="2" t="s">
        <v>72</v>
      </c>
      <c r="U13" s="2" t="s">
        <v>37</v>
      </c>
      <c r="V13" s="2" t="s">
        <v>155</v>
      </c>
      <c r="W13" s="2" t="s">
        <v>548</v>
      </c>
      <c r="X13" s="2" t="s">
        <v>412</v>
      </c>
      <c r="Y13" s="2" t="s">
        <v>454</v>
      </c>
      <c r="Z13" s="2" t="s">
        <v>549</v>
      </c>
      <c r="AA13" s="2" t="s">
        <v>39</v>
      </c>
      <c r="AB13" s="2" t="s">
        <v>414</v>
      </c>
    </row>
    <row r="14" spans="1:28" hidden="1" x14ac:dyDescent="0.2">
      <c r="A14" s="2" t="s">
        <v>427</v>
      </c>
      <c r="B14" s="3">
        <v>44027</v>
      </c>
      <c r="C14" s="2" t="s">
        <v>544</v>
      </c>
      <c r="D14" s="2" t="s">
        <v>91</v>
      </c>
      <c r="E14" s="2" t="s">
        <v>350</v>
      </c>
      <c r="F14" s="2" t="s">
        <v>351</v>
      </c>
      <c r="G14" s="2" t="s">
        <v>550</v>
      </c>
      <c r="H14" s="2" t="s">
        <v>551</v>
      </c>
      <c r="I14" s="2" t="s">
        <v>77</v>
      </c>
      <c r="J14" s="2" t="s">
        <v>32</v>
      </c>
      <c r="K14" s="2" t="s">
        <v>245</v>
      </c>
      <c r="L14" s="2" t="s">
        <v>547</v>
      </c>
      <c r="M14" s="3">
        <v>44045</v>
      </c>
      <c r="N14" s="3">
        <v>44057</v>
      </c>
      <c r="O14" s="4">
        <v>99.679000000000002</v>
      </c>
      <c r="P14" s="2" t="s">
        <v>48</v>
      </c>
      <c r="Q14" s="2" t="s">
        <v>100</v>
      </c>
      <c r="R14" s="2" t="s">
        <v>101</v>
      </c>
      <c r="S14" s="2" t="s">
        <v>419</v>
      </c>
      <c r="T14" s="2" t="s">
        <v>36</v>
      </c>
      <c r="U14" s="2" t="s">
        <v>37</v>
      </c>
      <c r="V14" s="2" t="s">
        <v>155</v>
      </c>
      <c r="W14" s="2" t="s">
        <v>552</v>
      </c>
      <c r="X14" s="2" t="s">
        <v>412</v>
      </c>
      <c r="Y14" s="2" t="s">
        <v>437</v>
      </c>
      <c r="Z14" s="2" t="s">
        <v>412</v>
      </c>
      <c r="AA14" s="2" t="s">
        <v>39</v>
      </c>
      <c r="AB14" s="2" t="s">
        <v>414</v>
      </c>
    </row>
    <row r="15" spans="1:28" hidden="1" x14ac:dyDescent="0.2">
      <c r="A15" s="2" t="s">
        <v>427</v>
      </c>
      <c r="B15" s="3">
        <v>44032</v>
      </c>
      <c r="C15" s="2" t="s">
        <v>544</v>
      </c>
      <c r="D15" s="2" t="s">
        <v>91</v>
      </c>
      <c r="E15" s="2" t="s">
        <v>553</v>
      </c>
      <c r="F15" s="2" t="s">
        <v>554</v>
      </c>
      <c r="G15" s="2" t="s">
        <v>555</v>
      </c>
      <c r="H15" s="2" t="s">
        <v>556</v>
      </c>
      <c r="I15" s="2" t="s">
        <v>77</v>
      </c>
      <c r="J15" s="2" t="s">
        <v>32</v>
      </c>
      <c r="K15" s="2" t="s">
        <v>245</v>
      </c>
      <c r="L15" s="2" t="s">
        <v>547</v>
      </c>
      <c r="M15" s="3">
        <v>44045</v>
      </c>
      <c r="N15" s="3">
        <v>44057</v>
      </c>
      <c r="O15" s="4">
        <v>299.24599999999998</v>
      </c>
      <c r="P15" s="2" t="s">
        <v>48</v>
      </c>
      <c r="Q15" s="2" t="s">
        <v>100</v>
      </c>
      <c r="R15" s="2" t="s">
        <v>101</v>
      </c>
      <c r="S15" s="2" t="s">
        <v>425</v>
      </c>
      <c r="T15" s="2" t="s">
        <v>36</v>
      </c>
      <c r="U15" s="2" t="s">
        <v>37</v>
      </c>
      <c r="V15" s="2" t="s">
        <v>155</v>
      </c>
      <c r="W15" s="2" t="s">
        <v>557</v>
      </c>
      <c r="X15" s="2" t="s">
        <v>412</v>
      </c>
      <c r="Y15" s="2" t="s">
        <v>426</v>
      </c>
      <c r="Z15" s="2" t="s">
        <v>412</v>
      </c>
      <c r="AA15" s="2" t="s">
        <v>39</v>
      </c>
      <c r="AB15" s="2" t="s">
        <v>414</v>
      </c>
    </row>
    <row r="16" spans="1:28" hidden="1" x14ac:dyDescent="0.2">
      <c r="A16" s="2" t="s">
        <v>427</v>
      </c>
      <c r="B16" s="3">
        <v>44032</v>
      </c>
      <c r="C16" s="2" t="s">
        <v>544</v>
      </c>
      <c r="D16" s="2" t="s">
        <v>102</v>
      </c>
      <c r="E16" s="2" t="s">
        <v>398</v>
      </c>
      <c r="F16" s="2" t="s">
        <v>399</v>
      </c>
      <c r="G16" s="2" t="s">
        <v>558</v>
      </c>
      <c r="H16" s="2" t="s">
        <v>559</v>
      </c>
      <c r="I16" s="2" t="s">
        <v>400</v>
      </c>
      <c r="J16" s="2" t="s">
        <v>58</v>
      </c>
      <c r="K16" s="2" t="s">
        <v>245</v>
      </c>
      <c r="L16" s="2" t="s">
        <v>547</v>
      </c>
      <c r="M16" s="3">
        <v>44045</v>
      </c>
      <c r="N16" s="3">
        <v>44065</v>
      </c>
      <c r="O16" s="4">
        <v>76.841999999999999</v>
      </c>
      <c r="P16" s="2" t="s">
        <v>48</v>
      </c>
      <c r="Q16" s="2" t="s">
        <v>401</v>
      </c>
      <c r="R16" s="2" t="s">
        <v>402</v>
      </c>
      <c r="S16" s="2" t="s">
        <v>419</v>
      </c>
      <c r="T16" s="2" t="s">
        <v>140</v>
      </c>
      <c r="U16" s="2" t="s">
        <v>37</v>
      </c>
      <c r="V16" s="2" t="s">
        <v>155</v>
      </c>
      <c r="W16" s="2" t="s">
        <v>560</v>
      </c>
      <c r="X16" s="2" t="s">
        <v>412</v>
      </c>
      <c r="Y16" s="2" t="s">
        <v>433</v>
      </c>
      <c r="Z16" s="2" t="s">
        <v>561</v>
      </c>
      <c r="AA16" s="2" t="s">
        <v>39</v>
      </c>
      <c r="AB16" s="2" t="s">
        <v>414</v>
      </c>
    </row>
    <row r="17" spans="1:28" hidden="1" x14ac:dyDescent="0.2">
      <c r="A17" s="2" t="s">
        <v>427</v>
      </c>
      <c r="B17" s="3">
        <v>44017</v>
      </c>
      <c r="C17" s="2" t="s">
        <v>544</v>
      </c>
      <c r="D17" s="2" t="s">
        <v>44</v>
      </c>
      <c r="E17" s="2" t="s">
        <v>45</v>
      </c>
      <c r="F17" s="2" t="s">
        <v>299</v>
      </c>
      <c r="G17" s="2" t="s">
        <v>562</v>
      </c>
      <c r="H17" s="2" t="s">
        <v>563</v>
      </c>
      <c r="I17" s="2" t="s">
        <v>300</v>
      </c>
      <c r="J17" s="2" t="s">
        <v>58</v>
      </c>
      <c r="K17" s="2" t="s">
        <v>245</v>
      </c>
      <c r="L17" s="2" t="s">
        <v>547</v>
      </c>
      <c r="M17" s="3">
        <v>44045</v>
      </c>
      <c r="N17" s="3">
        <v>44068</v>
      </c>
      <c r="O17" s="4">
        <v>20.347999999999999</v>
      </c>
      <c r="P17" s="2" t="s">
        <v>48</v>
      </c>
      <c r="Q17" s="2" t="s">
        <v>85</v>
      </c>
      <c r="R17" s="2" t="s">
        <v>301</v>
      </c>
      <c r="S17" s="2" t="s">
        <v>450</v>
      </c>
      <c r="T17" s="2" t="s">
        <v>42</v>
      </c>
      <c r="U17" s="2" t="s">
        <v>37</v>
      </c>
      <c r="V17" s="2" t="s">
        <v>155</v>
      </c>
      <c r="W17" s="2" t="s">
        <v>564</v>
      </c>
      <c r="X17" s="2" t="s">
        <v>412</v>
      </c>
      <c r="Y17" s="2" t="s">
        <v>420</v>
      </c>
      <c r="Z17" s="2" t="s">
        <v>53</v>
      </c>
      <c r="AA17" s="2" t="s">
        <v>39</v>
      </c>
      <c r="AB17" s="2" t="s">
        <v>414</v>
      </c>
    </row>
    <row r="18" spans="1:28" hidden="1" x14ac:dyDescent="0.2">
      <c r="A18" s="2" t="s">
        <v>427</v>
      </c>
      <c r="B18" s="3">
        <v>44017</v>
      </c>
      <c r="C18" s="2" t="s">
        <v>544</v>
      </c>
      <c r="D18" s="2" t="s">
        <v>44</v>
      </c>
      <c r="E18" s="2" t="s">
        <v>45</v>
      </c>
      <c r="F18" s="2" t="s">
        <v>299</v>
      </c>
      <c r="G18" s="2" t="s">
        <v>565</v>
      </c>
      <c r="H18" s="2" t="s">
        <v>566</v>
      </c>
      <c r="I18" s="2" t="s">
        <v>567</v>
      </c>
      <c r="J18" s="2" t="s">
        <v>58</v>
      </c>
      <c r="K18" s="2" t="s">
        <v>245</v>
      </c>
      <c r="L18" s="2" t="s">
        <v>547</v>
      </c>
      <c r="M18" s="3">
        <v>44045</v>
      </c>
      <c r="N18" s="3">
        <v>44068</v>
      </c>
      <c r="O18" s="4">
        <v>102.004</v>
      </c>
      <c r="P18" s="2" t="s">
        <v>48</v>
      </c>
      <c r="Q18" s="2" t="s">
        <v>85</v>
      </c>
      <c r="R18" s="2" t="s">
        <v>301</v>
      </c>
      <c r="S18" s="2" t="s">
        <v>415</v>
      </c>
      <c r="T18" s="2" t="s">
        <v>42</v>
      </c>
      <c r="U18" s="2" t="s">
        <v>37</v>
      </c>
      <c r="V18" s="2" t="s">
        <v>155</v>
      </c>
      <c r="W18" s="2" t="s">
        <v>568</v>
      </c>
      <c r="X18" s="2" t="s">
        <v>412</v>
      </c>
      <c r="Y18" s="2" t="s">
        <v>467</v>
      </c>
      <c r="Z18" s="2" t="s">
        <v>53</v>
      </c>
      <c r="AA18" s="2" t="s">
        <v>39</v>
      </c>
      <c r="AB18" s="2" t="s">
        <v>414</v>
      </c>
    </row>
    <row r="19" spans="1:28" hidden="1" x14ac:dyDescent="0.2">
      <c r="A19" s="2" t="s">
        <v>431</v>
      </c>
      <c r="B19" s="3">
        <v>44027</v>
      </c>
      <c r="C19" s="2" t="s">
        <v>661</v>
      </c>
      <c r="D19" s="2" t="s">
        <v>102</v>
      </c>
      <c r="E19" s="2" t="s">
        <v>662</v>
      </c>
      <c r="F19" s="2" t="s">
        <v>663</v>
      </c>
      <c r="G19" s="2" t="s">
        <v>664</v>
      </c>
      <c r="H19" s="2" t="s">
        <v>665</v>
      </c>
      <c r="I19" s="2" t="s">
        <v>112</v>
      </c>
      <c r="J19" s="2" t="s">
        <v>32</v>
      </c>
      <c r="K19" s="2" t="s">
        <v>526</v>
      </c>
      <c r="L19" s="2" t="s">
        <v>527</v>
      </c>
      <c r="M19" s="3">
        <v>44045</v>
      </c>
      <c r="N19" s="3">
        <v>44054</v>
      </c>
      <c r="O19" s="4">
        <v>400.12299999999999</v>
      </c>
      <c r="P19" s="2" t="s">
        <v>114</v>
      </c>
      <c r="Q19" s="2" t="s">
        <v>131</v>
      </c>
      <c r="R19" s="2" t="s">
        <v>132</v>
      </c>
      <c r="S19" s="2" t="s">
        <v>439</v>
      </c>
      <c r="T19" s="2" t="s">
        <v>117</v>
      </c>
      <c r="U19" s="2" t="s">
        <v>304</v>
      </c>
      <c r="V19" s="2" t="s">
        <v>118</v>
      </c>
      <c r="W19" s="2" t="s">
        <v>412</v>
      </c>
      <c r="X19" s="2" t="s">
        <v>412</v>
      </c>
      <c r="Y19" s="2" t="s">
        <v>766</v>
      </c>
      <c r="Z19" s="2" t="s">
        <v>412</v>
      </c>
      <c r="AA19" s="2" t="s">
        <v>39</v>
      </c>
      <c r="AB19" s="2" t="s">
        <v>441</v>
      </c>
    </row>
    <row r="20" spans="1:28" hidden="1" x14ac:dyDescent="0.2">
      <c r="A20" s="2" t="s">
        <v>431</v>
      </c>
      <c r="B20" s="3">
        <v>44042</v>
      </c>
      <c r="C20" s="2" t="s">
        <v>661</v>
      </c>
      <c r="D20" s="2" t="s">
        <v>28</v>
      </c>
      <c r="E20" s="2" t="s">
        <v>29</v>
      </c>
      <c r="F20" s="2" t="s">
        <v>30</v>
      </c>
      <c r="G20" s="2" t="s">
        <v>666</v>
      </c>
      <c r="H20" s="2" t="s">
        <v>667</v>
      </c>
      <c r="I20" s="2" t="s">
        <v>112</v>
      </c>
      <c r="J20" s="2" t="s">
        <v>32</v>
      </c>
      <c r="K20" s="2" t="s">
        <v>526</v>
      </c>
      <c r="L20" s="2" t="s">
        <v>527</v>
      </c>
      <c r="M20" s="3">
        <v>44045</v>
      </c>
      <c r="N20" s="3">
        <v>44077</v>
      </c>
      <c r="O20" s="4">
        <v>498.71499999999997</v>
      </c>
      <c r="P20" s="2" t="s">
        <v>114</v>
      </c>
      <c r="Q20" s="2" t="s">
        <v>115</v>
      </c>
      <c r="R20" s="2" t="s">
        <v>332</v>
      </c>
      <c r="S20" s="2" t="s">
        <v>439</v>
      </c>
      <c r="T20" s="2" t="s">
        <v>117</v>
      </c>
      <c r="U20" s="2" t="s">
        <v>304</v>
      </c>
      <c r="V20" s="2" t="s">
        <v>118</v>
      </c>
      <c r="W20" s="2" t="s">
        <v>412</v>
      </c>
      <c r="X20" s="2" t="s">
        <v>412</v>
      </c>
      <c r="Y20" s="2" t="s">
        <v>767</v>
      </c>
      <c r="Z20" s="2" t="s">
        <v>412</v>
      </c>
      <c r="AA20" s="2" t="s">
        <v>39</v>
      </c>
      <c r="AB20" s="2" t="s">
        <v>441</v>
      </c>
    </row>
    <row r="21" spans="1:28" hidden="1" x14ac:dyDescent="0.2">
      <c r="A21" s="2" t="s">
        <v>431</v>
      </c>
      <c r="B21" s="3">
        <v>44042</v>
      </c>
      <c r="C21" s="2" t="s">
        <v>661</v>
      </c>
      <c r="D21" s="2" t="s">
        <v>28</v>
      </c>
      <c r="E21" s="2" t="s">
        <v>29</v>
      </c>
      <c r="F21" s="2" t="s">
        <v>30</v>
      </c>
      <c r="G21" s="2" t="s">
        <v>668</v>
      </c>
      <c r="H21" s="2" t="s">
        <v>669</v>
      </c>
      <c r="I21" s="2" t="s">
        <v>112</v>
      </c>
      <c r="J21" s="2" t="s">
        <v>32</v>
      </c>
      <c r="K21" s="2" t="s">
        <v>526</v>
      </c>
      <c r="L21" s="2" t="s">
        <v>527</v>
      </c>
      <c r="M21" s="3">
        <v>44045</v>
      </c>
      <c r="N21" s="3">
        <v>44077</v>
      </c>
      <c r="O21" s="4">
        <v>501.11</v>
      </c>
      <c r="P21" s="2" t="s">
        <v>114</v>
      </c>
      <c r="Q21" s="2" t="s">
        <v>115</v>
      </c>
      <c r="R21" s="2" t="s">
        <v>332</v>
      </c>
      <c r="S21" s="2" t="s">
        <v>439</v>
      </c>
      <c r="T21" s="2" t="s">
        <v>117</v>
      </c>
      <c r="U21" s="2" t="s">
        <v>304</v>
      </c>
      <c r="V21" s="2" t="s">
        <v>118</v>
      </c>
      <c r="W21" s="2" t="s">
        <v>412</v>
      </c>
      <c r="X21" s="2" t="s">
        <v>412</v>
      </c>
      <c r="Y21" s="2" t="s">
        <v>767</v>
      </c>
      <c r="Z21" s="2" t="s">
        <v>412</v>
      </c>
      <c r="AA21" s="2" t="s">
        <v>39</v>
      </c>
      <c r="AB21" s="2" t="s">
        <v>441</v>
      </c>
    </row>
    <row r="22" spans="1:28" hidden="1" x14ac:dyDescent="0.2">
      <c r="A22" s="2" t="s">
        <v>431</v>
      </c>
      <c r="B22" s="3">
        <v>44042</v>
      </c>
      <c r="C22" s="2" t="s">
        <v>661</v>
      </c>
      <c r="D22" s="2" t="s">
        <v>28</v>
      </c>
      <c r="E22" s="2" t="s">
        <v>29</v>
      </c>
      <c r="F22" s="2" t="s">
        <v>30</v>
      </c>
      <c r="G22" s="2" t="s">
        <v>670</v>
      </c>
      <c r="H22" s="2" t="s">
        <v>671</v>
      </c>
      <c r="I22" s="2" t="s">
        <v>112</v>
      </c>
      <c r="J22" s="2" t="s">
        <v>32</v>
      </c>
      <c r="K22" s="2" t="s">
        <v>526</v>
      </c>
      <c r="L22" s="2" t="s">
        <v>527</v>
      </c>
      <c r="M22" s="3">
        <v>44045</v>
      </c>
      <c r="N22" s="3">
        <v>44077</v>
      </c>
      <c r="O22" s="4">
        <v>501.09300000000002</v>
      </c>
      <c r="P22" s="2" t="s">
        <v>114</v>
      </c>
      <c r="Q22" s="2" t="s">
        <v>115</v>
      </c>
      <c r="R22" s="2" t="s">
        <v>332</v>
      </c>
      <c r="S22" s="2" t="s">
        <v>439</v>
      </c>
      <c r="T22" s="2" t="s">
        <v>117</v>
      </c>
      <c r="U22" s="2" t="s">
        <v>304</v>
      </c>
      <c r="V22" s="2" t="s">
        <v>118</v>
      </c>
      <c r="W22" s="2" t="s">
        <v>412</v>
      </c>
      <c r="X22" s="2" t="s">
        <v>412</v>
      </c>
      <c r="Y22" s="2" t="s">
        <v>767</v>
      </c>
      <c r="Z22" s="2" t="s">
        <v>412</v>
      </c>
      <c r="AA22" s="2" t="s">
        <v>39</v>
      </c>
      <c r="AB22" s="2" t="s">
        <v>441</v>
      </c>
    </row>
    <row r="23" spans="1:28" hidden="1" x14ac:dyDescent="0.2">
      <c r="A23" s="2" t="s">
        <v>431</v>
      </c>
      <c r="B23" s="3">
        <v>44042</v>
      </c>
      <c r="C23" s="2" t="s">
        <v>661</v>
      </c>
      <c r="D23" s="2" t="s">
        <v>28</v>
      </c>
      <c r="E23" s="2" t="s">
        <v>29</v>
      </c>
      <c r="F23" s="2" t="s">
        <v>30</v>
      </c>
      <c r="G23" s="2" t="s">
        <v>672</v>
      </c>
      <c r="H23" s="2" t="s">
        <v>673</v>
      </c>
      <c r="I23" s="2" t="s">
        <v>112</v>
      </c>
      <c r="J23" s="2" t="s">
        <v>32</v>
      </c>
      <c r="K23" s="2" t="s">
        <v>526</v>
      </c>
      <c r="L23" s="2" t="s">
        <v>527</v>
      </c>
      <c r="M23" s="3">
        <v>44045</v>
      </c>
      <c r="N23" s="3">
        <v>44077</v>
      </c>
      <c r="O23" s="4">
        <v>501.178</v>
      </c>
      <c r="P23" s="2" t="s">
        <v>114</v>
      </c>
      <c r="Q23" s="2" t="s">
        <v>115</v>
      </c>
      <c r="R23" s="2" t="s">
        <v>332</v>
      </c>
      <c r="S23" s="2" t="s">
        <v>439</v>
      </c>
      <c r="T23" s="2" t="s">
        <v>117</v>
      </c>
      <c r="U23" s="2" t="s">
        <v>304</v>
      </c>
      <c r="V23" s="2" t="s">
        <v>118</v>
      </c>
      <c r="W23" s="2" t="s">
        <v>412</v>
      </c>
      <c r="X23" s="2" t="s">
        <v>412</v>
      </c>
      <c r="Y23" s="2" t="s">
        <v>767</v>
      </c>
      <c r="Z23" s="2" t="s">
        <v>412</v>
      </c>
      <c r="AA23" s="2" t="s">
        <v>39</v>
      </c>
      <c r="AB23" s="2" t="s">
        <v>441</v>
      </c>
    </row>
    <row r="24" spans="1:28" hidden="1" x14ac:dyDescent="0.2">
      <c r="A24" s="2" t="s">
        <v>431</v>
      </c>
      <c r="B24" s="3">
        <v>44017</v>
      </c>
      <c r="C24" s="2" t="s">
        <v>661</v>
      </c>
      <c r="D24" s="2" t="s">
        <v>91</v>
      </c>
      <c r="E24" s="2" t="s">
        <v>191</v>
      </c>
      <c r="F24" s="2" t="s">
        <v>192</v>
      </c>
      <c r="G24" s="2" t="s">
        <v>674</v>
      </c>
      <c r="H24" s="2" t="s">
        <v>675</v>
      </c>
      <c r="I24" s="2" t="s">
        <v>112</v>
      </c>
      <c r="J24" s="2" t="s">
        <v>32</v>
      </c>
      <c r="K24" s="2" t="s">
        <v>526</v>
      </c>
      <c r="L24" s="2" t="s">
        <v>527</v>
      </c>
      <c r="M24" s="3">
        <v>44045</v>
      </c>
      <c r="N24" s="3">
        <v>44058</v>
      </c>
      <c r="O24" s="4">
        <v>259.34500000000003</v>
      </c>
      <c r="P24" s="2" t="s">
        <v>114</v>
      </c>
      <c r="Q24" s="2" t="s">
        <v>182</v>
      </c>
      <c r="R24" s="2" t="s">
        <v>183</v>
      </c>
      <c r="S24" s="2" t="s">
        <v>439</v>
      </c>
      <c r="T24" s="2" t="s">
        <v>117</v>
      </c>
      <c r="U24" s="2" t="s">
        <v>304</v>
      </c>
      <c r="V24" s="2" t="s">
        <v>118</v>
      </c>
      <c r="W24" s="2" t="s">
        <v>412</v>
      </c>
      <c r="X24" s="2" t="s">
        <v>412</v>
      </c>
      <c r="Y24" s="2" t="s">
        <v>768</v>
      </c>
      <c r="Z24" s="2" t="s">
        <v>412</v>
      </c>
      <c r="AA24" s="2" t="s">
        <v>39</v>
      </c>
      <c r="AB24" s="2" t="s">
        <v>441</v>
      </c>
    </row>
    <row r="25" spans="1:28" hidden="1" x14ac:dyDescent="0.2">
      <c r="A25" s="2" t="s">
        <v>431</v>
      </c>
      <c r="B25" s="3">
        <v>44027</v>
      </c>
      <c r="C25" s="2" t="s">
        <v>661</v>
      </c>
      <c r="D25" s="2" t="s">
        <v>102</v>
      </c>
      <c r="E25" s="2" t="s">
        <v>322</v>
      </c>
      <c r="F25" s="2" t="s">
        <v>331</v>
      </c>
      <c r="G25" s="2" t="s">
        <v>677</v>
      </c>
      <c r="H25" s="2" t="s">
        <v>678</v>
      </c>
      <c r="I25" s="2" t="s">
        <v>112</v>
      </c>
      <c r="J25" s="2" t="s">
        <v>32</v>
      </c>
      <c r="K25" s="2" t="s">
        <v>526</v>
      </c>
      <c r="L25" s="2" t="s">
        <v>527</v>
      </c>
      <c r="M25" s="3">
        <v>44045</v>
      </c>
      <c r="N25" s="3">
        <v>44054</v>
      </c>
      <c r="O25" s="4">
        <v>50</v>
      </c>
      <c r="P25" s="2" t="s">
        <v>114</v>
      </c>
      <c r="Q25" s="2" t="s">
        <v>131</v>
      </c>
      <c r="R25" s="2" t="s">
        <v>132</v>
      </c>
      <c r="S25" s="2" t="s">
        <v>439</v>
      </c>
      <c r="T25" s="2" t="s">
        <v>117</v>
      </c>
      <c r="U25" s="2" t="s">
        <v>290</v>
      </c>
      <c r="V25" s="2" t="s">
        <v>118</v>
      </c>
      <c r="W25" s="2" t="s">
        <v>412</v>
      </c>
      <c r="X25" s="2" t="s">
        <v>412</v>
      </c>
      <c r="Y25" s="2" t="s">
        <v>467</v>
      </c>
      <c r="Z25" s="2" t="s">
        <v>412</v>
      </c>
      <c r="AA25" s="2" t="s">
        <v>39</v>
      </c>
      <c r="AB25" s="2" t="s">
        <v>441</v>
      </c>
    </row>
    <row r="26" spans="1:28" hidden="1" x14ac:dyDescent="0.2">
      <c r="A26" s="2" t="s">
        <v>431</v>
      </c>
      <c r="B26" s="3">
        <v>44042</v>
      </c>
      <c r="C26" s="2" t="s">
        <v>661</v>
      </c>
      <c r="D26" s="2" t="s">
        <v>28</v>
      </c>
      <c r="E26" s="2" t="s">
        <v>129</v>
      </c>
      <c r="F26" s="2" t="s">
        <v>130</v>
      </c>
      <c r="G26" s="2" t="s">
        <v>679</v>
      </c>
      <c r="H26" s="2" t="s">
        <v>680</v>
      </c>
      <c r="I26" s="2" t="s">
        <v>112</v>
      </c>
      <c r="J26" s="2" t="s">
        <v>32</v>
      </c>
      <c r="K26" s="2" t="s">
        <v>526</v>
      </c>
      <c r="L26" s="2" t="s">
        <v>527</v>
      </c>
      <c r="M26" s="3">
        <v>44045</v>
      </c>
      <c r="N26" s="3">
        <v>44057</v>
      </c>
      <c r="O26" s="4">
        <v>499.06299999999999</v>
      </c>
      <c r="P26" s="2" t="s">
        <v>114</v>
      </c>
      <c r="Q26" s="2" t="s">
        <v>85</v>
      </c>
      <c r="R26" s="2" t="s">
        <v>86</v>
      </c>
      <c r="S26" s="2" t="s">
        <v>439</v>
      </c>
      <c r="T26" s="2" t="s">
        <v>117</v>
      </c>
      <c r="U26" s="2" t="s">
        <v>304</v>
      </c>
      <c r="V26" s="2" t="s">
        <v>118</v>
      </c>
      <c r="W26" s="2" t="s">
        <v>412</v>
      </c>
      <c r="X26" s="2" t="s">
        <v>412</v>
      </c>
      <c r="Y26" s="2" t="s">
        <v>767</v>
      </c>
      <c r="Z26" s="2" t="s">
        <v>412</v>
      </c>
      <c r="AA26" s="2" t="s">
        <v>39</v>
      </c>
      <c r="AB26" s="2" t="s">
        <v>441</v>
      </c>
    </row>
    <row r="27" spans="1:28" hidden="1" x14ac:dyDescent="0.2">
      <c r="A27" s="2" t="s">
        <v>431</v>
      </c>
      <c r="B27" s="3">
        <v>44042</v>
      </c>
      <c r="C27" s="2" t="s">
        <v>661</v>
      </c>
      <c r="D27" s="2" t="s">
        <v>28</v>
      </c>
      <c r="E27" s="2" t="s">
        <v>129</v>
      </c>
      <c r="F27" s="2" t="s">
        <v>130</v>
      </c>
      <c r="G27" s="2" t="s">
        <v>681</v>
      </c>
      <c r="H27" s="2" t="s">
        <v>682</v>
      </c>
      <c r="I27" s="2" t="s">
        <v>112</v>
      </c>
      <c r="J27" s="2" t="s">
        <v>32</v>
      </c>
      <c r="K27" s="2" t="s">
        <v>526</v>
      </c>
      <c r="L27" s="2" t="s">
        <v>527</v>
      </c>
      <c r="M27" s="3">
        <v>44045</v>
      </c>
      <c r="N27" s="3">
        <v>44057</v>
      </c>
      <c r="O27" s="4">
        <v>498.70499999999998</v>
      </c>
      <c r="P27" s="2" t="s">
        <v>114</v>
      </c>
      <c r="Q27" s="2" t="s">
        <v>85</v>
      </c>
      <c r="R27" s="2" t="s">
        <v>86</v>
      </c>
      <c r="S27" s="2" t="s">
        <v>439</v>
      </c>
      <c r="T27" s="2" t="s">
        <v>117</v>
      </c>
      <c r="U27" s="2" t="s">
        <v>304</v>
      </c>
      <c r="V27" s="2" t="s">
        <v>118</v>
      </c>
      <c r="W27" s="2" t="s">
        <v>412</v>
      </c>
      <c r="X27" s="2" t="s">
        <v>412</v>
      </c>
      <c r="Y27" s="2" t="s">
        <v>767</v>
      </c>
      <c r="Z27" s="2" t="s">
        <v>412</v>
      </c>
      <c r="AA27" s="2" t="s">
        <v>39</v>
      </c>
      <c r="AB27" s="2" t="s">
        <v>441</v>
      </c>
    </row>
    <row r="28" spans="1:28" hidden="1" x14ac:dyDescent="0.2">
      <c r="A28" s="2" t="s">
        <v>431</v>
      </c>
      <c r="B28" s="3">
        <v>44042</v>
      </c>
      <c r="C28" s="2" t="s">
        <v>661</v>
      </c>
      <c r="D28" s="2" t="s">
        <v>28</v>
      </c>
      <c r="E28" s="2" t="s">
        <v>129</v>
      </c>
      <c r="F28" s="2" t="s">
        <v>130</v>
      </c>
      <c r="G28" s="2" t="s">
        <v>683</v>
      </c>
      <c r="H28" s="2" t="s">
        <v>684</v>
      </c>
      <c r="I28" s="2" t="s">
        <v>112</v>
      </c>
      <c r="J28" s="2" t="s">
        <v>32</v>
      </c>
      <c r="K28" s="2" t="s">
        <v>526</v>
      </c>
      <c r="L28" s="2" t="s">
        <v>527</v>
      </c>
      <c r="M28" s="3">
        <v>44045</v>
      </c>
      <c r="N28" s="3">
        <v>44057</v>
      </c>
      <c r="O28" s="4">
        <v>500</v>
      </c>
      <c r="P28" s="2" t="s">
        <v>114</v>
      </c>
      <c r="Q28" s="2" t="s">
        <v>85</v>
      </c>
      <c r="R28" s="2" t="s">
        <v>86</v>
      </c>
      <c r="S28" s="2" t="s">
        <v>439</v>
      </c>
      <c r="T28" s="2" t="s">
        <v>117</v>
      </c>
      <c r="U28" s="2" t="s">
        <v>290</v>
      </c>
      <c r="V28" s="2" t="s">
        <v>118</v>
      </c>
      <c r="W28" s="2" t="s">
        <v>412</v>
      </c>
      <c r="X28" s="2" t="s">
        <v>412</v>
      </c>
      <c r="Y28" s="2" t="s">
        <v>440</v>
      </c>
      <c r="Z28" s="2" t="s">
        <v>412</v>
      </c>
      <c r="AA28" s="2" t="s">
        <v>39</v>
      </c>
      <c r="AB28" s="2" t="s">
        <v>441</v>
      </c>
    </row>
    <row r="29" spans="1:28" hidden="1" x14ac:dyDescent="0.2">
      <c r="A29" s="2" t="s">
        <v>431</v>
      </c>
      <c r="B29" s="3">
        <v>44042</v>
      </c>
      <c r="C29" s="2" t="s">
        <v>661</v>
      </c>
      <c r="D29" s="2" t="s">
        <v>28</v>
      </c>
      <c r="E29" s="2" t="s">
        <v>129</v>
      </c>
      <c r="F29" s="2" t="s">
        <v>130</v>
      </c>
      <c r="G29" s="2" t="s">
        <v>685</v>
      </c>
      <c r="H29" s="2" t="s">
        <v>686</v>
      </c>
      <c r="I29" s="2" t="s">
        <v>112</v>
      </c>
      <c r="J29" s="2" t="s">
        <v>32</v>
      </c>
      <c r="K29" s="2" t="s">
        <v>526</v>
      </c>
      <c r="L29" s="2" t="s">
        <v>527</v>
      </c>
      <c r="M29" s="3">
        <v>44045</v>
      </c>
      <c r="N29" s="3">
        <v>44057</v>
      </c>
      <c r="O29" s="4">
        <v>498.73500000000001</v>
      </c>
      <c r="P29" s="2" t="s">
        <v>114</v>
      </c>
      <c r="Q29" s="2" t="s">
        <v>85</v>
      </c>
      <c r="R29" s="2" t="s">
        <v>86</v>
      </c>
      <c r="S29" s="2" t="s">
        <v>439</v>
      </c>
      <c r="T29" s="2" t="s">
        <v>117</v>
      </c>
      <c r="U29" s="2" t="s">
        <v>304</v>
      </c>
      <c r="V29" s="2" t="s">
        <v>118</v>
      </c>
      <c r="W29" s="2" t="s">
        <v>412</v>
      </c>
      <c r="X29" s="2" t="s">
        <v>412</v>
      </c>
      <c r="Y29" s="2" t="s">
        <v>767</v>
      </c>
      <c r="Z29" s="2" t="s">
        <v>412</v>
      </c>
      <c r="AA29" s="2" t="s">
        <v>39</v>
      </c>
      <c r="AB29" s="2" t="s">
        <v>441</v>
      </c>
    </row>
    <row r="30" spans="1:28" hidden="1" x14ac:dyDescent="0.2">
      <c r="A30" s="2" t="s">
        <v>431</v>
      </c>
      <c r="B30" s="3">
        <v>44027</v>
      </c>
      <c r="C30" s="2" t="s">
        <v>661</v>
      </c>
      <c r="D30" s="2" t="s">
        <v>102</v>
      </c>
      <c r="E30" s="2" t="s">
        <v>322</v>
      </c>
      <c r="F30" s="2" t="s">
        <v>687</v>
      </c>
      <c r="G30" s="2" t="s">
        <v>688</v>
      </c>
      <c r="H30" s="2" t="s">
        <v>689</v>
      </c>
      <c r="I30" s="2" t="s">
        <v>112</v>
      </c>
      <c r="J30" s="2" t="s">
        <v>32</v>
      </c>
      <c r="K30" s="2" t="s">
        <v>526</v>
      </c>
      <c r="L30" s="2" t="s">
        <v>527</v>
      </c>
      <c r="M30" s="3">
        <v>44045</v>
      </c>
      <c r="N30" s="3">
        <v>44054</v>
      </c>
      <c r="O30" s="4">
        <v>202.03700000000001</v>
      </c>
      <c r="P30" s="2" t="s">
        <v>114</v>
      </c>
      <c r="Q30" s="2" t="s">
        <v>131</v>
      </c>
      <c r="R30" s="2" t="s">
        <v>132</v>
      </c>
      <c r="S30" s="2" t="s">
        <v>439</v>
      </c>
      <c r="T30" s="2" t="s">
        <v>117</v>
      </c>
      <c r="U30" s="2" t="s">
        <v>304</v>
      </c>
      <c r="V30" s="2" t="s">
        <v>118</v>
      </c>
      <c r="W30" s="2" t="s">
        <v>412</v>
      </c>
      <c r="X30" s="2" t="s">
        <v>412</v>
      </c>
      <c r="Y30" s="2" t="s">
        <v>769</v>
      </c>
      <c r="Z30" s="2" t="s">
        <v>412</v>
      </c>
      <c r="AA30" s="2" t="s">
        <v>39</v>
      </c>
      <c r="AB30" s="2" t="s">
        <v>441</v>
      </c>
    </row>
    <row r="31" spans="1:28" hidden="1" x14ac:dyDescent="0.2">
      <c r="A31" s="2" t="s">
        <v>470</v>
      </c>
      <c r="B31" s="3">
        <v>44048</v>
      </c>
      <c r="C31" s="2" t="s">
        <v>770</v>
      </c>
      <c r="D31" s="2" t="s">
        <v>74</v>
      </c>
      <c r="E31" s="2" t="s">
        <v>75</v>
      </c>
      <c r="F31" s="2" t="s">
        <v>285</v>
      </c>
      <c r="G31" s="2" t="s">
        <v>771</v>
      </c>
      <c r="H31" s="2" t="s">
        <v>772</v>
      </c>
      <c r="I31" s="2" t="s">
        <v>491</v>
      </c>
      <c r="J31" s="2" t="s">
        <v>286</v>
      </c>
      <c r="K31" s="2" t="s">
        <v>773</v>
      </c>
      <c r="L31" s="2" t="s">
        <v>622</v>
      </c>
      <c r="M31" s="3">
        <v>44044</v>
      </c>
      <c r="N31" s="3">
        <v>44069</v>
      </c>
      <c r="O31" s="4">
        <v>19.577000000000002</v>
      </c>
      <c r="P31" s="2" t="s">
        <v>287</v>
      </c>
      <c r="Q31" s="2" t="s">
        <v>288</v>
      </c>
      <c r="R31" s="2" t="s">
        <v>289</v>
      </c>
      <c r="S31" s="2" t="s">
        <v>450</v>
      </c>
      <c r="T31" s="2" t="s">
        <v>87</v>
      </c>
      <c r="U31" s="2" t="s">
        <v>37</v>
      </c>
      <c r="V31" s="2" t="s">
        <v>65</v>
      </c>
      <c r="W31" s="2" t="s">
        <v>774</v>
      </c>
      <c r="X31" s="2" t="s">
        <v>412</v>
      </c>
      <c r="Y31" s="2" t="s">
        <v>477</v>
      </c>
      <c r="Z31" s="2" t="s">
        <v>592</v>
      </c>
      <c r="AA31" s="2" t="s">
        <v>109</v>
      </c>
      <c r="AB31" s="2" t="s">
        <v>414</v>
      </c>
    </row>
    <row r="32" spans="1:28" hidden="1" x14ac:dyDescent="0.2">
      <c r="A32" s="2" t="s">
        <v>470</v>
      </c>
      <c r="B32" s="3">
        <v>44048</v>
      </c>
      <c r="C32" s="2" t="s">
        <v>770</v>
      </c>
      <c r="D32" s="2" t="s">
        <v>74</v>
      </c>
      <c r="E32" s="2" t="s">
        <v>75</v>
      </c>
      <c r="F32" s="2" t="s">
        <v>285</v>
      </c>
      <c r="G32" s="2" t="s">
        <v>775</v>
      </c>
      <c r="H32" s="2" t="s">
        <v>776</v>
      </c>
      <c r="I32" s="2" t="s">
        <v>222</v>
      </c>
      <c r="J32" s="2" t="s">
        <v>223</v>
      </c>
      <c r="K32" s="2" t="s">
        <v>773</v>
      </c>
      <c r="L32" s="2" t="s">
        <v>622</v>
      </c>
      <c r="M32" s="3">
        <v>44044</v>
      </c>
      <c r="N32" s="3">
        <v>44069</v>
      </c>
      <c r="O32" s="4">
        <v>19.617000000000001</v>
      </c>
      <c r="P32" s="2" t="s">
        <v>287</v>
      </c>
      <c r="Q32" s="2" t="s">
        <v>288</v>
      </c>
      <c r="R32" s="2" t="s">
        <v>289</v>
      </c>
      <c r="S32" s="2" t="s">
        <v>450</v>
      </c>
      <c r="T32" s="2" t="s">
        <v>87</v>
      </c>
      <c r="U32" s="2" t="s">
        <v>37</v>
      </c>
      <c r="V32" s="2" t="s">
        <v>65</v>
      </c>
      <c r="W32" s="2" t="s">
        <v>777</v>
      </c>
      <c r="X32" s="2" t="s">
        <v>412</v>
      </c>
      <c r="Y32" s="2" t="s">
        <v>477</v>
      </c>
      <c r="Z32" s="2" t="s">
        <v>592</v>
      </c>
      <c r="AA32" s="2" t="s">
        <v>109</v>
      </c>
      <c r="AB32" s="2" t="s">
        <v>414</v>
      </c>
    </row>
    <row r="33" spans="1:28" hidden="1" x14ac:dyDescent="0.2">
      <c r="A33" s="2" t="s">
        <v>470</v>
      </c>
      <c r="B33" s="3">
        <v>44042</v>
      </c>
      <c r="C33" s="2" t="s">
        <v>691</v>
      </c>
      <c r="D33" s="2" t="s">
        <v>28</v>
      </c>
      <c r="E33" s="2" t="s">
        <v>98</v>
      </c>
      <c r="F33" s="2" t="s">
        <v>205</v>
      </c>
      <c r="G33" s="2" t="s">
        <v>692</v>
      </c>
      <c r="H33" s="2" t="s">
        <v>693</v>
      </c>
      <c r="I33" s="2" t="s">
        <v>31</v>
      </c>
      <c r="J33" s="2" t="s">
        <v>32</v>
      </c>
      <c r="K33" s="2" t="s">
        <v>752</v>
      </c>
      <c r="L33" s="2" t="s">
        <v>694</v>
      </c>
      <c r="M33" s="3">
        <v>44045</v>
      </c>
      <c r="N33" s="3">
        <v>44076</v>
      </c>
      <c r="O33" s="4">
        <v>494.37799999999999</v>
      </c>
      <c r="P33" s="2" t="s">
        <v>224</v>
      </c>
      <c r="Q33" s="2" t="s">
        <v>34</v>
      </c>
      <c r="R33" s="2" t="s">
        <v>35</v>
      </c>
      <c r="S33" s="2" t="s">
        <v>428</v>
      </c>
      <c r="T33" s="2" t="s">
        <v>87</v>
      </c>
      <c r="U33" s="2" t="s">
        <v>37</v>
      </c>
      <c r="V33" s="2" t="s">
        <v>88</v>
      </c>
      <c r="W33" s="2" t="s">
        <v>695</v>
      </c>
      <c r="X33" s="2" t="s">
        <v>412</v>
      </c>
      <c r="Y33" s="2" t="s">
        <v>429</v>
      </c>
      <c r="Z33" s="2" t="s">
        <v>412</v>
      </c>
      <c r="AA33" s="2" t="s">
        <v>39</v>
      </c>
      <c r="AB33" s="2" t="s">
        <v>414</v>
      </c>
    </row>
    <row r="34" spans="1:28" hidden="1" x14ac:dyDescent="0.2">
      <c r="A34" s="2" t="s">
        <v>470</v>
      </c>
      <c r="B34" s="3">
        <v>44042</v>
      </c>
      <c r="C34" s="2" t="s">
        <v>691</v>
      </c>
      <c r="D34" s="2" t="s">
        <v>28</v>
      </c>
      <c r="E34" s="2" t="s">
        <v>98</v>
      </c>
      <c r="F34" s="2" t="s">
        <v>205</v>
      </c>
      <c r="G34" s="2" t="s">
        <v>696</v>
      </c>
      <c r="H34" s="2" t="s">
        <v>697</v>
      </c>
      <c r="I34" s="2" t="s">
        <v>31</v>
      </c>
      <c r="J34" s="2" t="s">
        <v>32</v>
      </c>
      <c r="K34" s="2" t="s">
        <v>752</v>
      </c>
      <c r="L34" s="2" t="s">
        <v>694</v>
      </c>
      <c r="M34" s="3">
        <v>44045</v>
      </c>
      <c r="N34" s="3">
        <v>44076</v>
      </c>
      <c r="O34" s="4">
        <v>494.75799999999998</v>
      </c>
      <c r="P34" s="2" t="s">
        <v>224</v>
      </c>
      <c r="Q34" s="2" t="s">
        <v>34</v>
      </c>
      <c r="R34" s="2" t="s">
        <v>35</v>
      </c>
      <c r="S34" s="2" t="s">
        <v>428</v>
      </c>
      <c r="T34" s="2" t="s">
        <v>87</v>
      </c>
      <c r="U34" s="2" t="s">
        <v>37</v>
      </c>
      <c r="V34" s="2" t="s">
        <v>88</v>
      </c>
      <c r="W34" s="2" t="s">
        <v>698</v>
      </c>
      <c r="X34" s="2" t="s">
        <v>412</v>
      </c>
      <c r="Y34" s="2" t="s">
        <v>429</v>
      </c>
      <c r="Z34" s="2" t="s">
        <v>412</v>
      </c>
      <c r="AA34" s="2" t="s">
        <v>39</v>
      </c>
      <c r="AB34" s="2" t="s">
        <v>414</v>
      </c>
    </row>
    <row r="35" spans="1:28" hidden="1" x14ac:dyDescent="0.2">
      <c r="A35" s="2" t="s">
        <v>470</v>
      </c>
      <c r="B35" s="3">
        <v>44042</v>
      </c>
      <c r="C35" s="2" t="s">
        <v>691</v>
      </c>
      <c r="D35" s="2" t="s">
        <v>28</v>
      </c>
      <c r="E35" s="2" t="s">
        <v>98</v>
      </c>
      <c r="F35" s="2" t="s">
        <v>205</v>
      </c>
      <c r="G35" s="2" t="s">
        <v>699</v>
      </c>
      <c r="H35" s="2" t="s">
        <v>700</v>
      </c>
      <c r="I35" s="2" t="s">
        <v>31</v>
      </c>
      <c r="J35" s="2" t="s">
        <v>32</v>
      </c>
      <c r="K35" s="2" t="s">
        <v>752</v>
      </c>
      <c r="L35" s="2" t="s">
        <v>694</v>
      </c>
      <c r="M35" s="3">
        <v>44045</v>
      </c>
      <c r="N35" s="3">
        <v>44076</v>
      </c>
      <c r="O35" s="4">
        <v>494.24299999999999</v>
      </c>
      <c r="P35" s="2" t="s">
        <v>224</v>
      </c>
      <c r="Q35" s="2" t="s">
        <v>34</v>
      </c>
      <c r="R35" s="2" t="s">
        <v>35</v>
      </c>
      <c r="S35" s="2" t="s">
        <v>428</v>
      </c>
      <c r="T35" s="2" t="s">
        <v>87</v>
      </c>
      <c r="U35" s="2" t="s">
        <v>37</v>
      </c>
      <c r="V35" s="2" t="s">
        <v>88</v>
      </c>
      <c r="W35" s="2" t="s">
        <v>701</v>
      </c>
      <c r="X35" s="2" t="s">
        <v>412</v>
      </c>
      <c r="Y35" s="2" t="s">
        <v>429</v>
      </c>
      <c r="Z35" s="2" t="s">
        <v>412</v>
      </c>
      <c r="AA35" s="2" t="s">
        <v>39</v>
      </c>
      <c r="AB35" s="2" t="s">
        <v>414</v>
      </c>
    </row>
    <row r="36" spans="1:28" hidden="1" x14ac:dyDescent="0.2">
      <c r="A36" s="2" t="s">
        <v>470</v>
      </c>
      <c r="B36" s="3">
        <v>44042</v>
      </c>
      <c r="C36" s="2" t="s">
        <v>691</v>
      </c>
      <c r="D36" s="2" t="s">
        <v>28</v>
      </c>
      <c r="E36" s="2" t="s">
        <v>98</v>
      </c>
      <c r="F36" s="2" t="s">
        <v>205</v>
      </c>
      <c r="G36" s="2" t="s">
        <v>702</v>
      </c>
      <c r="H36" s="2" t="s">
        <v>703</v>
      </c>
      <c r="I36" s="2" t="s">
        <v>31</v>
      </c>
      <c r="J36" s="2" t="s">
        <v>32</v>
      </c>
      <c r="K36" s="2" t="s">
        <v>752</v>
      </c>
      <c r="L36" s="2" t="s">
        <v>694</v>
      </c>
      <c r="M36" s="3">
        <v>44045</v>
      </c>
      <c r="N36" s="3">
        <v>44076</v>
      </c>
      <c r="O36" s="4">
        <v>495.041</v>
      </c>
      <c r="P36" s="2" t="s">
        <v>224</v>
      </c>
      <c r="Q36" s="2" t="s">
        <v>34</v>
      </c>
      <c r="R36" s="2" t="s">
        <v>35</v>
      </c>
      <c r="S36" s="2" t="s">
        <v>428</v>
      </c>
      <c r="T36" s="2" t="s">
        <v>87</v>
      </c>
      <c r="U36" s="2" t="s">
        <v>37</v>
      </c>
      <c r="V36" s="2" t="s">
        <v>88</v>
      </c>
      <c r="W36" s="2" t="s">
        <v>704</v>
      </c>
      <c r="X36" s="2" t="s">
        <v>412</v>
      </c>
      <c r="Y36" s="2" t="s">
        <v>429</v>
      </c>
      <c r="Z36" s="2" t="s">
        <v>412</v>
      </c>
      <c r="AA36" s="2" t="s">
        <v>39</v>
      </c>
      <c r="AB36" s="2" t="s">
        <v>414</v>
      </c>
    </row>
    <row r="37" spans="1:28" hidden="1" x14ac:dyDescent="0.2">
      <c r="A37" s="2" t="s">
        <v>470</v>
      </c>
      <c r="B37" s="3">
        <v>44042</v>
      </c>
      <c r="C37" s="2" t="s">
        <v>691</v>
      </c>
      <c r="D37" s="2" t="s">
        <v>91</v>
      </c>
      <c r="E37" s="2" t="s">
        <v>745</v>
      </c>
      <c r="F37" s="2" t="s">
        <v>746</v>
      </c>
      <c r="G37" s="2" t="s">
        <v>778</v>
      </c>
      <c r="H37" s="2" t="s">
        <v>779</v>
      </c>
      <c r="I37" s="2" t="s">
        <v>747</v>
      </c>
      <c r="J37" s="2" t="s">
        <v>223</v>
      </c>
      <c r="K37" s="2" t="s">
        <v>752</v>
      </c>
      <c r="L37" s="2" t="s">
        <v>694</v>
      </c>
      <c r="M37" s="3">
        <v>44045</v>
      </c>
      <c r="N37" s="3">
        <v>44109</v>
      </c>
      <c r="O37" s="4">
        <v>429.04500000000002</v>
      </c>
      <c r="P37" s="2" t="s">
        <v>224</v>
      </c>
      <c r="Q37" s="2" t="s">
        <v>748</v>
      </c>
      <c r="R37" s="2" t="s">
        <v>749</v>
      </c>
      <c r="S37" s="2" t="s">
        <v>451</v>
      </c>
      <c r="T37" s="2" t="s">
        <v>87</v>
      </c>
      <c r="U37" s="2" t="s">
        <v>37</v>
      </c>
      <c r="V37" s="2" t="s">
        <v>88</v>
      </c>
      <c r="W37" s="2" t="s">
        <v>750</v>
      </c>
      <c r="X37" s="2" t="s">
        <v>412</v>
      </c>
      <c r="Y37" s="2" t="s">
        <v>780</v>
      </c>
      <c r="Z37" s="2" t="s">
        <v>412</v>
      </c>
      <c r="AA37" s="2" t="s">
        <v>39</v>
      </c>
      <c r="AB37" s="2" t="s">
        <v>414</v>
      </c>
    </row>
    <row r="38" spans="1:28" hidden="1" x14ac:dyDescent="0.2">
      <c r="A38" s="2" t="s">
        <v>427</v>
      </c>
      <c r="B38" s="3">
        <v>44042</v>
      </c>
      <c r="C38" s="2" t="s">
        <v>654</v>
      </c>
      <c r="D38" s="2" t="s">
        <v>28</v>
      </c>
      <c r="E38" s="2" t="s">
        <v>29</v>
      </c>
      <c r="F38" s="2" t="s">
        <v>397</v>
      </c>
      <c r="G38" s="2" t="s">
        <v>655</v>
      </c>
      <c r="H38" s="2" t="s">
        <v>656</v>
      </c>
      <c r="I38" s="2" t="s">
        <v>77</v>
      </c>
      <c r="J38" s="2" t="s">
        <v>32</v>
      </c>
      <c r="K38" s="2" t="s">
        <v>260</v>
      </c>
      <c r="L38" s="2" t="s">
        <v>518</v>
      </c>
      <c r="M38" s="3">
        <v>44045</v>
      </c>
      <c r="N38" s="3">
        <v>44059</v>
      </c>
      <c r="O38" s="4">
        <v>498.19200000000001</v>
      </c>
      <c r="P38" s="2" t="s">
        <v>48</v>
      </c>
      <c r="Q38" s="2" t="s">
        <v>405</v>
      </c>
      <c r="R38" s="2" t="s">
        <v>406</v>
      </c>
      <c r="S38" s="2" t="s">
        <v>428</v>
      </c>
      <c r="T38" s="2" t="s">
        <v>36</v>
      </c>
      <c r="U38" s="2" t="s">
        <v>37</v>
      </c>
      <c r="V38" s="2" t="s">
        <v>241</v>
      </c>
      <c r="W38" s="2" t="s">
        <v>657</v>
      </c>
      <c r="X38" s="2" t="s">
        <v>412</v>
      </c>
      <c r="Y38" s="2" t="s">
        <v>429</v>
      </c>
      <c r="Z38" s="2" t="s">
        <v>412</v>
      </c>
      <c r="AA38" s="2" t="s">
        <v>39</v>
      </c>
      <c r="AB38" s="2" t="s">
        <v>414</v>
      </c>
    </row>
    <row r="39" spans="1:28" hidden="1" x14ac:dyDescent="0.2">
      <c r="A39" s="2" t="s">
        <v>427</v>
      </c>
      <c r="B39" s="3">
        <v>44042</v>
      </c>
      <c r="C39" s="2" t="s">
        <v>654</v>
      </c>
      <c r="D39" s="2" t="s">
        <v>28</v>
      </c>
      <c r="E39" s="2" t="s">
        <v>29</v>
      </c>
      <c r="F39" s="2" t="s">
        <v>397</v>
      </c>
      <c r="G39" s="2" t="s">
        <v>658</v>
      </c>
      <c r="H39" s="2" t="s">
        <v>659</v>
      </c>
      <c r="I39" s="2" t="s">
        <v>77</v>
      </c>
      <c r="J39" s="2" t="s">
        <v>32</v>
      </c>
      <c r="K39" s="2" t="s">
        <v>260</v>
      </c>
      <c r="L39" s="2" t="s">
        <v>518</v>
      </c>
      <c r="M39" s="3">
        <v>44045</v>
      </c>
      <c r="N39" s="3">
        <v>44059</v>
      </c>
      <c r="O39" s="4">
        <v>497.62299999999999</v>
      </c>
      <c r="P39" s="2" t="s">
        <v>48</v>
      </c>
      <c r="Q39" s="2" t="s">
        <v>405</v>
      </c>
      <c r="R39" s="2" t="s">
        <v>406</v>
      </c>
      <c r="S39" s="2" t="s">
        <v>428</v>
      </c>
      <c r="T39" s="2" t="s">
        <v>36</v>
      </c>
      <c r="U39" s="2" t="s">
        <v>37</v>
      </c>
      <c r="V39" s="2" t="s">
        <v>241</v>
      </c>
      <c r="W39" s="2" t="s">
        <v>660</v>
      </c>
      <c r="X39" s="2" t="s">
        <v>412</v>
      </c>
      <c r="Y39" s="2" t="s">
        <v>429</v>
      </c>
      <c r="Z39" s="2" t="s">
        <v>412</v>
      </c>
      <c r="AA39" s="2" t="s">
        <v>39</v>
      </c>
      <c r="AB39" s="2" t="s">
        <v>414</v>
      </c>
    </row>
    <row r="40" spans="1:28" hidden="1" x14ac:dyDescent="0.2">
      <c r="A40" s="2" t="s">
        <v>427</v>
      </c>
      <c r="B40" s="3">
        <v>44043</v>
      </c>
      <c r="C40" s="2" t="s">
        <v>607</v>
      </c>
      <c r="D40" s="2" t="s">
        <v>62</v>
      </c>
      <c r="E40" s="2" t="s">
        <v>294</v>
      </c>
      <c r="F40" s="2" t="s">
        <v>295</v>
      </c>
      <c r="G40" s="2" t="s">
        <v>612</v>
      </c>
      <c r="H40" s="2" t="s">
        <v>613</v>
      </c>
      <c r="I40" s="2" t="s">
        <v>77</v>
      </c>
      <c r="J40" s="2" t="s">
        <v>32</v>
      </c>
      <c r="K40" s="2" t="s">
        <v>293</v>
      </c>
      <c r="L40" s="2" t="s">
        <v>512</v>
      </c>
      <c r="M40" s="3">
        <v>44045</v>
      </c>
      <c r="N40" s="3">
        <v>44063</v>
      </c>
      <c r="O40" s="4">
        <v>99.563999999999993</v>
      </c>
      <c r="P40" s="2" t="s">
        <v>48</v>
      </c>
      <c r="Q40" s="2" t="s">
        <v>59</v>
      </c>
      <c r="R40" s="2" t="s">
        <v>60</v>
      </c>
      <c r="S40" s="2" t="s">
        <v>419</v>
      </c>
      <c r="T40" s="2" t="s">
        <v>36</v>
      </c>
      <c r="U40" s="2" t="s">
        <v>37</v>
      </c>
      <c r="V40" s="2" t="s">
        <v>52</v>
      </c>
      <c r="W40" s="2" t="s">
        <v>614</v>
      </c>
      <c r="X40" s="2" t="s">
        <v>412</v>
      </c>
      <c r="Y40" s="2" t="s">
        <v>437</v>
      </c>
      <c r="Z40" s="2" t="s">
        <v>615</v>
      </c>
      <c r="AA40" s="2" t="s">
        <v>39</v>
      </c>
      <c r="AB40" s="2" t="s">
        <v>414</v>
      </c>
    </row>
    <row r="41" spans="1:28" hidden="1" x14ac:dyDescent="0.2">
      <c r="A41" s="2" t="s">
        <v>427</v>
      </c>
      <c r="B41" s="3">
        <v>44043</v>
      </c>
      <c r="C41" s="2" t="s">
        <v>607</v>
      </c>
      <c r="D41" s="2" t="s">
        <v>62</v>
      </c>
      <c r="E41" s="2" t="s">
        <v>296</v>
      </c>
      <c r="F41" s="2" t="s">
        <v>297</v>
      </c>
      <c r="G41" s="2" t="s">
        <v>616</v>
      </c>
      <c r="H41" s="2" t="s">
        <v>617</v>
      </c>
      <c r="I41" s="2" t="s">
        <v>298</v>
      </c>
      <c r="J41" s="2" t="s">
        <v>58</v>
      </c>
      <c r="K41" s="2" t="s">
        <v>293</v>
      </c>
      <c r="L41" s="2" t="s">
        <v>512</v>
      </c>
      <c r="M41" s="3">
        <v>44045</v>
      </c>
      <c r="N41" s="3">
        <v>44063</v>
      </c>
      <c r="O41" s="4">
        <v>47.188000000000002</v>
      </c>
      <c r="P41" s="2" t="s">
        <v>48</v>
      </c>
      <c r="Q41" s="2" t="s">
        <v>59</v>
      </c>
      <c r="R41" s="2" t="s">
        <v>60</v>
      </c>
      <c r="S41" s="2" t="s">
        <v>449</v>
      </c>
      <c r="T41" s="2" t="s">
        <v>61</v>
      </c>
      <c r="U41" s="2" t="s">
        <v>37</v>
      </c>
      <c r="V41" s="2" t="s">
        <v>52</v>
      </c>
      <c r="W41" s="2" t="s">
        <v>618</v>
      </c>
      <c r="X41" s="2" t="s">
        <v>412</v>
      </c>
      <c r="Y41" s="2" t="s">
        <v>462</v>
      </c>
      <c r="Z41" s="2" t="s">
        <v>619</v>
      </c>
      <c r="AA41" s="2" t="s">
        <v>39</v>
      </c>
      <c r="AB41" s="2" t="s">
        <v>414</v>
      </c>
    </row>
    <row r="42" spans="1:28" hidden="1" x14ac:dyDescent="0.2">
      <c r="A42" s="2" t="s">
        <v>431</v>
      </c>
      <c r="B42" s="3">
        <v>44048</v>
      </c>
      <c r="C42" s="2" t="s">
        <v>781</v>
      </c>
      <c r="D42" s="2" t="s">
        <v>170</v>
      </c>
      <c r="E42" s="2" t="s">
        <v>171</v>
      </c>
      <c r="F42" s="2" t="s">
        <v>172</v>
      </c>
      <c r="G42" s="2" t="s">
        <v>782</v>
      </c>
      <c r="H42" s="2" t="s">
        <v>783</v>
      </c>
      <c r="I42" s="2" t="s">
        <v>176</v>
      </c>
      <c r="J42" s="2" t="s">
        <v>58</v>
      </c>
      <c r="K42" s="2" t="s">
        <v>784</v>
      </c>
      <c r="L42" s="2" t="s">
        <v>785</v>
      </c>
      <c r="M42" s="3">
        <v>44046</v>
      </c>
      <c r="N42" s="3">
        <v>44052</v>
      </c>
      <c r="O42" s="4">
        <v>135.16</v>
      </c>
      <c r="P42" s="2" t="s">
        <v>33</v>
      </c>
      <c r="Q42" s="2" t="s">
        <v>173</v>
      </c>
      <c r="R42" s="2" t="s">
        <v>174</v>
      </c>
      <c r="S42" s="2" t="s">
        <v>465</v>
      </c>
      <c r="T42" s="2" t="s">
        <v>61</v>
      </c>
      <c r="U42" s="2" t="s">
        <v>37</v>
      </c>
      <c r="V42" s="2" t="s">
        <v>65</v>
      </c>
      <c r="W42" s="2" t="s">
        <v>786</v>
      </c>
      <c r="X42" s="2" t="s">
        <v>412</v>
      </c>
      <c r="Y42" s="2" t="s">
        <v>438</v>
      </c>
      <c r="Z42" s="2" t="s">
        <v>412</v>
      </c>
      <c r="AA42" s="2" t="s">
        <v>175</v>
      </c>
      <c r="AB42" s="2" t="s">
        <v>414</v>
      </c>
    </row>
    <row r="43" spans="1:28" hidden="1" x14ac:dyDescent="0.2">
      <c r="A43" s="2" t="s">
        <v>431</v>
      </c>
      <c r="B43" s="3">
        <v>44073</v>
      </c>
      <c r="C43" s="2" t="s">
        <v>787</v>
      </c>
      <c r="D43" s="2" t="s">
        <v>28</v>
      </c>
      <c r="E43" s="2" t="s">
        <v>129</v>
      </c>
      <c r="F43" s="2" t="s">
        <v>363</v>
      </c>
      <c r="G43" s="2" t="s">
        <v>788</v>
      </c>
      <c r="H43" s="2" t="s">
        <v>789</v>
      </c>
      <c r="I43" s="2" t="s">
        <v>357</v>
      </c>
      <c r="J43" s="2" t="s">
        <v>58</v>
      </c>
      <c r="K43" s="2" t="s">
        <v>790</v>
      </c>
      <c r="L43" s="2" t="s">
        <v>791</v>
      </c>
      <c r="M43" s="3">
        <v>44046</v>
      </c>
      <c r="N43" s="3">
        <v>44077</v>
      </c>
      <c r="O43" s="4">
        <v>257.58600000000001</v>
      </c>
      <c r="P43" s="2" t="s">
        <v>33</v>
      </c>
      <c r="Q43" s="2" t="s">
        <v>263</v>
      </c>
      <c r="R43" s="2" t="s">
        <v>360</v>
      </c>
      <c r="S43" s="2" t="s">
        <v>416</v>
      </c>
      <c r="T43" s="2" t="s">
        <v>72</v>
      </c>
      <c r="U43" s="2" t="s">
        <v>37</v>
      </c>
      <c r="V43" s="2" t="s">
        <v>88</v>
      </c>
      <c r="W43" s="2" t="s">
        <v>792</v>
      </c>
      <c r="X43" s="2" t="s">
        <v>412</v>
      </c>
      <c r="Y43" s="2" t="s">
        <v>595</v>
      </c>
      <c r="Z43" s="2" t="s">
        <v>596</v>
      </c>
      <c r="AA43" s="2" t="s">
        <v>39</v>
      </c>
      <c r="AB43" s="2" t="s">
        <v>414</v>
      </c>
    </row>
    <row r="44" spans="1:28" hidden="1" x14ac:dyDescent="0.2">
      <c r="A44" s="2" t="s">
        <v>427</v>
      </c>
      <c r="B44" s="3">
        <v>44055</v>
      </c>
      <c r="C44" s="2" t="s">
        <v>793</v>
      </c>
      <c r="D44" s="2" t="s">
        <v>62</v>
      </c>
      <c r="E44" s="2" t="s">
        <v>167</v>
      </c>
      <c r="F44" s="2" t="s">
        <v>168</v>
      </c>
      <c r="G44" s="2" t="s">
        <v>794</v>
      </c>
      <c r="H44" s="2" t="s">
        <v>795</v>
      </c>
      <c r="I44" s="2" t="s">
        <v>77</v>
      </c>
      <c r="J44" s="2" t="s">
        <v>32</v>
      </c>
      <c r="K44" s="2" t="s">
        <v>796</v>
      </c>
      <c r="L44" s="2" t="s">
        <v>797</v>
      </c>
      <c r="M44" s="3">
        <v>44046</v>
      </c>
      <c r="N44" s="3">
        <v>44075</v>
      </c>
      <c r="O44" s="4">
        <v>199.375</v>
      </c>
      <c r="P44" s="2" t="s">
        <v>48</v>
      </c>
      <c r="Q44" s="2" t="s">
        <v>166</v>
      </c>
      <c r="R44" s="2" t="s">
        <v>169</v>
      </c>
      <c r="S44" s="2" t="s">
        <v>420</v>
      </c>
      <c r="T44" s="2" t="s">
        <v>36</v>
      </c>
      <c r="U44" s="2" t="s">
        <v>37</v>
      </c>
      <c r="V44" s="2" t="s">
        <v>52</v>
      </c>
      <c r="W44" s="2" t="s">
        <v>798</v>
      </c>
      <c r="X44" s="2" t="s">
        <v>412</v>
      </c>
      <c r="Y44" s="2" t="s">
        <v>421</v>
      </c>
      <c r="Z44" s="2" t="s">
        <v>799</v>
      </c>
      <c r="AA44" s="2" t="s">
        <v>39</v>
      </c>
      <c r="AB44" s="2" t="s">
        <v>414</v>
      </c>
    </row>
    <row r="45" spans="1:28" hidden="1" x14ac:dyDescent="0.2">
      <c r="A45" s="2" t="s">
        <v>427</v>
      </c>
      <c r="B45" s="3">
        <v>44073</v>
      </c>
      <c r="C45" s="2" t="s">
        <v>793</v>
      </c>
      <c r="D45" s="2" t="s">
        <v>91</v>
      </c>
      <c r="E45" s="2" t="s">
        <v>164</v>
      </c>
      <c r="F45" s="2" t="s">
        <v>165</v>
      </c>
      <c r="G45" s="2" t="s">
        <v>800</v>
      </c>
      <c r="H45" s="2" t="s">
        <v>801</v>
      </c>
      <c r="I45" s="2" t="s">
        <v>77</v>
      </c>
      <c r="J45" s="2" t="s">
        <v>32</v>
      </c>
      <c r="K45" s="2" t="s">
        <v>796</v>
      </c>
      <c r="L45" s="2" t="s">
        <v>797</v>
      </c>
      <c r="M45" s="3">
        <v>44046</v>
      </c>
      <c r="N45" s="3">
        <v>44075</v>
      </c>
      <c r="O45" s="4">
        <v>311.67500000000001</v>
      </c>
      <c r="P45" s="2" t="s">
        <v>48</v>
      </c>
      <c r="Q45" s="2" t="s">
        <v>166</v>
      </c>
      <c r="R45" s="2" t="s">
        <v>169</v>
      </c>
      <c r="S45" s="2" t="s">
        <v>417</v>
      </c>
      <c r="T45" s="2" t="s">
        <v>42</v>
      </c>
      <c r="U45" s="2" t="s">
        <v>37</v>
      </c>
      <c r="V45" s="2" t="s">
        <v>52</v>
      </c>
      <c r="W45" s="2" t="s">
        <v>802</v>
      </c>
      <c r="X45" s="2" t="s">
        <v>412</v>
      </c>
      <c r="Y45" s="2" t="s">
        <v>458</v>
      </c>
      <c r="Z45" s="2" t="s">
        <v>594</v>
      </c>
      <c r="AA45" s="2" t="s">
        <v>39</v>
      </c>
      <c r="AB45" s="2" t="s">
        <v>414</v>
      </c>
    </row>
    <row r="46" spans="1:28" hidden="1" x14ac:dyDescent="0.2">
      <c r="A46" s="2" t="s">
        <v>427</v>
      </c>
      <c r="B46" s="3">
        <v>44042</v>
      </c>
      <c r="C46" s="2" t="s">
        <v>583</v>
      </c>
      <c r="D46" s="2" t="s">
        <v>28</v>
      </c>
      <c r="E46" s="2" t="s">
        <v>29</v>
      </c>
      <c r="F46" s="2" t="s">
        <v>397</v>
      </c>
      <c r="G46" s="2" t="s">
        <v>584</v>
      </c>
      <c r="H46" s="2" t="s">
        <v>585</v>
      </c>
      <c r="I46" s="2" t="s">
        <v>77</v>
      </c>
      <c r="J46" s="2" t="s">
        <v>32</v>
      </c>
      <c r="K46" s="2" t="s">
        <v>240</v>
      </c>
      <c r="L46" s="2" t="s">
        <v>586</v>
      </c>
      <c r="M46" s="3">
        <v>44048</v>
      </c>
      <c r="N46" s="3">
        <v>44078</v>
      </c>
      <c r="O46" s="4">
        <v>499.36500000000001</v>
      </c>
      <c r="P46" s="2" t="s">
        <v>48</v>
      </c>
      <c r="Q46" s="2" t="s">
        <v>405</v>
      </c>
      <c r="R46" s="2" t="s">
        <v>406</v>
      </c>
      <c r="S46" s="2" t="s">
        <v>428</v>
      </c>
      <c r="T46" s="2" t="s">
        <v>36</v>
      </c>
      <c r="U46" s="2" t="s">
        <v>37</v>
      </c>
      <c r="V46" s="2" t="s">
        <v>38</v>
      </c>
      <c r="W46" s="2" t="s">
        <v>587</v>
      </c>
      <c r="X46" s="2" t="s">
        <v>412</v>
      </c>
      <c r="Y46" s="2" t="s">
        <v>429</v>
      </c>
      <c r="Z46" s="2" t="s">
        <v>412</v>
      </c>
      <c r="AA46" s="2" t="s">
        <v>39</v>
      </c>
      <c r="AB46" s="2" t="s">
        <v>414</v>
      </c>
    </row>
    <row r="47" spans="1:28" hidden="1" x14ac:dyDescent="0.2">
      <c r="A47" s="2" t="s">
        <v>427</v>
      </c>
      <c r="B47" s="3">
        <v>44042</v>
      </c>
      <c r="C47" s="2" t="s">
        <v>583</v>
      </c>
      <c r="D47" s="2" t="s">
        <v>28</v>
      </c>
      <c r="E47" s="2" t="s">
        <v>29</v>
      </c>
      <c r="F47" s="2" t="s">
        <v>397</v>
      </c>
      <c r="G47" s="2" t="s">
        <v>588</v>
      </c>
      <c r="H47" s="2" t="s">
        <v>589</v>
      </c>
      <c r="I47" s="2" t="s">
        <v>77</v>
      </c>
      <c r="J47" s="2" t="s">
        <v>32</v>
      </c>
      <c r="K47" s="2" t="s">
        <v>240</v>
      </c>
      <c r="L47" s="2" t="s">
        <v>586</v>
      </c>
      <c r="M47" s="3">
        <v>44048</v>
      </c>
      <c r="N47" s="3">
        <v>44078</v>
      </c>
      <c r="O47" s="4">
        <v>497.935</v>
      </c>
      <c r="P47" s="2" t="s">
        <v>48</v>
      </c>
      <c r="Q47" s="2" t="s">
        <v>405</v>
      </c>
      <c r="R47" s="2" t="s">
        <v>406</v>
      </c>
      <c r="S47" s="2" t="s">
        <v>428</v>
      </c>
      <c r="T47" s="2" t="s">
        <v>36</v>
      </c>
      <c r="U47" s="2" t="s">
        <v>37</v>
      </c>
      <c r="V47" s="2" t="s">
        <v>38</v>
      </c>
      <c r="W47" s="2" t="s">
        <v>590</v>
      </c>
      <c r="X47" s="2" t="s">
        <v>412</v>
      </c>
      <c r="Y47" s="2" t="s">
        <v>429</v>
      </c>
      <c r="Z47" s="2" t="s">
        <v>412</v>
      </c>
      <c r="AA47" s="2" t="s">
        <v>39</v>
      </c>
      <c r="AB47" s="2" t="s">
        <v>414</v>
      </c>
    </row>
    <row r="48" spans="1:28" hidden="1" x14ac:dyDescent="0.2">
      <c r="A48" s="2" t="s">
        <v>427</v>
      </c>
      <c r="B48" s="3">
        <v>44042</v>
      </c>
      <c r="C48" s="2" t="s">
        <v>803</v>
      </c>
      <c r="D48" s="2" t="s">
        <v>91</v>
      </c>
      <c r="E48" s="2" t="s">
        <v>728</v>
      </c>
      <c r="F48" s="2" t="s">
        <v>729</v>
      </c>
      <c r="G48" s="2" t="s">
        <v>804</v>
      </c>
      <c r="H48" s="2" t="s">
        <v>805</v>
      </c>
      <c r="I48" s="2" t="s">
        <v>730</v>
      </c>
      <c r="J48" s="2" t="s">
        <v>58</v>
      </c>
      <c r="K48" s="2" t="s">
        <v>739</v>
      </c>
      <c r="L48" s="2" t="s">
        <v>740</v>
      </c>
      <c r="M48" s="3">
        <v>44048</v>
      </c>
      <c r="N48" s="3">
        <v>44117</v>
      </c>
      <c r="O48" s="4">
        <v>103.37</v>
      </c>
      <c r="P48" s="2" t="s">
        <v>48</v>
      </c>
      <c r="Q48" s="2" t="s">
        <v>731</v>
      </c>
      <c r="R48" s="2" t="s">
        <v>732</v>
      </c>
      <c r="S48" s="2" t="s">
        <v>419</v>
      </c>
      <c r="T48" s="2" t="s">
        <v>72</v>
      </c>
      <c r="U48" s="2" t="s">
        <v>37</v>
      </c>
      <c r="V48" s="2" t="s">
        <v>65</v>
      </c>
      <c r="W48" s="2" t="s">
        <v>735</v>
      </c>
      <c r="X48" s="2" t="s">
        <v>412</v>
      </c>
      <c r="Y48" s="2" t="s">
        <v>454</v>
      </c>
      <c r="Z48" s="2" t="s">
        <v>53</v>
      </c>
      <c r="AA48" s="2" t="s">
        <v>733</v>
      </c>
      <c r="AB48" s="2" t="s">
        <v>414</v>
      </c>
    </row>
    <row r="49" spans="1:28" hidden="1" x14ac:dyDescent="0.2">
      <c r="A49" s="2" t="s">
        <v>427</v>
      </c>
      <c r="B49" s="3">
        <v>44042</v>
      </c>
      <c r="C49" s="2" t="s">
        <v>803</v>
      </c>
      <c r="D49" s="2" t="s">
        <v>91</v>
      </c>
      <c r="E49" s="2" t="s">
        <v>728</v>
      </c>
      <c r="F49" s="2" t="s">
        <v>729</v>
      </c>
      <c r="G49" s="2" t="s">
        <v>806</v>
      </c>
      <c r="H49" s="2" t="s">
        <v>807</v>
      </c>
      <c r="I49" s="2" t="s">
        <v>730</v>
      </c>
      <c r="J49" s="2" t="s">
        <v>58</v>
      </c>
      <c r="K49" s="2" t="s">
        <v>739</v>
      </c>
      <c r="L49" s="2" t="s">
        <v>740</v>
      </c>
      <c r="M49" s="3">
        <v>44048</v>
      </c>
      <c r="N49" s="3">
        <v>44117</v>
      </c>
      <c r="O49" s="4">
        <v>103.45</v>
      </c>
      <c r="P49" s="2" t="s">
        <v>48</v>
      </c>
      <c r="Q49" s="2" t="s">
        <v>731</v>
      </c>
      <c r="R49" s="2" t="s">
        <v>732</v>
      </c>
      <c r="S49" s="2" t="s">
        <v>419</v>
      </c>
      <c r="T49" s="2" t="s">
        <v>72</v>
      </c>
      <c r="U49" s="2" t="s">
        <v>37</v>
      </c>
      <c r="V49" s="2" t="s">
        <v>65</v>
      </c>
      <c r="W49" s="2" t="s">
        <v>736</v>
      </c>
      <c r="X49" s="2" t="s">
        <v>412</v>
      </c>
      <c r="Y49" s="2" t="s">
        <v>454</v>
      </c>
      <c r="Z49" s="2" t="s">
        <v>53</v>
      </c>
      <c r="AA49" s="2" t="s">
        <v>733</v>
      </c>
      <c r="AB49" s="2" t="s">
        <v>414</v>
      </c>
    </row>
    <row r="50" spans="1:28" hidden="1" x14ac:dyDescent="0.2">
      <c r="A50" s="2" t="s">
        <v>427</v>
      </c>
      <c r="B50" s="3">
        <v>44042</v>
      </c>
      <c r="C50" s="2" t="s">
        <v>803</v>
      </c>
      <c r="D50" s="2" t="s">
        <v>91</v>
      </c>
      <c r="E50" s="2" t="s">
        <v>728</v>
      </c>
      <c r="F50" s="2" t="s">
        <v>729</v>
      </c>
      <c r="G50" s="2" t="s">
        <v>808</v>
      </c>
      <c r="H50" s="2" t="s">
        <v>809</v>
      </c>
      <c r="I50" s="2" t="s">
        <v>730</v>
      </c>
      <c r="J50" s="2" t="s">
        <v>58</v>
      </c>
      <c r="K50" s="2" t="s">
        <v>739</v>
      </c>
      <c r="L50" s="2" t="s">
        <v>740</v>
      </c>
      <c r="M50" s="3">
        <v>44048</v>
      </c>
      <c r="N50" s="3">
        <v>44117</v>
      </c>
      <c r="O50" s="4">
        <v>103.402</v>
      </c>
      <c r="P50" s="2" t="s">
        <v>48</v>
      </c>
      <c r="Q50" s="2" t="s">
        <v>731</v>
      </c>
      <c r="R50" s="2" t="s">
        <v>732</v>
      </c>
      <c r="S50" s="2" t="s">
        <v>419</v>
      </c>
      <c r="T50" s="2" t="s">
        <v>72</v>
      </c>
      <c r="U50" s="2" t="s">
        <v>37</v>
      </c>
      <c r="V50" s="2" t="s">
        <v>65</v>
      </c>
      <c r="W50" s="2" t="s">
        <v>737</v>
      </c>
      <c r="X50" s="2" t="s">
        <v>412</v>
      </c>
      <c r="Y50" s="2" t="s">
        <v>454</v>
      </c>
      <c r="Z50" s="2" t="s">
        <v>53</v>
      </c>
      <c r="AA50" s="2" t="s">
        <v>733</v>
      </c>
      <c r="AB50" s="2" t="s">
        <v>414</v>
      </c>
    </row>
    <row r="51" spans="1:28" hidden="1" x14ac:dyDescent="0.2">
      <c r="A51" s="2" t="s">
        <v>427</v>
      </c>
      <c r="B51" s="3">
        <v>44042</v>
      </c>
      <c r="C51" s="2" t="s">
        <v>803</v>
      </c>
      <c r="D51" s="2" t="s">
        <v>91</v>
      </c>
      <c r="E51" s="2" t="s">
        <v>728</v>
      </c>
      <c r="F51" s="2" t="s">
        <v>729</v>
      </c>
      <c r="G51" s="2" t="s">
        <v>810</v>
      </c>
      <c r="H51" s="2" t="s">
        <v>811</v>
      </c>
      <c r="I51" s="2" t="s">
        <v>730</v>
      </c>
      <c r="J51" s="2" t="s">
        <v>58</v>
      </c>
      <c r="K51" s="2" t="s">
        <v>739</v>
      </c>
      <c r="L51" s="2" t="s">
        <v>740</v>
      </c>
      <c r="M51" s="3">
        <v>44048</v>
      </c>
      <c r="N51" s="3">
        <v>44117</v>
      </c>
      <c r="O51" s="4">
        <v>103.44199999999999</v>
      </c>
      <c r="P51" s="2" t="s">
        <v>48</v>
      </c>
      <c r="Q51" s="2" t="s">
        <v>731</v>
      </c>
      <c r="R51" s="2" t="s">
        <v>732</v>
      </c>
      <c r="S51" s="2" t="s">
        <v>419</v>
      </c>
      <c r="T51" s="2" t="s">
        <v>72</v>
      </c>
      <c r="U51" s="2" t="s">
        <v>37</v>
      </c>
      <c r="V51" s="2" t="s">
        <v>65</v>
      </c>
      <c r="W51" s="2" t="s">
        <v>738</v>
      </c>
      <c r="X51" s="2" t="s">
        <v>412</v>
      </c>
      <c r="Y51" s="2" t="s">
        <v>454</v>
      </c>
      <c r="Z51" s="2" t="s">
        <v>53</v>
      </c>
      <c r="AA51" s="2" t="s">
        <v>733</v>
      </c>
      <c r="AB51" s="2" t="s">
        <v>414</v>
      </c>
    </row>
    <row r="52" spans="1:28" hidden="1" x14ac:dyDescent="0.2">
      <c r="A52" s="2" t="s">
        <v>427</v>
      </c>
      <c r="B52" s="3">
        <v>44042</v>
      </c>
      <c r="C52" s="2" t="s">
        <v>803</v>
      </c>
      <c r="D52" s="2" t="s">
        <v>91</v>
      </c>
      <c r="E52" s="2" t="s">
        <v>728</v>
      </c>
      <c r="F52" s="2" t="s">
        <v>729</v>
      </c>
      <c r="G52" s="2" t="s">
        <v>812</v>
      </c>
      <c r="H52" s="2" t="s">
        <v>813</v>
      </c>
      <c r="I52" s="2" t="s">
        <v>730</v>
      </c>
      <c r="J52" s="2" t="s">
        <v>58</v>
      </c>
      <c r="K52" s="2" t="s">
        <v>739</v>
      </c>
      <c r="L52" s="2" t="s">
        <v>740</v>
      </c>
      <c r="M52" s="3">
        <v>44048</v>
      </c>
      <c r="N52" s="3">
        <v>44117</v>
      </c>
      <c r="O52" s="4">
        <v>103.44199999999999</v>
      </c>
      <c r="P52" s="2" t="s">
        <v>48</v>
      </c>
      <c r="Q52" s="2" t="s">
        <v>731</v>
      </c>
      <c r="R52" s="2" t="s">
        <v>732</v>
      </c>
      <c r="S52" s="2" t="s">
        <v>419</v>
      </c>
      <c r="T52" s="2" t="s">
        <v>72</v>
      </c>
      <c r="U52" s="2" t="s">
        <v>37</v>
      </c>
      <c r="V52" s="2" t="s">
        <v>65</v>
      </c>
      <c r="W52" s="2" t="s">
        <v>741</v>
      </c>
      <c r="X52" s="2" t="s">
        <v>412</v>
      </c>
      <c r="Y52" s="2" t="s">
        <v>454</v>
      </c>
      <c r="Z52" s="2" t="s">
        <v>53</v>
      </c>
      <c r="AA52" s="2" t="s">
        <v>733</v>
      </c>
      <c r="AB52" s="2" t="s">
        <v>414</v>
      </c>
    </row>
    <row r="53" spans="1:28" hidden="1" x14ac:dyDescent="0.2">
      <c r="A53" s="2" t="s">
        <v>427</v>
      </c>
      <c r="B53" s="3">
        <v>44042</v>
      </c>
      <c r="C53" s="2" t="s">
        <v>803</v>
      </c>
      <c r="D53" s="2" t="s">
        <v>91</v>
      </c>
      <c r="E53" s="2" t="s">
        <v>728</v>
      </c>
      <c r="F53" s="2" t="s">
        <v>729</v>
      </c>
      <c r="G53" s="2" t="s">
        <v>814</v>
      </c>
      <c r="H53" s="2" t="s">
        <v>815</v>
      </c>
      <c r="I53" s="2" t="s">
        <v>730</v>
      </c>
      <c r="J53" s="2" t="s">
        <v>58</v>
      </c>
      <c r="K53" s="2" t="s">
        <v>739</v>
      </c>
      <c r="L53" s="2" t="s">
        <v>740</v>
      </c>
      <c r="M53" s="3">
        <v>44048</v>
      </c>
      <c r="N53" s="3">
        <v>44117</v>
      </c>
      <c r="O53" s="4">
        <v>103.446</v>
      </c>
      <c r="P53" s="2" t="s">
        <v>48</v>
      </c>
      <c r="Q53" s="2" t="s">
        <v>731</v>
      </c>
      <c r="R53" s="2" t="s">
        <v>732</v>
      </c>
      <c r="S53" s="2" t="s">
        <v>419</v>
      </c>
      <c r="T53" s="2" t="s">
        <v>72</v>
      </c>
      <c r="U53" s="2" t="s">
        <v>37</v>
      </c>
      <c r="V53" s="2" t="s">
        <v>65</v>
      </c>
      <c r="W53" s="2" t="s">
        <v>742</v>
      </c>
      <c r="X53" s="2" t="s">
        <v>412</v>
      </c>
      <c r="Y53" s="2" t="s">
        <v>454</v>
      </c>
      <c r="Z53" s="2" t="s">
        <v>53</v>
      </c>
      <c r="AA53" s="2" t="s">
        <v>733</v>
      </c>
      <c r="AB53" s="2" t="s">
        <v>414</v>
      </c>
    </row>
    <row r="54" spans="1:28" hidden="1" x14ac:dyDescent="0.2">
      <c r="A54" s="2" t="s">
        <v>410</v>
      </c>
      <c r="B54" s="3">
        <v>44073</v>
      </c>
      <c r="C54" s="2" t="s">
        <v>816</v>
      </c>
      <c r="D54" s="2" t="s">
        <v>28</v>
      </c>
      <c r="E54" s="2" t="s">
        <v>98</v>
      </c>
      <c r="F54" s="2" t="s">
        <v>205</v>
      </c>
      <c r="G54" s="2" t="s">
        <v>817</v>
      </c>
      <c r="H54" s="2" t="s">
        <v>818</v>
      </c>
      <c r="I54" s="2" t="s">
        <v>99</v>
      </c>
      <c r="J54" s="2" t="s">
        <v>32</v>
      </c>
      <c r="K54" s="2" t="s">
        <v>759</v>
      </c>
      <c r="L54" s="2" t="s">
        <v>760</v>
      </c>
      <c r="M54" s="3">
        <v>44052</v>
      </c>
      <c r="N54" s="3">
        <v>44071</v>
      </c>
      <c r="O54" s="4">
        <v>503.75299999999999</v>
      </c>
      <c r="P54" s="2" t="s">
        <v>492</v>
      </c>
      <c r="Q54" s="2" t="s">
        <v>34</v>
      </c>
      <c r="R54" s="2" t="s">
        <v>35</v>
      </c>
      <c r="S54" s="2" t="s">
        <v>443</v>
      </c>
      <c r="T54" s="2" t="s">
        <v>87</v>
      </c>
      <c r="U54" s="2" t="s">
        <v>37</v>
      </c>
      <c r="V54" s="2" t="s">
        <v>493</v>
      </c>
      <c r="W54" s="2" t="s">
        <v>819</v>
      </c>
      <c r="X54" s="2" t="s">
        <v>412</v>
      </c>
      <c r="Y54" s="2" t="s">
        <v>463</v>
      </c>
      <c r="Z54" s="2" t="s">
        <v>412</v>
      </c>
      <c r="AA54" s="2" t="s">
        <v>39</v>
      </c>
      <c r="AB54" s="2" t="s">
        <v>414</v>
      </c>
    </row>
    <row r="55" spans="1:28" hidden="1" x14ac:dyDescent="0.2">
      <c r="A55" s="2" t="s">
        <v>410</v>
      </c>
      <c r="B55" s="3">
        <v>44053</v>
      </c>
      <c r="C55" s="2" t="s">
        <v>816</v>
      </c>
      <c r="D55" s="2" t="s">
        <v>102</v>
      </c>
      <c r="E55" s="2" t="s">
        <v>191</v>
      </c>
      <c r="F55" s="2" t="s">
        <v>192</v>
      </c>
      <c r="G55" s="2" t="s">
        <v>820</v>
      </c>
      <c r="H55" s="2" t="s">
        <v>821</v>
      </c>
      <c r="I55" s="2" t="s">
        <v>382</v>
      </c>
      <c r="J55" s="2" t="s">
        <v>83</v>
      </c>
      <c r="K55" s="2" t="s">
        <v>759</v>
      </c>
      <c r="L55" s="2" t="s">
        <v>760</v>
      </c>
      <c r="M55" s="3">
        <v>44052</v>
      </c>
      <c r="N55" s="3">
        <v>44075</v>
      </c>
      <c r="O55" s="4">
        <v>54.511000000000003</v>
      </c>
      <c r="P55" s="2" t="s">
        <v>492</v>
      </c>
      <c r="Q55" s="2" t="s">
        <v>85</v>
      </c>
      <c r="R55" s="2" t="s">
        <v>194</v>
      </c>
      <c r="S55" s="2" t="s">
        <v>446</v>
      </c>
      <c r="T55" s="2" t="s">
        <v>87</v>
      </c>
      <c r="U55" s="2" t="s">
        <v>37</v>
      </c>
      <c r="V55" s="2" t="s">
        <v>493</v>
      </c>
      <c r="W55" s="2" t="s">
        <v>822</v>
      </c>
      <c r="X55" s="2" t="s">
        <v>412</v>
      </c>
      <c r="Y55" s="2" t="s">
        <v>823</v>
      </c>
      <c r="Z55" s="2" t="s">
        <v>412</v>
      </c>
      <c r="AA55" s="2" t="s">
        <v>39</v>
      </c>
      <c r="AB55" s="2" t="s">
        <v>414</v>
      </c>
    </row>
    <row r="56" spans="1:28" hidden="1" x14ac:dyDescent="0.2">
      <c r="A56" s="2" t="s">
        <v>410</v>
      </c>
      <c r="B56" s="3">
        <v>44053</v>
      </c>
      <c r="C56" s="2" t="s">
        <v>816</v>
      </c>
      <c r="D56" s="2" t="s">
        <v>102</v>
      </c>
      <c r="E56" s="2" t="s">
        <v>191</v>
      </c>
      <c r="F56" s="2" t="s">
        <v>192</v>
      </c>
      <c r="G56" s="2" t="s">
        <v>824</v>
      </c>
      <c r="H56" s="2" t="s">
        <v>825</v>
      </c>
      <c r="I56" s="2" t="s">
        <v>193</v>
      </c>
      <c r="J56" s="2" t="s">
        <v>83</v>
      </c>
      <c r="K56" s="2" t="s">
        <v>759</v>
      </c>
      <c r="L56" s="2" t="s">
        <v>760</v>
      </c>
      <c r="M56" s="3">
        <v>44052</v>
      </c>
      <c r="N56" s="3">
        <v>44075</v>
      </c>
      <c r="O56" s="4">
        <v>18.815000000000001</v>
      </c>
      <c r="P56" s="2" t="s">
        <v>492</v>
      </c>
      <c r="Q56" s="2" t="s">
        <v>85</v>
      </c>
      <c r="R56" s="2" t="s">
        <v>826</v>
      </c>
      <c r="S56" s="2" t="s">
        <v>450</v>
      </c>
      <c r="T56" s="2" t="s">
        <v>87</v>
      </c>
      <c r="U56" s="2" t="s">
        <v>37</v>
      </c>
      <c r="V56" s="2" t="s">
        <v>493</v>
      </c>
      <c r="W56" s="2" t="s">
        <v>822</v>
      </c>
      <c r="X56" s="2" t="s">
        <v>412</v>
      </c>
      <c r="Y56" s="2" t="s">
        <v>827</v>
      </c>
      <c r="Z56" s="2" t="s">
        <v>412</v>
      </c>
      <c r="AA56" s="2" t="s">
        <v>39</v>
      </c>
      <c r="AB56" s="2" t="s">
        <v>414</v>
      </c>
    </row>
    <row r="57" spans="1:28" hidden="1" x14ac:dyDescent="0.2">
      <c r="A57" s="2" t="s">
        <v>427</v>
      </c>
      <c r="B57" s="3">
        <v>44048</v>
      </c>
      <c r="C57" s="2" t="s">
        <v>828</v>
      </c>
      <c r="D57" s="2" t="s">
        <v>62</v>
      </c>
      <c r="E57" s="2" t="s">
        <v>212</v>
      </c>
      <c r="F57" s="2" t="s">
        <v>213</v>
      </c>
      <c r="G57" s="2" t="s">
        <v>829</v>
      </c>
      <c r="H57" s="2" t="s">
        <v>830</v>
      </c>
      <c r="I57" s="2" t="s">
        <v>77</v>
      </c>
      <c r="J57" s="2" t="s">
        <v>32</v>
      </c>
      <c r="K57" s="2" t="s">
        <v>388</v>
      </c>
      <c r="L57" s="2" t="s">
        <v>831</v>
      </c>
      <c r="M57" s="3">
        <v>44048</v>
      </c>
      <c r="N57" s="3">
        <v>44073</v>
      </c>
      <c r="O57" s="4">
        <v>494.41</v>
      </c>
      <c r="P57" s="2" t="s">
        <v>48</v>
      </c>
      <c r="Q57" s="2" t="s">
        <v>115</v>
      </c>
      <c r="R57" s="2" t="s">
        <v>116</v>
      </c>
      <c r="S57" s="2" t="s">
        <v>432</v>
      </c>
      <c r="T57" s="2" t="s">
        <v>140</v>
      </c>
      <c r="U57" s="2" t="s">
        <v>37</v>
      </c>
      <c r="V57" s="2" t="s">
        <v>43</v>
      </c>
      <c r="W57" s="2" t="s">
        <v>832</v>
      </c>
      <c r="X57" s="2" t="s">
        <v>412</v>
      </c>
      <c r="Y57" s="2" t="s">
        <v>478</v>
      </c>
      <c r="Z57" s="2" t="s">
        <v>833</v>
      </c>
      <c r="AA57" s="2" t="s">
        <v>39</v>
      </c>
      <c r="AB57" s="2" t="s">
        <v>414</v>
      </c>
    </row>
    <row r="58" spans="1:28" hidden="1" x14ac:dyDescent="0.2">
      <c r="A58" s="2" t="s">
        <v>427</v>
      </c>
      <c r="B58" s="3">
        <v>44024</v>
      </c>
      <c r="C58" s="2" t="s">
        <v>834</v>
      </c>
      <c r="D58" s="2" t="s">
        <v>62</v>
      </c>
      <c r="E58" s="2" t="s">
        <v>167</v>
      </c>
      <c r="F58" s="2" t="s">
        <v>168</v>
      </c>
      <c r="G58" s="2" t="s">
        <v>608</v>
      </c>
      <c r="H58" s="2" t="s">
        <v>609</v>
      </c>
      <c r="I58" s="2" t="s">
        <v>77</v>
      </c>
      <c r="J58" s="2" t="s">
        <v>32</v>
      </c>
      <c r="K58" s="2" t="s">
        <v>759</v>
      </c>
      <c r="L58" s="2" t="s">
        <v>760</v>
      </c>
      <c r="M58" s="3">
        <v>44049</v>
      </c>
      <c r="N58" s="3">
        <v>44074</v>
      </c>
      <c r="O58" s="4">
        <v>199.77500000000001</v>
      </c>
      <c r="P58" s="2" t="s">
        <v>48</v>
      </c>
      <c r="Q58" s="2" t="s">
        <v>166</v>
      </c>
      <c r="R58" s="2" t="s">
        <v>169</v>
      </c>
      <c r="S58" s="2" t="s">
        <v>420</v>
      </c>
      <c r="T58" s="2" t="s">
        <v>36</v>
      </c>
      <c r="U58" s="2" t="s">
        <v>37</v>
      </c>
      <c r="V58" s="2" t="s">
        <v>52</v>
      </c>
      <c r="W58" s="2" t="s">
        <v>610</v>
      </c>
      <c r="X58" s="2" t="s">
        <v>412</v>
      </c>
      <c r="Y58" s="2" t="s">
        <v>421</v>
      </c>
      <c r="Z58" s="2" t="s">
        <v>611</v>
      </c>
      <c r="AA58" s="2" t="s">
        <v>39</v>
      </c>
      <c r="AB58" s="2" t="s">
        <v>414</v>
      </c>
    </row>
    <row r="59" spans="1:28" hidden="1" x14ac:dyDescent="0.2">
      <c r="A59" s="2" t="s">
        <v>427</v>
      </c>
      <c r="B59" s="3">
        <v>44043</v>
      </c>
      <c r="C59" s="2" t="s">
        <v>834</v>
      </c>
      <c r="D59" s="2" t="s">
        <v>137</v>
      </c>
      <c r="E59" s="2" t="s">
        <v>392</v>
      </c>
      <c r="F59" s="2" t="s">
        <v>393</v>
      </c>
      <c r="G59" s="2" t="s">
        <v>719</v>
      </c>
      <c r="H59" s="2" t="s">
        <v>720</v>
      </c>
      <c r="I59" s="2" t="s">
        <v>394</v>
      </c>
      <c r="J59" s="2" t="s">
        <v>58</v>
      </c>
      <c r="K59" s="2" t="s">
        <v>759</v>
      </c>
      <c r="L59" s="2" t="s">
        <v>760</v>
      </c>
      <c r="M59" s="3">
        <v>44049</v>
      </c>
      <c r="N59" s="3">
        <v>44074</v>
      </c>
      <c r="O59" s="4">
        <v>146.59200000000001</v>
      </c>
      <c r="P59" s="2" t="s">
        <v>48</v>
      </c>
      <c r="Q59" s="2" t="s">
        <v>166</v>
      </c>
      <c r="R59" s="2" t="s">
        <v>395</v>
      </c>
      <c r="S59" s="2" t="s">
        <v>465</v>
      </c>
      <c r="T59" s="2" t="s">
        <v>36</v>
      </c>
      <c r="U59" s="2" t="s">
        <v>37</v>
      </c>
      <c r="V59" s="2" t="s">
        <v>52</v>
      </c>
      <c r="W59" s="2" t="s">
        <v>721</v>
      </c>
      <c r="X59" s="2" t="s">
        <v>412</v>
      </c>
      <c r="Y59" s="2" t="s">
        <v>471</v>
      </c>
      <c r="Z59" s="2" t="s">
        <v>722</v>
      </c>
      <c r="AA59" s="2" t="s">
        <v>39</v>
      </c>
      <c r="AB59" s="2" t="s">
        <v>414</v>
      </c>
    </row>
    <row r="60" spans="1:28" x14ac:dyDescent="0.2">
      <c r="A60" s="2" t="s">
        <v>427</v>
      </c>
      <c r="B60" s="3">
        <v>44042</v>
      </c>
      <c r="C60" s="2" t="s">
        <v>623</v>
      </c>
      <c r="D60" s="2" t="s">
        <v>137</v>
      </c>
      <c r="E60" s="2" t="s">
        <v>513</v>
      </c>
      <c r="F60" s="2" t="s">
        <v>514</v>
      </c>
      <c r="G60" s="2" t="s">
        <v>624</v>
      </c>
      <c r="H60" s="2" t="s">
        <v>625</v>
      </c>
      <c r="I60" s="2" t="s">
        <v>77</v>
      </c>
      <c r="J60" s="2" t="s">
        <v>32</v>
      </c>
      <c r="K60" s="2" t="s">
        <v>591</v>
      </c>
      <c r="L60" s="2" t="s">
        <v>356</v>
      </c>
      <c r="M60" s="3">
        <v>44049</v>
      </c>
      <c r="N60" s="3">
        <v>44068</v>
      </c>
      <c r="O60" s="4">
        <v>512.86</v>
      </c>
      <c r="P60" s="2" t="s">
        <v>48</v>
      </c>
      <c r="Q60" s="2" t="s">
        <v>516</v>
      </c>
      <c r="R60" s="2" t="s">
        <v>517</v>
      </c>
      <c r="S60" s="2" t="s">
        <v>477</v>
      </c>
      <c r="T60" s="2" t="s">
        <v>362</v>
      </c>
      <c r="U60" s="2" t="s">
        <v>37</v>
      </c>
      <c r="V60" s="2" t="s">
        <v>155</v>
      </c>
      <c r="W60" s="2" t="s">
        <v>626</v>
      </c>
      <c r="X60" s="2" t="s">
        <v>412</v>
      </c>
      <c r="Y60" s="2" t="s">
        <v>448</v>
      </c>
      <c r="Z60" s="2" t="s">
        <v>292</v>
      </c>
      <c r="AA60" s="2" t="s">
        <v>39</v>
      </c>
      <c r="AB60" s="2" t="s">
        <v>414</v>
      </c>
    </row>
    <row r="61" spans="1:28" hidden="1" x14ac:dyDescent="0.2">
      <c r="A61" s="2" t="s">
        <v>486</v>
      </c>
      <c r="B61" s="3">
        <v>44032</v>
      </c>
      <c r="C61" s="2" t="s">
        <v>623</v>
      </c>
      <c r="D61" s="2" t="s">
        <v>178</v>
      </c>
      <c r="E61" s="2" t="s">
        <v>186</v>
      </c>
      <c r="F61" s="2" t="s">
        <v>187</v>
      </c>
      <c r="G61" s="2" t="s">
        <v>627</v>
      </c>
      <c r="H61" s="2" t="s">
        <v>628</v>
      </c>
      <c r="I61" s="2" t="s">
        <v>389</v>
      </c>
      <c r="J61" s="2" t="s">
        <v>47</v>
      </c>
      <c r="K61" s="2" t="s">
        <v>591</v>
      </c>
      <c r="L61" s="2" t="s">
        <v>356</v>
      </c>
      <c r="M61" s="3">
        <v>44049</v>
      </c>
      <c r="N61" s="3">
        <v>44061</v>
      </c>
      <c r="O61" s="4">
        <v>173.89099999999999</v>
      </c>
      <c r="P61" s="2" t="s">
        <v>48</v>
      </c>
      <c r="Q61" s="2" t="s">
        <v>182</v>
      </c>
      <c r="R61" s="2" t="s">
        <v>391</v>
      </c>
      <c r="S61" s="2" t="s">
        <v>466</v>
      </c>
      <c r="T61" s="2" t="s">
        <v>36</v>
      </c>
      <c r="U61" s="2" t="s">
        <v>37</v>
      </c>
      <c r="V61" s="2" t="s">
        <v>155</v>
      </c>
      <c r="W61" s="2" t="s">
        <v>629</v>
      </c>
      <c r="X61" s="2" t="s">
        <v>412</v>
      </c>
      <c r="Y61" s="2" t="s">
        <v>521</v>
      </c>
      <c r="Z61" s="2" t="s">
        <v>53</v>
      </c>
      <c r="AA61" s="2" t="s">
        <v>190</v>
      </c>
      <c r="AB61" s="2" t="s">
        <v>414</v>
      </c>
    </row>
    <row r="62" spans="1:28" hidden="1" x14ac:dyDescent="0.2">
      <c r="A62" s="2" t="s">
        <v>470</v>
      </c>
      <c r="B62" s="3">
        <v>44048</v>
      </c>
      <c r="C62" s="2" t="s">
        <v>835</v>
      </c>
      <c r="D62" s="2" t="s">
        <v>219</v>
      </c>
      <c r="E62" s="2" t="s">
        <v>220</v>
      </c>
      <c r="F62" s="2" t="s">
        <v>221</v>
      </c>
      <c r="G62" s="2" t="s">
        <v>836</v>
      </c>
      <c r="H62" s="2" t="s">
        <v>837</v>
      </c>
      <c r="I62" s="2" t="s">
        <v>222</v>
      </c>
      <c r="J62" s="2" t="s">
        <v>223</v>
      </c>
      <c r="K62" s="2" t="s">
        <v>734</v>
      </c>
      <c r="L62" s="2" t="s">
        <v>838</v>
      </c>
      <c r="M62" s="3">
        <v>44048</v>
      </c>
      <c r="N62" s="3">
        <v>44098</v>
      </c>
      <c r="O62" s="4">
        <v>128.55000000000001</v>
      </c>
      <c r="P62" s="2" t="s">
        <v>224</v>
      </c>
      <c r="Q62" s="2" t="s">
        <v>225</v>
      </c>
      <c r="R62" s="2" t="s">
        <v>226</v>
      </c>
      <c r="S62" s="2" t="s">
        <v>415</v>
      </c>
      <c r="T62" s="2" t="s">
        <v>87</v>
      </c>
      <c r="U62" s="2" t="s">
        <v>37</v>
      </c>
      <c r="V62" s="2" t="s">
        <v>88</v>
      </c>
      <c r="W62" s="2" t="s">
        <v>839</v>
      </c>
      <c r="X62" s="2" t="s">
        <v>412</v>
      </c>
      <c r="Y62" s="2" t="s">
        <v>840</v>
      </c>
      <c r="Z62" s="2" t="s">
        <v>412</v>
      </c>
      <c r="AA62" s="2" t="s">
        <v>227</v>
      </c>
      <c r="AB62" s="2" t="s">
        <v>414</v>
      </c>
    </row>
    <row r="63" spans="1:28" hidden="1" x14ac:dyDescent="0.2">
      <c r="A63" s="2" t="s">
        <v>470</v>
      </c>
      <c r="B63" s="3">
        <v>44073</v>
      </c>
      <c r="C63" s="2" t="s">
        <v>835</v>
      </c>
      <c r="D63" s="2" t="s">
        <v>91</v>
      </c>
      <c r="E63" s="2" t="s">
        <v>228</v>
      </c>
      <c r="F63" s="2" t="s">
        <v>229</v>
      </c>
      <c r="G63" s="2" t="s">
        <v>841</v>
      </c>
      <c r="H63" s="2" t="s">
        <v>842</v>
      </c>
      <c r="I63" s="2" t="s">
        <v>230</v>
      </c>
      <c r="J63" s="2" t="s">
        <v>223</v>
      </c>
      <c r="K63" s="2" t="s">
        <v>734</v>
      </c>
      <c r="L63" s="2" t="s">
        <v>838</v>
      </c>
      <c r="M63" s="3">
        <v>44048</v>
      </c>
      <c r="N63" s="3">
        <v>44082</v>
      </c>
      <c r="O63" s="4">
        <v>102.93</v>
      </c>
      <c r="P63" s="2" t="s">
        <v>224</v>
      </c>
      <c r="Q63" s="2" t="s">
        <v>231</v>
      </c>
      <c r="R63" s="2" t="s">
        <v>232</v>
      </c>
      <c r="S63" s="2" t="s">
        <v>419</v>
      </c>
      <c r="T63" s="2" t="s">
        <v>87</v>
      </c>
      <c r="U63" s="2" t="s">
        <v>37</v>
      </c>
      <c r="V63" s="2" t="s">
        <v>88</v>
      </c>
      <c r="W63" s="2" t="s">
        <v>843</v>
      </c>
      <c r="X63" s="2" t="s">
        <v>412</v>
      </c>
      <c r="Y63" s="2" t="s">
        <v>468</v>
      </c>
      <c r="Z63" s="2" t="s">
        <v>519</v>
      </c>
      <c r="AA63" s="2" t="s">
        <v>39</v>
      </c>
      <c r="AB63" s="2" t="s">
        <v>414</v>
      </c>
    </row>
    <row r="64" spans="1:28" hidden="1" x14ac:dyDescent="0.2">
      <c r="A64" s="2" t="s">
        <v>470</v>
      </c>
      <c r="B64" s="3">
        <v>44048</v>
      </c>
      <c r="C64" s="2" t="s">
        <v>835</v>
      </c>
      <c r="D64" s="2" t="s">
        <v>137</v>
      </c>
      <c r="E64" s="2" t="s">
        <v>138</v>
      </c>
      <c r="F64" s="2" t="s">
        <v>139</v>
      </c>
      <c r="G64" s="2" t="s">
        <v>844</v>
      </c>
      <c r="H64" s="2" t="s">
        <v>845</v>
      </c>
      <c r="I64" s="2" t="s">
        <v>846</v>
      </c>
      <c r="J64" s="2" t="s">
        <v>32</v>
      </c>
      <c r="K64" s="2" t="s">
        <v>734</v>
      </c>
      <c r="L64" s="2" t="s">
        <v>838</v>
      </c>
      <c r="M64" s="3">
        <v>44048</v>
      </c>
      <c r="N64" s="3">
        <v>44079</v>
      </c>
      <c r="O64" s="4">
        <v>488.863</v>
      </c>
      <c r="P64" s="2" t="s">
        <v>224</v>
      </c>
      <c r="Q64" s="2" t="s">
        <v>34</v>
      </c>
      <c r="R64" s="2" t="s">
        <v>35</v>
      </c>
      <c r="S64" s="2" t="s">
        <v>432</v>
      </c>
      <c r="T64" s="2" t="s">
        <v>87</v>
      </c>
      <c r="U64" s="2" t="s">
        <v>37</v>
      </c>
      <c r="V64" s="2" t="s">
        <v>88</v>
      </c>
      <c r="W64" s="2" t="s">
        <v>847</v>
      </c>
      <c r="X64" s="2" t="s">
        <v>412</v>
      </c>
      <c r="Y64" s="2" t="s">
        <v>478</v>
      </c>
      <c r="Z64" s="2" t="s">
        <v>412</v>
      </c>
      <c r="AA64" s="2" t="s">
        <v>39</v>
      </c>
      <c r="AB64" s="2" t="s">
        <v>414</v>
      </c>
    </row>
    <row r="65" spans="1:28" hidden="1" x14ac:dyDescent="0.2">
      <c r="A65" s="2" t="s">
        <v>470</v>
      </c>
      <c r="B65" s="3">
        <v>44053</v>
      </c>
      <c r="C65" s="2" t="s">
        <v>835</v>
      </c>
      <c r="D65" s="2" t="s">
        <v>137</v>
      </c>
      <c r="E65" s="2" t="s">
        <v>138</v>
      </c>
      <c r="F65" s="2" t="s">
        <v>139</v>
      </c>
      <c r="G65" s="2" t="s">
        <v>848</v>
      </c>
      <c r="H65" s="2" t="s">
        <v>849</v>
      </c>
      <c r="I65" s="2" t="s">
        <v>846</v>
      </c>
      <c r="J65" s="2" t="s">
        <v>32</v>
      </c>
      <c r="K65" s="2" t="s">
        <v>734</v>
      </c>
      <c r="L65" s="2" t="s">
        <v>838</v>
      </c>
      <c r="M65" s="3">
        <v>44048</v>
      </c>
      <c r="N65" s="3">
        <v>44079</v>
      </c>
      <c r="O65" s="4">
        <v>508.589</v>
      </c>
      <c r="P65" s="2" t="s">
        <v>224</v>
      </c>
      <c r="Q65" s="2" t="s">
        <v>34</v>
      </c>
      <c r="R65" s="2" t="s">
        <v>35</v>
      </c>
      <c r="S65" s="2" t="s">
        <v>447</v>
      </c>
      <c r="T65" s="2" t="s">
        <v>87</v>
      </c>
      <c r="U65" s="2" t="s">
        <v>37</v>
      </c>
      <c r="V65" s="2" t="s">
        <v>88</v>
      </c>
      <c r="W65" s="2" t="s">
        <v>850</v>
      </c>
      <c r="X65" s="2" t="s">
        <v>412</v>
      </c>
      <c r="Y65" s="2" t="s">
        <v>448</v>
      </c>
      <c r="Z65" s="2" t="s">
        <v>412</v>
      </c>
      <c r="AA65" s="2" t="s">
        <v>39</v>
      </c>
      <c r="AB65" s="2" t="s">
        <v>414</v>
      </c>
    </row>
    <row r="66" spans="1:28" hidden="1" x14ac:dyDescent="0.2">
      <c r="A66" s="2" t="s">
        <v>410</v>
      </c>
      <c r="B66" s="3">
        <v>44042</v>
      </c>
      <c r="C66" s="2" t="s">
        <v>851</v>
      </c>
      <c r="D66" s="2" t="s">
        <v>28</v>
      </c>
      <c r="E66" s="2" t="s">
        <v>29</v>
      </c>
      <c r="F66" s="2" t="s">
        <v>397</v>
      </c>
      <c r="G66" s="2" t="s">
        <v>715</v>
      </c>
      <c r="H66" s="2" t="s">
        <v>716</v>
      </c>
      <c r="I66" s="2" t="s">
        <v>89</v>
      </c>
      <c r="J66" s="2" t="s">
        <v>90</v>
      </c>
      <c r="K66" s="2" t="s">
        <v>487</v>
      </c>
      <c r="L66" s="2" t="s">
        <v>751</v>
      </c>
      <c r="M66" s="3">
        <v>44048</v>
      </c>
      <c r="N66" s="3">
        <v>44079</v>
      </c>
      <c r="O66" s="4">
        <v>494.30099999999999</v>
      </c>
      <c r="P66" s="2" t="s">
        <v>84</v>
      </c>
      <c r="Q66" s="2" t="s">
        <v>405</v>
      </c>
      <c r="R66" s="2" t="s">
        <v>717</v>
      </c>
      <c r="S66" s="2" t="s">
        <v>428</v>
      </c>
      <c r="T66" s="2" t="s">
        <v>87</v>
      </c>
      <c r="U66" s="2" t="s">
        <v>37</v>
      </c>
      <c r="V66" s="2" t="s">
        <v>88</v>
      </c>
      <c r="W66" s="2" t="s">
        <v>718</v>
      </c>
      <c r="X66" s="2" t="s">
        <v>412</v>
      </c>
      <c r="Y66" s="2" t="s">
        <v>852</v>
      </c>
      <c r="Z66" s="2" t="s">
        <v>412</v>
      </c>
      <c r="AA66" s="2" t="s">
        <v>39</v>
      </c>
      <c r="AB66" s="2" t="s">
        <v>414</v>
      </c>
    </row>
    <row r="67" spans="1:28" hidden="1" x14ac:dyDescent="0.2">
      <c r="A67" s="2" t="s">
        <v>410</v>
      </c>
      <c r="B67" s="3">
        <v>44079</v>
      </c>
      <c r="C67" s="2" t="s">
        <v>851</v>
      </c>
      <c r="D67" s="2" t="s">
        <v>152</v>
      </c>
      <c r="E67" s="2" t="s">
        <v>138</v>
      </c>
      <c r="F67" s="2" t="s">
        <v>265</v>
      </c>
      <c r="G67" s="2" t="s">
        <v>853</v>
      </c>
      <c r="H67" s="2" t="s">
        <v>854</v>
      </c>
      <c r="I67" s="2" t="s">
        <v>385</v>
      </c>
      <c r="J67" s="2" t="s">
        <v>47</v>
      </c>
      <c r="K67" s="2" t="s">
        <v>487</v>
      </c>
      <c r="L67" s="2" t="s">
        <v>751</v>
      </c>
      <c r="M67" s="3">
        <v>44048</v>
      </c>
      <c r="N67" s="3">
        <v>44078</v>
      </c>
      <c r="O67" s="4">
        <v>105.75</v>
      </c>
      <c r="P67" s="2" t="s">
        <v>84</v>
      </c>
      <c r="Q67" s="2" t="s">
        <v>34</v>
      </c>
      <c r="R67" s="2" t="s">
        <v>266</v>
      </c>
      <c r="S67" s="2" t="s">
        <v>415</v>
      </c>
      <c r="T67" s="2" t="s">
        <v>87</v>
      </c>
      <c r="U67" s="2" t="s">
        <v>37</v>
      </c>
      <c r="V67" s="2" t="s">
        <v>88</v>
      </c>
      <c r="W67" s="2" t="s">
        <v>855</v>
      </c>
      <c r="X67" s="2" t="s">
        <v>412</v>
      </c>
      <c r="Y67" s="2" t="s">
        <v>416</v>
      </c>
      <c r="Z67" s="2" t="s">
        <v>856</v>
      </c>
      <c r="AA67" s="2" t="s">
        <v>39</v>
      </c>
      <c r="AB67" s="2" t="s">
        <v>414</v>
      </c>
    </row>
    <row r="68" spans="1:28" hidden="1" x14ac:dyDescent="0.2">
      <c r="A68" s="2" t="s">
        <v>410</v>
      </c>
      <c r="B68" s="3">
        <v>44079</v>
      </c>
      <c r="C68" s="2" t="s">
        <v>851</v>
      </c>
      <c r="D68" s="2" t="s">
        <v>152</v>
      </c>
      <c r="E68" s="2" t="s">
        <v>138</v>
      </c>
      <c r="F68" s="2" t="s">
        <v>265</v>
      </c>
      <c r="G68" s="2" t="s">
        <v>857</v>
      </c>
      <c r="H68" s="2" t="s">
        <v>858</v>
      </c>
      <c r="I68" s="2" t="s">
        <v>386</v>
      </c>
      <c r="J68" s="2" t="s">
        <v>47</v>
      </c>
      <c r="K68" s="2" t="s">
        <v>487</v>
      </c>
      <c r="L68" s="2" t="s">
        <v>751</v>
      </c>
      <c r="M68" s="3">
        <v>44048</v>
      </c>
      <c r="N68" s="3">
        <v>44078</v>
      </c>
      <c r="O68" s="4">
        <v>91.287999999999997</v>
      </c>
      <c r="P68" s="2" t="s">
        <v>84</v>
      </c>
      <c r="Q68" s="2" t="s">
        <v>34</v>
      </c>
      <c r="R68" s="2" t="s">
        <v>266</v>
      </c>
      <c r="S68" s="2" t="s">
        <v>419</v>
      </c>
      <c r="T68" s="2" t="s">
        <v>87</v>
      </c>
      <c r="U68" s="2" t="s">
        <v>37</v>
      </c>
      <c r="V68" s="2" t="s">
        <v>88</v>
      </c>
      <c r="W68" s="2" t="s">
        <v>859</v>
      </c>
      <c r="X68" s="2" t="s">
        <v>412</v>
      </c>
      <c r="Y68" s="2" t="s">
        <v>420</v>
      </c>
      <c r="Z68" s="2" t="s">
        <v>856</v>
      </c>
      <c r="AA68" s="2" t="s">
        <v>39</v>
      </c>
      <c r="AB68" s="2" t="s">
        <v>414</v>
      </c>
    </row>
    <row r="69" spans="1:28" hidden="1" x14ac:dyDescent="0.2">
      <c r="A69" s="2" t="s">
        <v>410</v>
      </c>
      <c r="B69" s="3">
        <v>44073</v>
      </c>
      <c r="C69" s="2" t="s">
        <v>851</v>
      </c>
      <c r="D69" s="2" t="s">
        <v>152</v>
      </c>
      <c r="E69" s="2" t="s">
        <v>534</v>
      </c>
      <c r="F69" s="2" t="s">
        <v>265</v>
      </c>
      <c r="G69" s="2" t="s">
        <v>860</v>
      </c>
      <c r="H69" s="2" t="s">
        <v>861</v>
      </c>
      <c r="I69" s="2" t="s">
        <v>862</v>
      </c>
      <c r="J69" s="2" t="s">
        <v>47</v>
      </c>
      <c r="K69" s="2" t="s">
        <v>487</v>
      </c>
      <c r="L69" s="2" t="s">
        <v>751</v>
      </c>
      <c r="M69" s="3">
        <v>44048</v>
      </c>
      <c r="N69" s="3">
        <v>44078</v>
      </c>
      <c r="O69" s="4">
        <v>13.411</v>
      </c>
      <c r="P69" s="2" t="s">
        <v>84</v>
      </c>
      <c r="Q69" s="2" t="s">
        <v>34</v>
      </c>
      <c r="R69" s="2" t="s">
        <v>536</v>
      </c>
      <c r="S69" s="2" t="s">
        <v>450</v>
      </c>
      <c r="T69" s="2" t="s">
        <v>87</v>
      </c>
      <c r="U69" s="2" t="s">
        <v>37</v>
      </c>
      <c r="V69" s="2" t="s">
        <v>88</v>
      </c>
      <c r="W69" s="2" t="s">
        <v>863</v>
      </c>
      <c r="X69" s="2" t="s">
        <v>412</v>
      </c>
      <c r="Y69" s="2" t="s">
        <v>450</v>
      </c>
      <c r="Z69" s="2" t="s">
        <v>412</v>
      </c>
      <c r="AA69" s="2" t="s">
        <v>39</v>
      </c>
      <c r="AB69" s="2" t="s">
        <v>414</v>
      </c>
    </row>
    <row r="70" spans="1:28" hidden="1" x14ac:dyDescent="0.2">
      <c r="A70" s="2" t="s">
        <v>410</v>
      </c>
      <c r="B70" s="3">
        <v>44048</v>
      </c>
      <c r="C70" s="2" t="s">
        <v>851</v>
      </c>
      <c r="D70" s="2" t="s">
        <v>152</v>
      </c>
      <c r="E70" s="2" t="s">
        <v>534</v>
      </c>
      <c r="F70" s="2" t="s">
        <v>265</v>
      </c>
      <c r="G70" s="2" t="s">
        <v>864</v>
      </c>
      <c r="H70" s="2" t="s">
        <v>865</v>
      </c>
      <c r="I70" s="2" t="s">
        <v>866</v>
      </c>
      <c r="J70" s="2" t="s">
        <v>47</v>
      </c>
      <c r="K70" s="2" t="s">
        <v>487</v>
      </c>
      <c r="L70" s="2" t="s">
        <v>751</v>
      </c>
      <c r="M70" s="3">
        <v>44048</v>
      </c>
      <c r="N70" s="3">
        <v>44078</v>
      </c>
      <c r="O70" s="4">
        <v>87.581999999999994</v>
      </c>
      <c r="P70" s="2" t="s">
        <v>84</v>
      </c>
      <c r="Q70" s="2" t="s">
        <v>34</v>
      </c>
      <c r="R70" s="2" t="s">
        <v>536</v>
      </c>
      <c r="S70" s="2" t="s">
        <v>466</v>
      </c>
      <c r="T70" s="2" t="s">
        <v>87</v>
      </c>
      <c r="U70" s="2" t="s">
        <v>37</v>
      </c>
      <c r="V70" s="2" t="s">
        <v>88</v>
      </c>
      <c r="W70" s="2" t="s">
        <v>867</v>
      </c>
      <c r="X70" s="2" t="s">
        <v>412</v>
      </c>
      <c r="Y70" s="2" t="s">
        <v>466</v>
      </c>
      <c r="Z70" s="2" t="s">
        <v>412</v>
      </c>
      <c r="AA70" s="2" t="s">
        <v>39</v>
      </c>
      <c r="AB70" s="2" t="s">
        <v>414</v>
      </c>
    </row>
    <row r="71" spans="1:28" hidden="1" x14ac:dyDescent="0.2">
      <c r="A71" s="2" t="s">
        <v>410</v>
      </c>
      <c r="B71" s="3">
        <v>44048</v>
      </c>
      <c r="C71" s="2" t="s">
        <v>851</v>
      </c>
      <c r="D71" s="2" t="s">
        <v>152</v>
      </c>
      <c r="E71" s="2" t="s">
        <v>534</v>
      </c>
      <c r="F71" s="2" t="s">
        <v>265</v>
      </c>
      <c r="G71" s="2" t="s">
        <v>868</v>
      </c>
      <c r="H71" s="2" t="s">
        <v>869</v>
      </c>
      <c r="I71" s="2" t="s">
        <v>387</v>
      </c>
      <c r="J71" s="2" t="s">
        <v>47</v>
      </c>
      <c r="K71" s="2" t="s">
        <v>487</v>
      </c>
      <c r="L71" s="2" t="s">
        <v>751</v>
      </c>
      <c r="M71" s="3">
        <v>44048</v>
      </c>
      <c r="N71" s="3">
        <v>44078</v>
      </c>
      <c r="O71" s="4">
        <v>75.378</v>
      </c>
      <c r="P71" s="2" t="s">
        <v>84</v>
      </c>
      <c r="Q71" s="2" t="s">
        <v>34</v>
      </c>
      <c r="R71" s="2" t="s">
        <v>536</v>
      </c>
      <c r="S71" s="2" t="s">
        <v>466</v>
      </c>
      <c r="T71" s="2" t="s">
        <v>87</v>
      </c>
      <c r="U71" s="2" t="s">
        <v>37</v>
      </c>
      <c r="V71" s="2" t="s">
        <v>88</v>
      </c>
      <c r="W71" s="2" t="s">
        <v>870</v>
      </c>
      <c r="X71" s="2" t="s">
        <v>412</v>
      </c>
      <c r="Y71" s="2" t="s">
        <v>466</v>
      </c>
      <c r="Z71" s="2" t="s">
        <v>412</v>
      </c>
      <c r="AA71" s="2" t="s">
        <v>39</v>
      </c>
      <c r="AB71" s="2" t="s">
        <v>414</v>
      </c>
    </row>
    <row r="72" spans="1:28" hidden="1" x14ac:dyDescent="0.2">
      <c r="A72" s="2" t="s">
        <v>410</v>
      </c>
      <c r="B72" s="3">
        <v>44048</v>
      </c>
      <c r="C72" s="2" t="s">
        <v>851</v>
      </c>
      <c r="D72" s="2" t="s">
        <v>152</v>
      </c>
      <c r="E72" s="2" t="s">
        <v>534</v>
      </c>
      <c r="F72" s="2" t="s">
        <v>265</v>
      </c>
      <c r="G72" s="2" t="s">
        <v>871</v>
      </c>
      <c r="H72" s="2" t="s">
        <v>872</v>
      </c>
      <c r="I72" s="2" t="s">
        <v>873</v>
      </c>
      <c r="J72" s="2" t="s">
        <v>47</v>
      </c>
      <c r="K72" s="2" t="s">
        <v>487</v>
      </c>
      <c r="L72" s="2" t="s">
        <v>751</v>
      </c>
      <c r="M72" s="3">
        <v>44048</v>
      </c>
      <c r="N72" s="3">
        <v>44078</v>
      </c>
      <c r="O72" s="4">
        <v>48.624000000000002</v>
      </c>
      <c r="P72" s="2" t="s">
        <v>84</v>
      </c>
      <c r="Q72" s="2" t="s">
        <v>34</v>
      </c>
      <c r="R72" s="2" t="s">
        <v>536</v>
      </c>
      <c r="S72" s="2" t="s">
        <v>449</v>
      </c>
      <c r="T72" s="2" t="s">
        <v>87</v>
      </c>
      <c r="U72" s="2" t="s">
        <v>37</v>
      </c>
      <c r="V72" s="2" t="s">
        <v>88</v>
      </c>
      <c r="W72" s="2" t="s">
        <v>874</v>
      </c>
      <c r="X72" s="2" t="s">
        <v>412</v>
      </c>
      <c r="Y72" s="2" t="s">
        <v>419</v>
      </c>
      <c r="Z72" s="2" t="s">
        <v>412</v>
      </c>
      <c r="AA72" s="2" t="s">
        <v>39</v>
      </c>
      <c r="AB72" s="2" t="s">
        <v>414</v>
      </c>
    </row>
    <row r="73" spans="1:28" hidden="1" x14ac:dyDescent="0.2">
      <c r="A73" s="2" t="s">
        <v>410</v>
      </c>
      <c r="B73" s="3">
        <v>44073</v>
      </c>
      <c r="C73" s="2" t="s">
        <v>875</v>
      </c>
      <c r="D73" s="2" t="s">
        <v>152</v>
      </c>
      <c r="E73" s="2" t="s">
        <v>523</v>
      </c>
      <c r="F73" s="2" t="s">
        <v>524</v>
      </c>
      <c r="G73" s="2" t="s">
        <v>876</v>
      </c>
      <c r="H73" s="2" t="s">
        <v>877</v>
      </c>
      <c r="I73" s="2" t="s">
        <v>202</v>
      </c>
      <c r="J73" s="2" t="s">
        <v>95</v>
      </c>
      <c r="K73" s="2" t="s">
        <v>754</v>
      </c>
      <c r="L73" s="2" t="s">
        <v>755</v>
      </c>
      <c r="M73" s="3">
        <v>44053</v>
      </c>
      <c r="N73" s="3">
        <v>44064</v>
      </c>
      <c r="O73" s="4">
        <v>262.77300000000002</v>
      </c>
      <c r="P73" s="2" t="s">
        <v>492</v>
      </c>
      <c r="Q73" s="2" t="s">
        <v>105</v>
      </c>
      <c r="R73" s="2" t="s">
        <v>525</v>
      </c>
      <c r="S73" s="2" t="s">
        <v>456</v>
      </c>
      <c r="T73" s="2" t="s">
        <v>87</v>
      </c>
      <c r="U73" s="2" t="s">
        <v>37</v>
      </c>
      <c r="V73" s="2" t="s">
        <v>43</v>
      </c>
      <c r="W73" s="2" t="s">
        <v>878</v>
      </c>
      <c r="X73" s="2" t="s">
        <v>412</v>
      </c>
      <c r="Y73" s="2" t="s">
        <v>510</v>
      </c>
      <c r="Z73" s="2" t="s">
        <v>412</v>
      </c>
      <c r="AA73" s="2" t="s">
        <v>39</v>
      </c>
      <c r="AB73" s="2" t="s">
        <v>414</v>
      </c>
    </row>
    <row r="74" spans="1:28" hidden="1" x14ac:dyDescent="0.2">
      <c r="A74" s="2" t="s">
        <v>410</v>
      </c>
      <c r="B74" s="3">
        <v>44073</v>
      </c>
      <c r="C74" s="2" t="s">
        <v>875</v>
      </c>
      <c r="D74" s="2" t="s">
        <v>54</v>
      </c>
      <c r="E74" s="2" t="s">
        <v>879</v>
      </c>
      <c r="F74" s="2" t="s">
        <v>880</v>
      </c>
      <c r="G74" s="2" t="s">
        <v>881</v>
      </c>
      <c r="H74" s="2" t="s">
        <v>882</v>
      </c>
      <c r="I74" s="2" t="s">
        <v>883</v>
      </c>
      <c r="J74" s="2" t="s">
        <v>83</v>
      </c>
      <c r="K74" s="2" t="s">
        <v>754</v>
      </c>
      <c r="L74" s="2" t="s">
        <v>755</v>
      </c>
      <c r="M74" s="3">
        <v>44053</v>
      </c>
      <c r="N74" s="3">
        <v>44064</v>
      </c>
      <c r="O74" s="4">
        <v>184.90799999999999</v>
      </c>
      <c r="P74" s="2" t="s">
        <v>492</v>
      </c>
      <c r="Q74" s="2" t="s">
        <v>105</v>
      </c>
      <c r="R74" s="2" t="s">
        <v>106</v>
      </c>
      <c r="S74" s="2" t="s">
        <v>420</v>
      </c>
      <c r="T74" s="2" t="s">
        <v>87</v>
      </c>
      <c r="U74" s="2" t="s">
        <v>37</v>
      </c>
      <c r="V74" s="2" t="s">
        <v>43</v>
      </c>
      <c r="W74" s="2" t="s">
        <v>884</v>
      </c>
      <c r="X74" s="2" t="s">
        <v>412</v>
      </c>
      <c r="Y74" s="2" t="s">
        <v>421</v>
      </c>
      <c r="Z74" s="2" t="s">
        <v>885</v>
      </c>
      <c r="AA74" s="2" t="s">
        <v>39</v>
      </c>
      <c r="AB74" s="2" t="s">
        <v>414</v>
      </c>
    </row>
    <row r="75" spans="1:28" hidden="1" x14ac:dyDescent="0.2">
      <c r="A75" s="2" t="s">
        <v>410</v>
      </c>
      <c r="B75" s="3">
        <v>44073</v>
      </c>
      <c r="C75" s="2" t="s">
        <v>875</v>
      </c>
      <c r="D75" s="2" t="s">
        <v>91</v>
      </c>
      <c r="E75" s="2" t="s">
        <v>197</v>
      </c>
      <c r="F75" s="2" t="s">
        <v>198</v>
      </c>
      <c r="G75" s="2" t="s">
        <v>886</v>
      </c>
      <c r="H75" s="2" t="s">
        <v>887</v>
      </c>
      <c r="I75" s="2" t="s">
        <v>94</v>
      </c>
      <c r="J75" s="2" t="s">
        <v>95</v>
      </c>
      <c r="K75" s="2" t="s">
        <v>754</v>
      </c>
      <c r="L75" s="2" t="s">
        <v>755</v>
      </c>
      <c r="M75" s="3">
        <v>44053</v>
      </c>
      <c r="N75" s="3">
        <v>44064</v>
      </c>
      <c r="O75" s="4">
        <v>95.682000000000002</v>
      </c>
      <c r="P75" s="2" t="s">
        <v>492</v>
      </c>
      <c r="Q75" s="2" t="s">
        <v>105</v>
      </c>
      <c r="R75" s="2" t="s">
        <v>199</v>
      </c>
      <c r="S75" s="2" t="s">
        <v>419</v>
      </c>
      <c r="T75" s="2" t="s">
        <v>87</v>
      </c>
      <c r="U75" s="2" t="s">
        <v>37</v>
      </c>
      <c r="V75" s="2" t="s">
        <v>43</v>
      </c>
      <c r="W75" s="2" t="s">
        <v>888</v>
      </c>
      <c r="X75" s="2" t="s">
        <v>412</v>
      </c>
      <c r="Y75" s="2" t="s">
        <v>461</v>
      </c>
      <c r="Z75" s="2" t="s">
        <v>539</v>
      </c>
      <c r="AA75" s="2" t="s">
        <v>39</v>
      </c>
      <c r="AB75" s="2" t="s">
        <v>414</v>
      </c>
    </row>
    <row r="76" spans="1:28" hidden="1" x14ac:dyDescent="0.2">
      <c r="A76" s="2" t="s">
        <v>431</v>
      </c>
      <c r="B76" s="3">
        <v>44053</v>
      </c>
      <c r="C76" s="2" t="s">
        <v>889</v>
      </c>
      <c r="D76" s="2" t="s">
        <v>28</v>
      </c>
      <c r="E76" s="2" t="s">
        <v>40</v>
      </c>
      <c r="F76" s="2" t="s">
        <v>41</v>
      </c>
      <c r="G76" s="2" t="s">
        <v>890</v>
      </c>
      <c r="H76" s="2" t="s">
        <v>891</v>
      </c>
      <c r="I76" s="2" t="s">
        <v>31</v>
      </c>
      <c r="J76" s="2" t="s">
        <v>32</v>
      </c>
      <c r="K76" s="2" t="s">
        <v>743</v>
      </c>
      <c r="L76" s="2" t="s">
        <v>744</v>
      </c>
      <c r="M76" s="3">
        <v>44049</v>
      </c>
      <c r="N76" s="3">
        <v>44060</v>
      </c>
      <c r="O76" s="4">
        <v>303.26600000000002</v>
      </c>
      <c r="P76" s="2" t="s">
        <v>33</v>
      </c>
      <c r="Q76" s="2" t="s">
        <v>34</v>
      </c>
      <c r="R76" s="2" t="s">
        <v>35</v>
      </c>
      <c r="S76" s="2" t="s">
        <v>417</v>
      </c>
      <c r="T76" s="2" t="s">
        <v>42</v>
      </c>
      <c r="U76" s="2" t="s">
        <v>37</v>
      </c>
      <c r="V76" s="2" t="s">
        <v>43</v>
      </c>
      <c r="W76" s="2" t="s">
        <v>892</v>
      </c>
      <c r="X76" s="2" t="s">
        <v>412</v>
      </c>
      <c r="Y76" s="2" t="s">
        <v>458</v>
      </c>
      <c r="Z76" s="2" t="s">
        <v>412</v>
      </c>
      <c r="AA76" s="2" t="s">
        <v>39</v>
      </c>
      <c r="AB76" s="2" t="s">
        <v>414</v>
      </c>
    </row>
    <row r="77" spans="1:28" hidden="1" x14ac:dyDescent="0.2">
      <c r="A77" s="2" t="s">
        <v>427</v>
      </c>
      <c r="B77" s="3">
        <v>44074</v>
      </c>
      <c r="C77" s="2" t="s">
        <v>893</v>
      </c>
      <c r="D77" s="2" t="s">
        <v>28</v>
      </c>
      <c r="E77" s="2" t="s">
        <v>253</v>
      </c>
      <c r="F77" s="2" t="s">
        <v>254</v>
      </c>
      <c r="G77" s="2" t="s">
        <v>894</v>
      </c>
      <c r="H77" s="2" t="s">
        <v>895</v>
      </c>
      <c r="I77" s="2" t="s">
        <v>255</v>
      </c>
      <c r="J77" s="2" t="s">
        <v>58</v>
      </c>
      <c r="K77" s="2" t="s">
        <v>489</v>
      </c>
      <c r="L77" s="2" t="s">
        <v>896</v>
      </c>
      <c r="M77" s="3">
        <v>44050</v>
      </c>
      <c r="N77" s="3">
        <v>44072</v>
      </c>
      <c r="O77" s="4">
        <v>92.53</v>
      </c>
      <c r="P77" s="2" t="s">
        <v>48</v>
      </c>
      <c r="Q77" s="2" t="s">
        <v>59</v>
      </c>
      <c r="R77" s="2" t="s">
        <v>60</v>
      </c>
      <c r="S77" s="2" t="s">
        <v>419</v>
      </c>
      <c r="T77" s="2" t="s">
        <v>61</v>
      </c>
      <c r="U77" s="2" t="s">
        <v>37</v>
      </c>
      <c r="V77" s="2" t="s">
        <v>52</v>
      </c>
      <c r="W77" s="2" t="s">
        <v>897</v>
      </c>
      <c r="X77" s="2" t="s">
        <v>412</v>
      </c>
      <c r="Y77" s="2" t="s">
        <v>433</v>
      </c>
      <c r="Z77" s="2" t="s">
        <v>898</v>
      </c>
      <c r="AA77" s="2" t="s">
        <v>175</v>
      </c>
      <c r="AB77" s="2" t="s">
        <v>414</v>
      </c>
    </row>
    <row r="78" spans="1:28" hidden="1" x14ac:dyDescent="0.2">
      <c r="A78" s="2" t="s">
        <v>427</v>
      </c>
      <c r="B78" s="3">
        <v>44074</v>
      </c>
      <c r="C78" s="2" t="s">
        <v>893</v>
      </c>
      <c r="D78" s="2" t="s">
        <v>28</v>
      </c>
      <c r="E78" s="2" t="s">
        <v>253</v>
      </c>
      <c r="F78" s="2" t="s">
        <v>254</v>
      </c>
      <c r="G78" s="2" t="s">
        <v>899</v>
      </c>
      <c r="H78" s="2" t="s">
        <v>900</v>
      </c>
      <c r="I78" s="2" t="s">
        <v>256</v>
      </c>
      <c r="J78" s="2" t="s">
        <v>58</v>
      </c>
      <c r="K78" s="2" t="s">
        <v>489</v>
      </c>
      <c r="L78" s="2" t="s">
        <v>896</v>
      </c>
      <c r="M78" s="3">
        <v>44050</v>
      </c>
      <c r="N78" s="3">
        <v>44072</v>
      </c>
      <c r="O78" s="4">
        <v>76.364000000000004</v>
      </c>
      <c r="P78" s="2" t="s">
        <v>48</v>
      </c>
      <c r="Q78" s="2" t="s">
        <v>59</v>
      </c>
      <c r="R78" s="2" t="s">
        <v>60</v>
      </c>
      <c r="S78" s="2" t="s">
        <v>446</v>
      </c>
      <c r="T78" s="2" t="s">
        <v>72</v>
      </c>
      <c r="U78" s="2" t="s">
        <v>37</v>
      </c>
      <c r="V78" s="2" t="s">
        <v>52</v>
      </c>
      <c r="W78" s="2" t="s">
        <v>901</v>
      </c>
      <c r="X78" s="2" t="s">
        <v>412</v>
      </c>
      <c r="Y78" s="2" t="s">
        <v>455</v>
      </c>
      <c r="Z78" s="2" t="s">
        <v>898</v>
      </c>
      <c r="AA78" s="2" t="s">
        <v>175</v>
      </c>
      <c r="AB78" s="2" t="s">
        <v>414</v>
      </c>
    </row>
    <row r="79" spans="1:28" hidden="1" x14ac:dyDescent="0.2">
      <c r="A79" s="2" t="s">
        <v>427</v>
      </c>
      <c r="B79" s="3">
        <v>44074</v>
      </c>
      <c r="C79" s="2" t="s">
        <v>893</v>
      </c>
      <c r="D79" s="2" t="s">
        <v>28</v>
      </c>
      <c r="E79" s="2" t="s">
        <v>253</v>
      </c>
      <c r="F79" s="2" t="s">
        <v>254</v>
      </c>
      <c r="G79" s="2" t="s">
        <v>902</v>
      </c>
      <c r="H79" s="2" t="s">
        <v>903</v>
      </c>
      <c r="I79" s="2" t="s">
        <v>396</v>
      </c>
      <c r="J79" s="2" t="s">
        <v>58</v>
      </c>
      <c r="K79" s="2" t="s">
        <v>489</v>
      </c>
      <c r="L79" s="2" t="s">
        <v>896</v>
      </c>
      <c r="M79" s="3">
        <v>44050</v>
      </c>
      <c r="N79" s="3">
        <v>44072</v>
      </c>
      <c r="O79" s="4">
        <v>44.436</v>
      </c>
      <c r="P79" s="2" t="s">
        <v>48</v>
      </c>
      <c r="Q79" s="2" t="s">
        <v>59</v>
      </c>
      <c r="R79" s="2" t="s">
        <v>60</v>
      </c>
      <c r="S79" s="2" t="s">
        <v>449</v>
      </c>
      <c r="T79" s="2" t="s">
        <v>61</v>
      </c>
      <c r="U79" s="2" t="s">
        <v>756</v>
      </c>
      <c r="V79" s="2" t="s">
        <v>52</v>
      </c>
      <c r="W79" s="2" t="s">
        <v>904</v>
      </c>
      <c r="X79" s="2" t="s">
        <v>412</v>
      </c>
      <c r="Y79" s="2" t="s">
        <v>459</v>
      </c>
      <c r="Z79" s="2" t="s">
        <v>898</v>
      </c>
      <c r="AA79" s="2" t="s">
        <v>175</v>
      </c>
      <c r="AB79" s="2" t="s">
        <v>414</v>
      </c>
    </row>
    <row r="80" spans="1:28" hidden="1" x14ac:dyDescent="0.2">
      <c r="A80" s="2" t="s">
        <v>431</v>
      </c>
      <c r="B80" s="3">
        <v>44048</v>
      </c>
      <c r="C80" s="2" t="s">
        <v>905</v>
      </c>
      <c r="D80" s="2" t="s">
        <v>137</v>
      </c>
      <c r="E80" s="2" t="s">
        <v>156</v>
      </c>
      <c r="F80" s="2" t="s">
        <v>157</v>
      </c>
      <c r="G80" s="2" t="s">
        <v>906</v>
      </c>
      <c r="H80" s="2" t="s">
        <v>907</v>
      </c>
      <c r="I80" s="2" t="s">
        <v>158</v>
      </c>
      <c r="J80" s="2" t="s">
        <v>58</v>
      </c>
      <c r="K80" s="2" t="s">
        <v>908</v>
      </c>
      <c r="L80" s="2" t="s">
        <v>572</v>
      </c>
      <c r="M80" s="3">
        <v>44050</v>
      </c>
      <c r="N80" s="3">
        <v>44067</v>
      </c>
      <c r="O80" s="4">
        <v>102.52</v>
      </c>
      <c r="P80" s="2" t="s">
        <v>33</v>
      </c>
      <c r="Q80" s="2" t="s">
        <v>159</v>
      </c>
      <c r="R80" s="2" t="s">
        <v>160</v>
      </c>
      <c r="S80" s="2" t="s">
        <v>419</v>
      </c>
      <c r="T80" s="2" t="s">
        <v>72</v>
      </c>
      <c r="U80" s="2" t="s">
        <v>290</v>
      </c>
      <c r="V80" s="2" t="s">
        <v>43</v>
      </c>
      <c r="W80" s="2" t="s">
        <v>909</v>
      </c>
      <c r="X80" s="2" t="s">
        <v>412</v>
      </c>
      <c r="Y80" s="2" t="s">
        <v>454</v>
      </c>
      <c r="Z80" s="2" t="s">
        <v>412</v>
      </c>
      <c r="AA80" s="2" t="s">
        <v>39</v>
      </c>
      <c r="AB80" s="2" t="s">
        <v>414</v>
      </c>
    </row>
    <row r="81" spans="1:28" hidden="1" x14ac:dyDescent="0.2">
      <c r="A81" s="2" t="s">
        <v>431</v>
      </c>
      <c r="B81" s="3">
        <v>44048</v>
      </c>
      <c r="C81" s="2" t="s">
        <v>905</v>
      </c>
      <c r="D81" s="2" t="s">
        <v>137</v>
      </c>
      <c r="E81" s="2" t="s">
        <v>156</v>
      </c>
      <c r="F81" s="2" t="s">
        <v>157</v>
      </c>
      <c r="G81" s="2" t="s">
        <v>910</v>
      </c>
      <c r="H81" s="2" t="s">
        <v>911</v>
      </c>
      <c r="I81" s="2" t="s">
        <v>161</v>
      </c>
      <c r="J81" s="2" t="s">
        <v>58</v>
      </c>
      <c r="K81" s="2" t="s">
        <v>908</v>
      </c>
      <c r="L81" s="2" t="s">
        <v>572</v>
      </c>
      <c r="M81" s="3">
        <v>44050</v>
      </c>
      <c r="N81" s="3">
        <v>44067</v>
      </c>
      <c r="O81" s="4">
        <v>102.48</v>
      </c>
      <c r="P81" s="2" t="s">
        <v>33</v>
      </c>
      <c r="Q81" s="2" t="s">
        <v>159</v>
      </c>
      <c r="R81" s="2" t="s">
        <v>160</v>
      </c>
      <c r="S81" s="2" t="s">
        <v>419</v>
      </c>
      <c r="T81" s="2" t="s">
        <v>72</v>
      </c>
      <c r="U81" s="2" t="s">
        <v>290</v>
      </c>
      <c r="V81" s="2" t="s">
        <v>43</v>
      </c>
      <c r="W81" s="2" t="s">
        <v>912</v>
      </c>
      <c r="X81" s="2" t="s">
        <v>412</v>
      </c>
      <c r="Y81" s="2" t="s">
        <v>433</v>
      </c>
      <c r="Z81" s="2" t="s">
        <v>412</v>
      </c>
      <c r="AA81" s="2" t="s">
        <v>39</v>
      </c>
      <c r="AB81" s="2" t="s">
        <v>414</v>
      </c>
    </row>
    <row r="82" spans="1:28" hidden="1" x14ac:dyDescent="0.2">
      <c r="A82" s="2" t="s">
        <v>410</v>
      </c>
      <c r="B82" s="3">
        <v>44048</v>
      </c>
      <c r="C82" s="2" t="s">
        <v>913</v>
      </c>
      <c r="D82" s="2" t="s">
        <v>62</v>
      </c>
      <c r="E82" s="2" t="s">
        <v>378</v>
      </c>
      <c r="F82" s="2" t="s">
        <v>379</v>
      </c>
      <c r="G82" s="2" t="s">
        <v>914</v>
      </c>
      <c r="H82" s="2" t="s">
        <v>915</v>
      </c>
      <c r="I82" s="2" t="s">
        <v>380</v>
      </c>
      <c r="J82" s="2" t="s">
        <v>83</v>
      </c>
      <c r="K82" s="2" t="s">
        <v>495</v>
      </c>
      <c r="L82" s="2" t="s">
        <v>753</v>
      </c>
      <c r="M82" s="3">
        <v>44055</v>
      </c>
      <c r="N82" s="3">
        <v>44076</v>
      </c>
      <c r="O82" s="4">
        <v>96.004999999999995</v>
      </c>
      <c r="P82" s="2" t="s">
        <v>492</v>
      </c>
      <c r="Q82" s="2" t="s">
        <v>206</v>
      </c>
      <c r="R82" s="2" t="s">
        <v>381</v>
      </c>
      <c r="S82" s="2" t="s">
        <v>415</v>
      </c>
      <c r="T82" s="2" t="s">
        <v>87</v>
      </c>
      <c r="U82" s="2" t="s">
        <v>37</v>
      </c>
      <c r="V82" s="2" t="s">
        <v>504</v>
      </c>
      <c r="W82" s="2" t="s">
        <v>916</v>
      </c>
      <c r="X82" s="2" t="s">
        <v>412</v>
      </c>
      <c r="Y82" s="2" t="s">
        <v>468</v>
      </c>
      <c r="Z82" s="2" t="s">
        <v>412</v>
      </c>
      <c r="AA82" s="2" t="s">
        <v>39</v>
      </c>
      <c r="AB82" s="2" t="s">
        <v>414</v>
      </c>
    </row>
    <row r="83" spans="1:28" hidden="1" x14ac:dyDescent="0.2">
      <c r="A83" s="2" t="s">
        <v>410</v>
      </c>
      <c r="B83" s="3">
        <v>44053</v>
      </c>
      <c r="C83" s="2" t="s">
        <v>917</v>
      </c>
      <c r="D83" s="2" t="s">
        <v>91</v>
      </c>
      <c r="E83" s="2" t="s">
        <v>214</v>
      </c>
      <c r="F83" s="2" t="s">
        <v>215</v>
      </c>
      <c r="G83" s="2" t="s">
        <v>918</v>
      </c>
      <c r="H83" s="2" t="s">
        <v>919</v>
      </c>
      <c r="I83" s="2" t="s">
        <v>216</v>
      </c>
      <c r="J83" s="2" t="s">
        <v>95</v>
      </c>
      <c r="K83" s="2" t="s">
        <v>920</v>
      </c>
      <c r="L83" s="2" t="s">
        <v>831</v>
      </c>
      <c r="M83" s="3">
        <v>44055</v>
      </c>
      <c r="N83" s="3">
        <v>44071</v>
      </c>
      <c r="O83" s="4">
        <v>158.62</v>
      </c>
      <c r="P83" s="2" t="s">
        <v>492</v>
      </c>
      <c r="Q83" s="2" t="s">
        <v>100</v>
      </c>
      <c r="R83" s="2" t="s">
        <v>101</v>
      </c>
      <c r="S83" s="2" t="s">
        <v>466</v>
      </c>
      <c r="T83" s="2" t="s">
        <v>87</v>
      </c>
      <c r="U83" s="2" t="s">
        <v>290</v>
      </c>
      <c r="V83" s="2" t="s">
        <v>504</v>
      </c>
      <c r="W83" s="2" t="s">
        <v>921</v>
      </c>
      <c r="X83" s="2" t="s">
        <v>412</v>
      </c>
      <c r="Y83" s="2" t="s">
        <v>521</v>
      </c>
      <c r="Z83" s="2" t="s">
        <v>412</v>
      </c>
      <c r="AA83" s="2" t="s">
        <v>39</v>
      </c>
      <c r="AB83" s="2" t="s">
        <v>414</v>
      </c>
    </row>
    <row r="84" spans="1:28" hidden="1" x14ac:dyDescent="0.2">
      <c r="A84" s="2" t="s">
        <v>410</v>
      </c>
      <c r="B84" s="3">
        <v>44068</v>
      </c>
      <c r="C84" s="2" t="s">
        <v>922</v>
      </c>
      <c r="D84" s="2" t="s">
        <v>28</v>
      </c>
      <c r="E84" s="2" t="s">
        <v>80</v>
      </c>
      <c r="F84" s="2" t="s">
        <v>81</v>
      </c>
      <c r="G84" s="2" t="s">
        <v>923</v>
      </c>
      <c r="H84" s="2" t="s">
        <v>924</v>
      </c>
      <c r="I84" s="2" t="s">
        <v>82</v>
      </c>
      <c r="J84" s="2" t="s">
        <v>83</v>
      </c>
      <c r="K84" s="2" t="s">
        <v>920</v>
      </c>
      <c r="L84" s="2" t="s">
        <v>831</v>
      </c>
      <c r="M84" s="3">
        <v>44055</v>
      </c>
      <c r="N84" s="3">
        <v>44082</v>
      </c>
      <c r="O84" s="4">
        <v>343.10300000000001</v>
      </c>
      <c r="P84" s="2" t="s">
        <v>492</v>
      </c>
      <c r="Q84" s="2" t="s">
        <v>85</v>
      </c>
      <c r="R84" s="2" t="s">
        <v>86</v>
      </c>
      <c r="S84" s="2" t="s">
        <v>459</v>
      </c>
      <c r="T84" s="2" t="s">
        <v>87</v>
      </c>
      <c r="U84" s="2" t="s">
        <v>37</v>
      </c>
      <c r="V84" s="2" t="s">
        <v>493</v>
      </c>
      <c r="W84" s="2" t="s">
        <v>925</v>
      </c>
      <c r="X84" s="2" t="s">
        <v>412</v>
      </c>
      <c r="Y84" s="2" t="s">
        <v>926</v>
      </c>
      <c r="Z84" s="2" t="s">
        <v>412</v>
      </c>
      <c r="AA84" s="2" t="s">
        <v>39</v>
      </c>
      <c r="AB84" s="2" t="s">
        <v>414</v>
      </c>
    </row>
    <row r="85" spans="1:28" hidden="1" x14ac:dyDescent="0.2">
      <c r="A85" s="2" t="s">
        <v>410</v>
      </c>
      <c r="B85" s="3">
        <v>44053</v>
      </c>
      <c r="C85" s="2" t="s">
        <v>922</v>
      </c>
      <c r="D85" s="2" t="s">
        <v>102</v>
      </c>
      <c r="E85" s="2" t="s">
        <v>191</v>
      </c>
      <c r="F85" s="2" t="s">
        <v>192</v>
      </c>
      <c r="G85" s="2" t="s">
        <v>927</v>
      </c>
      <c r="H85" s="2" t="s">
        <v>928</v>
      </c>
      <c r="I85" s="2" t="s">
        <v>193</v>
      </c>
      <c r="J85" s="2" t="s">
        <v>83</v>
      </c>
      <c r="K85" s="2" t="s">
        <v>920</v>
      </c>
      <c r="L85" s="2" t="s">
        <v>831</v>
      </c>
      <c r="M85" s="3">
        <v>44055</v>
      </c>
      <c r="N85" s="3">
        <v>44082</v>
      </c>
      <c r="O85" s="4">
        <v>99.534000000000006</v>
      </c>
      <c r="P85" s="2" t="s">
        <v>492</v>
      </c>
      <c r="Q85" s="2" t="s">
        <v>85</v>
      </c>
      <c r="R85" s="2" t="s">
        <v>194</v>
      </c>
      <c r="S85" s="2" t="s">
        <v>419</v>
      </c>
      <c r="T85" s="2" t="s">
        <v>87</v>
      </c>
      <c r="U85" s="2" t="s">
        <v>37</v>
      </c>
      <c r="V85" s="2" t="s">
        <v>493</v>
      </c>
      <c r="W85" s="2" t="s">
        <v>929</v>
      </c>
      <c r="X85" s="2" t="s">
        <v>412</v>
      </c>
      <c r="Y85" s="2" t="s">
        <v>930</v>
      </c>
      <c r="Z85" s="2" t="s">
        <v>412</v>
      </c>
      <c r="AA85" s="2" t="s">
        <v>39</v>
      </c>
      <c r="AB85" s="2" t="s">
        <v>414</v>
      </c>
    </row>
    <row r="86" spans="1:28" hidden="1" x14ac:dyDescent="0.2">
      <c r="A86" s="2" t="s">
        <v>427</v>
      </c>
      <c r="B86" s="3">
        <v>44073</v>
      </c>
      <c r="C86" s="2" t="s">
        <v>931</v>
      </c>
      <c r="D86" s="2" t="s">
        <v>28</v>
      </c>
      <c r="E86" s="2" t="s">
        <v>129</v>
      </c>
      <c r="F86" s="2" t="s">
        <v>507</v>
      </c>
      <c r="G86" s="2" t="s">
        <v>932</v>
      </c>
      <c r="H86" s="2" t="s">
        <v>933</v>
      </c>
      <c r="I86" s="2" t="s">
        <v>77</v>
      </c>
      <c r="J86" s="2" t="s">
        <v>32</v>
      </c>
      <c r="K86" s="2" t="s">
        <v>908</v>
      </c>
      <c r="L86" s="2" t="s">
        <v>572</v>
      </c>
      <c r="M86" s="3">
        <v>44051</v>
      </c>
      <c r="N86" s="3">
        <v>44062</v>
      </c>
      <c r="O86" s="4">
        <v>484.38</v>
      </c>
      <c r="P86" s="2" t="s">
        <v>48</v>
      </c>
      <c r="Q86" s="2" t="s">
        <v>405</v>
      </c>
      <c r="R86" s="2" t="s">
        <v>406</v>
      </c>
      <c r="S86" s="2" t="s">
        <v>462</v>
      </c>
      <c r="T86" s="2" t="s">
        <v>362</v>
      </c>
      <c r="U86" s="2" t="s">
        <v>934</v>
      </c>
      <c r="V86" s="2" t="s">
        <v>155</v>
      </c>
      <c r="W86" s="2" t="s">
        <v>935</v>
      </c>
      <c r="X86" s="2" t="s">
        <v>412</v>
      </c>
      <c r="Y86" s="2" t="s">
        <v>483</v>
      </c>
      <c r="Z86" s="2" t="s">
        <v>412</v>
      </c>
      <c r="AA86" s="2" t="s">
        <v>39</v>
      </c>
      <c r="AB86" s="2" t="s">
        <v>414</v>
      </c>
    </row>
    <row r="87" spans="1:28" hidden="1" x14ac:dyDescent="0.2">
      <c r="A87" s="2" t="s">
        <v>427</v>
      </c>
      <c r="B87" s="3">
        <v>44073</v>
      </c>
      <c r="C87" s="2" t="s">
        <v>931</v>
      </c>
      <c r="D87" s="2" t="s">
        <v>28</v>
      </c>
      <c r="E87" s="2" t="s">
        <v>129</v>
      </c>
      <c r="F87" s="2" t="s">
        <v>507</v>
      </c>
      <c r="G87" s="2" t="s">
        <v>936</v>
      </c>
      <c r="H87" s="2" t="s">
        <v>937</v>
      </c>
      <c r="I87" s="2" t="s">
        <v>77</v>
      </c>
      <c r="J87" s="2" t="s">
        <v>32</v>
      </c>
      <c r="K87" s="2" t="s">
        <v>908</v>
      </c>
      <c r="L87" s="2" t="s">
        <v>572</v>
      </c>
      <c r="M87" s="3">
        <v>44051</v>
      </c>
      <c r="N87" s="3">
        <v>44062</v>
      </c>
      <c r="O87" s="4">
        <v>511.29</v>
      </c>
      <c r="P87" s="2" t="s">
        <v>48</v>
      </c>
      <c r="Q87" s="2" t="s">
        <v>405</v>
      </c>
      <c r="R87" s="2" t="s">
        <v>406</v>
      </c>
      <c r="S87" s="2" t="s">
        <v>477</v>
      </c>
      <c r="T87" s="2" t="s">
        <v>362</v>
      </c>
      <c r="U87" s="2" t="s">
        <v>934</v>
      </c>
      <c r="V87" s="2" t="s">
        <v>155</v>
      </c>
      <c r="W87" s="2" t="s">
        <v>938</v>
      </c>
      <c r="X87" s="2" t="s">
        <v>412</v>
      </c>
      <c r="Y87" s="2" t="s">
        <v>448</v>
      </c>
      <c r="Z87" s="2" t="s">
        <v>412</v>
      </c>
      <c r="AA87" s="2" t="s">
        <v>39</v>
      </c>
      <c r="AB87" s="2" t="s">
        <v>414</v>
      </c>
    </row>
    <row r="88" spans="1:28" hidden="1" x14ac:dyDescent="0.2">
      <c r="A88" s="2" t="s">
        <v>427</v>
      </c>
      <c r="B88" s="3">
        <v>44017</v>
      </c>
      <c r="C88" s="2" t="s">
        <v>939</v>
      </c>
      <c r="D88" s="2" t="s">
        <v>44</v>
      </c>
      <c r="E88" s="2" t="s">
        <v>45</v>
      </c>
      <c r="F88" s="2" t="s">
        <v>46</v>
      </c>
      <c r="G88" s="2" t="s">
        <v>940</v>
      </c>
      <c r="H88" s="2" t="s">
        <v>941</v>
      </c>
      <c r="I88" s="2" t="s">
        <v>708</v>
      </c>
      <c r="J88" s="2" t="s">
        <v>47</v>
      </c>
      <c r="K88" s="2" t="s">
        <v>754</v>
      </c>
      <c r="L88" s="2" t="s">
        <v>755</v>
      </c>
      <c r="M88" s="3">
        <v>44051</v>
      </c>
      <c r="N88" s="3">
        <v>44079</v>
      </c>
      <c r="O88" s="4">
        <v>30.384</v>
      </c>
      <c r="P88" s="2" t="s">
        <v>48</v>
      </c>
      <c r="Q88" s="2" t="s">
        <v>49</v>
      </c>
      <c r="R88" s="2" t="s">
        <v>50</v>
      </c>
      <c r="S88" s="2" t="s">
        <v>449</v>
      </c>
      <c r="T88" s="2" t="s">
        <v>51</v>
      </c>
      <c r="U88" s="2" t="s">
        <v>763</v>
      </c>
      <c r="V88" s="2" t="s">
        <v>43</v>
      </c>
      <c r="W88" s="2" t="s">
        <v>757</v>
      </c>
      <c r="X88" s="2" t="s">
        <v>412</v>
      </c>
      <c r="Y88" s="2" t="s">
        <v>446</v>
      </c>
      <c r="Z88" s="2" t="s">
        <v>53</v>
      </c>
      <c r="AA88" s="2" t="s">
        <v>39</v>
      </c>
      <c r="AB88" s="2" t="s">
        <v>414</v>
      </c>
    </row>
    <row r="89" spans="1:28" hidden="1" x14ac:dyDescent="0.2">
      <c r="A89" s="2" t="s">
        <v>427</v>
      </c>
      <c r="B89" s="3">
        <v>44048</v>
      </c>
      <c r="C89" s="2" t="s">
        <v>942</v>
      </c>
      <c r="D89" s="2" t="s">
        <v>28</v>
      </c>
      <c r="E89" s="2" t="s">
        <v>110</v>
      </c>
      <c r="F89" s="2" t="s">
        <v>111</v>
      </c>
      <c r="G89" s="2" t="s">
        <v>943</v>
      </c>
      <c r="H89" s="2" t="s">
        <v>944</v>
      </c>
      <c r="I89" s="2" t="s">
        <v>77</v>
      </c>
      <c r="J89" s="2" t="s">
        <v>32</v>
      </c>
      <c r="K89" s="2" t="s">
        <v>920</v>
      </c>
      <c r="L89" s="2" t="s">
        <v>831</v>
      </c>
      <c r="M89" s="3">
        <v>44051</v>
      </c>
      <c r="N89" s="3">
        <v>44087</v>
      </c>
      <c r="O89" s="4">
        <v>494.31299999999999</v>
      </c>
      <c r="P89" s="2" t="s">
        <v>48</v>
      </c>
      <c r="Q89" s="2" t="s">
        <v>34</v>
      </c>
      <c r="R89" s="2" t="s">
        <v>35</v>
      </c>
      <c r="S89" s="2" t="s">
        <v>432</v>
      </c>
      <c r="T89" s="2" t="s">
        <v>140</v>
      </c>
      <c r="U89" s="2" t="s">
        <v>37</v>
      </c>
      <c r="V89" s="2" t="s">
        <v>52</v>
      </c>
      <c r="W89" s="2" t="s">
        <v>945</v>
      </c>
      <c r="X89" s="2" t="s">
        <v>412</v>
      </c>
      <c r="Y89" s="2" t="s">
        <v>478</v>
      </c>
      <c r="Z89" s="2" t="s">
        <v>946</v>
      </c>
      <c r="AA89" s="2" t="s">
        <v>39</v>
      </c>
      <c r="AB89" s="2" t="s">
        <v>414</v>
      </c>
    </row>
    <row r="90" spans="1:28" hidden="1" x14ac:dyDescent="0.2">
      <c r="A90" s="2" t="s">
        <v>431</v>
      </c>
      <c r="B90" s="3">
        <v>44058</v>
      </c>
      <c r="C90" s="2" t="s">
        <v>947</v>
      </c>
      <c r="D90" s="2" t="s">
        <v>91</v>
      </c>
      <c r="E90" s="2" t="s">
        <v>217</v>
      </c>
      <c r="F90" s="2" t="s">
        <v>218</v>
      </c>
      <c r="G90" s="2" t="s">
        <v>948</v>
      </c>
      <c r="H90" s="2" t="s">
        <v>949</v>
      </c>
      <c r="I90" s="2" t="s">
        <v>63</v>
      </c>
      <c r="J90" s="2" t="s">
        <v>64</v>
      </c>
      <c r="K90" s="2" t="s">
        <v>739</v>
      </c>
      <c r="L90" s="2" t="s">
        <v>740</v>
      </c>
      <c r="M90" s="3">
        <v>44052</v>
      </c>
      <c r="N90" s="3">
        <v>44071</v>
      </c>
      <c r="O90" s="4">
        <v>414.12</v>
      </c>
      <c r="P90" s="2" t="s">
        <v>33</v>
      </c>
      <c r="Q90" s="2" t="s">
        <v>34</v>
      </c>
      <c r="R90" s="2" t="s">
        <v>268</v>
      </c>
      <c r="S90" s="2" t="s">
        <v>452</v>
      </c>
      <c r="T90" s="2" t="s">
        <v>36</v>
      </c>
      <c r="U90" s="2" t="s">
        <v>290</v>
      </c>
      <c r="V90" s="2" t="s">
        <v>65</v>
      </c>
      <c r="W90" s="2" t="s">
        <v>950</v>
      </c>
      <c r="X90" s="2" t="s">
        <v>412</v>
      </c>
      <c r="Y90" s="2" t="s">
        <v>453</v>
      </c>
      <c r="Z90" s="2" t="s">
        <v>412</v>
      </c>
      <c r="AA90" s="2" t="s">
        <v>39</v>
      </c>
      <c r="AB90" s="2" t="s">
        <v>414</v>
      </c>
    </row>
    <row r="91" spans="1:28" hidden="1" x14ac:dyDescent="0.2">
      <c r="A91" s="2" t="s">
        <v>427</v>
      </c>
      <c r="B91" s="3">
        <v>44053</v>
      </c>
      <c r="C91" s="2" t="s">
        <v>951</v>
      </c>
      <c r="D91" s="2" t="s">
        <v>62</v>
      </c>
      <c r="E91" s="2" t="s">
        <v>217</v>
      </c>
      <c r="F91" s="2" t="s">
        <v>218</v>
      </c>
      <c r="G91" s="2" t="s">
        <v>952</v>
      </c>
      <c r="H91" s="2" t="s">
        <v>953</v>
      </c>
      <c r="I91" s="2" t="s">
        <v>77</v>
      </c>
      <c r="J91" s="2" t="s">
        <v>32</v>
      </c>
      <c r="K91" s="2" t="s">
        <v>390</v>
      </c>
      <c r="L91" s="2" t="s">
        <v>954</v>
      </c>
      <c r="M91" s="3">
        <v>44052</v>
      </c>
      <c r="N91" s="3">
        <v>44079</v>
      </c>
      <c r="O91" s="4">
        <v>499.27699999999999</v>
      </c>
      <c r="P91" s="2" t="s">
        <v>48</v>
      </c>
      <c r="Q91" s="2" t="s">
        <v>34</v>
      </c>
      <c r="R91" s="2" t="s">
        <v>35</v>
      </c>
      <c r="S91" s="2" t="s">
        <v>428</v>
      </c>
      <c r="T91" s="2" t="s">
        <v>36</v>
      </c>
      <c r="U91" s="2" t="s">
        <v>37</v>
      </c>
      <c r="V91" s="2" t="s">
        <v>65</v>
      </c>
      <c r="W91" s="2" t="s">
        <v>955</v>
      </c>
      <c r="X91" s="2" t="s">
        <v>412</v>
      </c>
      <c r="Y91" s="2" t="s">
        <v>429</v>
      </c>
      <c r="Z91" s="2" t="s">
        <v>412</v>
      </c>
      <c r="AA91" s="2" t="s">
        <v>39</v>
      </c>
      <c r="AB91" s="2" t="s">
        <v>414</v>
      </c>
    </row>
    <row r="92" spans="1:28" hidden="1" x14ac:dyDescent="0.2">
      <c r="A92" s="2" t="s">
        <v>427</v>
      </c>
      <c r="B92" s="3">
        <v>44073</v>
      </c>
      <c r="C92" s="2" t="s">
        <v>956</v>
      </c>
      <c r="D92" s="2" t="s">
        <v>74</v>
      </c>
      <c r="E92" s="2" t="s">
        <v>75</v>
      </c>
      <c r="F92" s="2" t="s">
        <v>76</v>
      </c>
      <c r="G92" s="2" t="s">
        <v>957</v>
      </c>
      <c r="H92" s="2" t="s">
        <v>958</v>
      </c>
      <c r="I92" s="2" t="s">
        <v>77</v>
      </c>
      <c r="J92" s="2" t="s">
        <v>32</v>
      </c>
      <c r="K92" s="2" t="s">
        <v>959</v>
      </c>
      <c r="L92" s="2" t="s">
        <v>960</v>
      </c>
      <c r="M92" s="3">
        <v>44053</v>
      </c>
      <c r="N92" s="3">
        <v>44115</v>
      </c>
      <c r="O92" s="4">
        <v>299.654</v>
      </c>
      <c r="P92" s="2" t="s">
        <v>48</v>
      </c>
      <c r="Q92" s="2" t="s">
        <v>78</v>
      </c>
      <c r="R92" s="2" t="s">
        <v>79</v>
      </c>
      <c r="S92" s="2" t="s">
        <v>425</v>
      </c>
      <c r="T92" s="2" t="s">
        <v>36</v>
      </c>
      <c r="U92" s="2" t="s">
        <v>37</v>
      </c>
      <c r="V92" s="2" t="s">
        <v>73</v>
      </c>
      <c r="W92" s="2" t="s">
        <v>961</v>
      </c>
      <c r="X92" s="2" t="s">
        <v>412</v>
      </c>
      <c r="Y92" s="2" t="s">
        <v>426</v>
      </c>
      <c r="Z92" s="2" t="s">
        <v>962</v>
      </c>
      <c r="AA92" s="2" t="s">
        <v>39</v>
      </c>
      <c r="AB92" s="2" t="s">
        <v>414</v>
      </c>
    </row>
    <row r="93" spans="1:28" hidden="1" x14ac:dyDescent="0.2">
      <c r="A93" s="2" t="s">
        <v>427</v>
      </c>
      <c r="B93" s="3">
        <v>44073</v>
      </c>
      <c r="C93" s="2" t="s">
        <v>956</v>
      </c>
      <c r="D93" s="2" t="s">
        <v>74</v>
      </c>
      <c r="E93" s="2" t="s">
        <v>75</v>
      </c>
      <c r="F93" s="2" t="s">
        <v>76</v>
      </c>
      <c r="G93" s="2" t="s">
        <v>963</v>
      </c>
      <c r="H93" s="2" t="s">
        <v>964</v>
      </c>
      <c r="I93" s="2" t="s">
        <v>77</v>
      </c>
      <c r="J93" s="2" t="s">
        <v>32</v>
      </c>
      <c r="K93" s="2" t="s">
        <v>959</v>
      </c>
      <c r="L93" s="2" t="s">
        <v>960</v>
      </c>
      <c r="M93" s="3">
        <v>44053</v>
      </c>
      <c r="N93" s="3">
        <v>44115</v>
      </c>
      <c r="O93" s="4">
        <v>224.77199999999999</v>
      </c>
      <c r="P93" s="2" t="s">
        <v>48</v>
      </c>
      <c r="Q93" s="2" t="s">
        <v>78</v>
      </c>
      <c r="R93" s="2" t="s">
        <v>79</v>
      </c>
      <c r="S93" s="2" t="s">
        <v>422</v>
      </c>
      <c r="T93" s="2" t="s">
        <v>72</v>
      </c>
      <c r="U93" s="2" t="s">
        <v>37</v>
      </c>
      <c r="V93" s="2" t="s">
        <v>73</v>
      </c>
      <c r="W93" s="2" t="s">
        <v>965</v>
      </c>
      <c r="X93" s="2" t="s">
        <v>412</v>
      </c>
      <c r="Y93" s="2" t="s">
        <v>423</v>
      </c>
      <c r="Z93" s="2" t="s">
        <v>653</v>
      </c>
      <c r="AA93" s="2" t="s">
        <v>39</v>
      </c>
      <c r="AB93" s="2" t="s">
        <v>414</v>
      </c>
    </row>
    <row r="94" spans="1:28" hidden="1" x14ac:dyDescent="0.2">
      <c r="A94" s="2" t="s">
        <v>427</v>
      </c>
      <c r="B94" s="3">
        <v>44073</v>
      </c>
      <c r="C94" s="2" t="s">
        <v>956</v>
      </c>
      <c r="D94" s="2" t="s">
        <v>74</v>
      </c>
      <c r="E94" s="2" t="s">
        <v>75</v>
      </c>
      <c r="F94" s="2" t="s">
        <v>966</v>
      </c>
      <c r="G94" s="2" t="s">
        <v>967</v>
      </c>
      <c r="H94" s="2" t="s">
        <v>968</v>
      </c>
      <c r="I94" s="2" t="s">
        <v>77</v>
      </c>
      <c r="J94" s="2" t="s">
        <v>32</v>
      </c>
      <c r="K94" s="2" t="s">
        <v>959</v>
      </c>
      <c r="L94" s="2" t="s">
        <v>960</v>
      </c>
      <c r="M94" s="3">
        <v>44053</v>
      </c>
      <c r="N94" s="3">
        <v>44110</v>
      </c>
      <c r="O94" s="4">
        <v>499.76100000000002</v>
      </c>
      <c r="P94" s="2" t="s">
        <v>48</v>
      </c>
      <c r="Q94" s="2" t="s">
        <v>149</v>
      </c>
      <c r="R94" s="2" t="s">
        <v>150</v>
      </c>
      <c r="S94" s="2" t="s">
        <v>428</v>
      </c>
      <c r="T94" s="2" t="s">
        <v>72</v>
      </c>
      <c r="U94" s="2" t="s">
        <v>37</v>
      </c>
      <c r="V94" s="2" t="s">
        <v>73</v>
      </c>
      <c r="W94" s="2" t="s">
        <v>969</v>
      </c>
      <c r="X94" s="2" t="s">
        <v>412</v>
      </c>
      <c r="Y94" s="2" t="s">
        <v>429</v>
      </c>
      <c r="Z94" s="2" t="s">
        <v>412</v>
      </c>
      <c r="AA94" s="2" t="s">
        <v>39</v>
      </c>
      <c r="AB94" s="2" t="s">
        <v>414</v>
      </c>
    </row>
    <row r="95" spans="1:28" hidden="1" x14ac:dyDescent="0.2">
      <c r="A95" s="2" t="s">
        <v>427</v>
      </c>
      <c r="B95" s="3">
        <v>44055</v>
      </c>
      <c r="C95" s="2" t="s">
        <v>970</v>
      </c>
      <c r="D95" s="2" t="s">
        <v>62</v>
      </c>
      <c r="E95" s="2" t="s">
        <v>167</v>
      </c>
      <c r="F95" s="2" t="s">
        <v>168</v>
      </c>
      <c r="G95" s="2" t="s">
        <v>971</v>
      </c>
      <c r="H95" s="2" t="s">
        <v>972</v>
      </c>
      <c r="I95" s="2" t="s">
        <v>77</v>
      </c>
      <c r="J95" s="2" t="s">
        <v>32</v>
      </c>
      <c r="K95" s="2" t="s">
        <v>136</v>
      </c>
      <c r="L95" s="2" t="s">
        <v>973</v>
      </c>
      <c r="M95" s="3">
        <v>44053</v>
      </c>
      <c r="N95" s="3">
        <v>44082</v>
      </c>
      <c r="O95" s="4">
        <v>199.02699999999999</v>
      </c>
      <c r="P95" s="2" t="s">
        <v>48</v>
      </c>
      <c r="Q95" s="2" t="s">
        <v>166</v>
      </c>
      <c r="R95" s="2" t="s">
        <v>169</v>
      </c>
      <c r="S95" s="2" t="s">
        <v>420</v>
      </c>
      <c r="T95" s="2" t="s">
        <v>36</v>
      </c>
      <c r="U95" s="2" t="s">
        <v>37</v>
      </c>
      <c r="V95" s="2" t="s">
        <v>52</v>
      </c>
      <c r="W95" s="2" t="s">
        <v>974</v>
      </c>
      <c r="X95" s="2" t="s">
        <v>412</v>
      </c>
      <c r="Y95" s="2" t="s">
        <v>421</v>
      </c>
      <c r="Z95" s="2" t="s">
        <v>799</v>
      </c>
      <c r="AA95" s="2" t="s">
        <v>39</v>
      </c>
      <c r="AB95" s="2" t="s">
        <v>414</v>
      </c>
    </row>
    <row r="96" spans="1:28" hidden="1" x14ac:dyDescent="0.2">
      <c r="A96" s="2" t="s">
        <v>427</v>
      </c>
      <c r="B96" s="3">
        <v>44073</v>
      </c>
      <c r="C96" s="2" t="s">
        <v>970</v>
      </c>
      <c r="D96" s="2" t="s">
        <v>91</v>
      </c>
      <c r="E96" s="2" t="s">
        <v>164</v>
      </c>
      <c r="F96" s="2" t="s">
        <v>165</v>
      </c>
      <c r="G96" s="2" t="s">
        <v>975</v>
      </c>
      <c r="H96" s="2" t="s">
        <v>976</v>
      </c>
      <c r="I96" s="2" t="s">
        <v>77</v>
      </c>
      <c r="J96" s="2" t="s">
        <v>32</v>
      </c>
      <c r="K96" s="2" t="s">
        <v>136</v>
      </c>
      <c r="L96" s="2" t="s">
        <v>973</v>
      </c>
      <c r="M96" s="3">
        <v>44053</v>
      </c>
      <c r="N96" s="3">
        <v>44082</v>
      </c>
      <c r="O96" s="4">
        <v>291.26400000000001</v>
      </c>
      <c r="P96" s="2" t="s">
        <v>48</v>
      </c>
      <c r="Q96" s="2" t="s">
        <v>166</v>
      </c>
      <c r="R96" s="2" t="s">
        <v>169</v>
      </c>
      <c r="S96" s="2" t="s">
        <v>459</v>
      </c>
      <c r="T96" s="2" t="s">
        <v>42</v>
      </c>
      <c r="U96" s="2" t="s">
        <v>37</v>
      </c>
      <c r="V96" s="2" t="s">
        <v>52</v>
      </c>
      <c r="W96" s="2" t="s">
        <v>977</v>
      </c>
      <c r="X96" s="2" t="s">
        <v>412</v>
      </c>
      <c r="Y96" s="2" t="s">
        <v>479</v>
      </c>
      <c r="Z96" s="2" t="s">
        <v>497</v>
      </c>
      <c r="AA96" s="2" t="s">
        <v>39</v>
      </c>
      <c r="AB96" s="2" t="s">
        <v>414</v>
      </c>
    </row>
    <row r="97" spans="1:28" hidden="1" x14ac:dyDescent="0.2">
      <c r="A97" s="2" t="s">
        <v>427</v>
      </c>
      <c r="B97" s="3">
        <v>44055</v>
      </c>
      <c r="C97" s="2" t="s">
        <v>970</v>
      </c>
      <c r="D97" s="2" t="s">
        <v>62</v>
      </c>
      <c r="E97" s="2" t="s">
        <v>248</v>
      </c>
      <c r="F97" s="2" t="s">
        <v>249</v>
      </c>
      <c r="G97" s="2" t="s">
        <v>978</v>
      </c>
      <c r="H97" s="2" t="s">
        <v>979</v>
      </c>
      <c r="I97" s="2" t="s">
        <v>77</v>
      </c>
      <c r="J97" s="2" t="s">
        <v>32</v>
      </c>
      <c r="K97" s="2" t="s">
        <v>136</v>
      </c>
      <c r="L97" s="2" t="s">
        <v>973</v>
      </c>
      <c r="M97" s="3">
        <v>44053</v>
      </c>
      <c r="N97" s="3">
        <v>44082</v>
      </c>
      <c r="O97" s="4">
        <v>311.78100000000001</v>
      </c>
      <c r="P97" s="2" t="s">
        <v>48</v>
      </c>
      <c r="Q97" s="2" t="s">
        <v>166</v>
      </c>
      <c r="R97" s="2" t="s">
        <v>250</v>
      </c>
      <c r="S97" s="2" t="s">
        <v>417</v>
      </c>
      <c r="T97" s="2" t="s">
        <v>42</v>
      </c>
      <c r="U97" s="2" t="s">
        <v>37</v>
      </c>
      <c r="V97" s="2" t="s">
        <v>52</v>
      </c>
      <c r="W97" s="2" t="s">
        <v>980</v>
      </c>
      <c r="X97" s="2" t="s">
        <v>412</v>
      </c>
      <c r="Y97" s="2" t="s">
        <v>458</v>
      </c>
      <c r="Z97" s="2" t="s">
        <v>981</v>
      </c>
      <c r="AA97" s="2" t="s">
        <v>39</v>
      </c>
      <c r="AB97" s="2" t="s">
        <v>414</v>
      </c>
    </row>
    <row r="98" spans="1:28" hidden="1" x14ac:dyDescent="0.2">
      <c r="A98" s="2" t="s">
        <v>431</v>
      </c>
      <c r="B98" s="3">
        <v>44053</v>
      </c>
      <c r="C98" s="2" t="s">
        <v>982</v>
      </c>
      <c r="D98" s="2" t="s">
        <v>62</v>
      </c>
      <c r="E98" s="2" t="s">
        <v>217</v>
      </c>
      <c r="F98" s="2" t="s">
        <v>218</v>
      </c>
      <c r="G98" s="2" t="s">
        <v>983</v>
      </c>
      <c r="H98" s="2" t="s">
        <v>984</v>
      </c>
      <c r="I98" s="2" t="s">
        <v>31</v>
      </c>
      <c r="J98" s="2" t="s">
        <v>32</v>
      </c>
      <c r="K98" s="2" t="s">
        <v>388</v>
      </c>
      <c r="L98" s="2" t="s">
        <v>831</v>
      </c>
      <c r="M98" s="3">
        <v>44054</v>
      </c>
      <c r="N98" s="3">
        <v>44067</v>
      </c>
      <c r="O98" s="4">
        <v>487.68</v>
      </c>
      <c r="P98" s="2" t="s">
        <v>33</v>
      </c>
      <c r="Q98" s="2" t="s">
        <v>34</v>
      </c>
      <c r="R98" s="2" t="s">
        <v>35</v>
      </c>
      <c r="S98" s="2" t="s">
        <v>428</v>
      </c>
      <c r="T98" s="2" t="s">
        <v>36</v>
      </c>
      <c r="U98" s="2" t="s">
        <v>290</v>
      </c>
      <c r="V98" s="2" t="s">
        <v>43</v>
      </c>
      <c r="W98" s="2" t="s">
        <v>985</v>
      </c>
      <c r="X98" s="2" t="s">
        <v>412</v>
      </c>
      <c r="Y98" s="2" t="s">
        <v>429</v>
      </c>
      <c r="Z98" s="2" t="s">
        <v>412</v>
      </c>
      <c r="AA98" s="2" t="s">
        <v>39</v>
      </c>
      <c r="AB98" s="2" t="s">
        <v>414</v>
      </c>
    </row>
    <row r="99" spans="1:28" hidden="1" x14ac:dyDescent="0.2">
      <c r="A99" s="2" t="s">
        <v>410</v>
      </c>
      <c r="B99" s="3">
        <v>44048</v>
      </c>
      <c r="C99" s="2" t="s">
        <v>986</v>
      </c>
      <c r="D99" s="2" t="s">
        <v>44</v>
      </c>
      <c r="E99" s="2" t="s">
        <v>269</v>
      </c>
      <c r="F99" s="2" t="s">
        <v>270</v>
      </c>
      <c r="G99" s="2" t="s">
        <v>987</v>
      </c>
      <c r="H99" s="2" t="s">
        <v>988</v>
      </c>
      <c r="I99" s="2" t="s">
        <v>94</v>
      </c>
      <c r="J99" s="2" t="s">
        <v>95</v>
      </c>
      <c r="K99" s="2" t="s">
        <v>177</v>
      </c>
      <c r="L99" s="2" t="s">
        <v>989</v>
      </c>
      <c r="M99" s="3">
        <v>44054</v>
      </c>
      <c r="N99" s="3">
        <v>44063</v>
      </c>
      <c r="O99" s="4">
        <v>167.31399999999999</v>
      </c>
      <c r="P99" s="2" t="s">
        <v>84</v>
      </c>
      <c r="Q99" s="2" t="s">
        <v>271</v>
      </c>
      <c r="R99" s="2" t="s">
        <v>272</v>
      </c>
      <c r="S99" s="2" t="s">
        <v>466</v>
      </c>
      <c r="T99" s="2" t="s">
        <v>87</v>
      </c>
      <c r="U99" s="2" t="s">
        <v>290</v>
      </c>
      <c r="V99" s="2" t="s">
        <v>88</v>
      </c>
      <c r="W99" s="2" t="s">
        <v>990</v>
      </c>
      <c r="X99" s="2" t="s">
        <v>412</v>
      </c>
      <c r="Y99" s="2" t="s">
        <v>991</v>
      </c>
      <c r="Z99" s="2" t="s">
        <v>992</v>
      </c>
      <c r="AA99" s="2" t="s">
        <v>39</v>
      </c>
      <c r="AB99" s="2" t="s">
        <v>414</v>
      </c>
    </row>
    <row r="100" spans="1:28" hidden="1" x14ac:dyDescent="0.2">
      <c r="A100" s="2" t="s">
        <v>410</v>
      </c>
      <c r="B100" s="3">
        <v>44073</v>
      </c>
      <c r="C100" s="2" t="s">
        <v>986</v>
      </c>
      <c r="D100" s="2" t="s">
        <v>91</v>
      </c>
      <c r="E100" s="2" t="s">
        <v>107</v>
      </c>
      <c r="F100" s="2" t="s">
        <v>537</v>
      </c>
      <c r="G100" s="2" t="s">
        <v>993</v>
      </c>
      <c r="H100" s="2" t="s">
        <v>994</v>
      </c>
      <c r="I100" s="2" t="s">
        <v>31</v>
      </c>
      <c r="J100" s="2" t="s">
        <v>32</v>
      </c>
      <c r="K100" s="2" t="s">
        <v>177</v>
      </c>
      <c r="L100" s="2" t="s">
        <v>989</v>
      </c>
      <c r="M100" s="3">
        <v>44054</v>
      </c>
      <c r="N100" s="3">
        <v>44085</v>
      </c>
      <c r="O100" s="4">
        <v>247.96199999999999</v>
      </c>
      <c r="P100" s="2" t="s">
        <v>84</v>
      </c>
      <c r="Q100" s="2" t="s">
        <v>105</v>
      </c>
      <c r="R100" s="2" t="s">
        <v>106</v>
      </c>
      <c r="S100" s="2" t="s">
        <v>456</v>
      </c>
      <c r="T100" s="2" t="s">
        <v>87</v>
      </c>
      <c r="U100" s="2" t="s">
        <v>37</v>
      </c>
      <c r="V100" s="2" t="s">
        <v>88</v>
      </c>
      <c r="W100" s="2" t="s">
        <v>995</v>
      </c>
      <c r="X100" s="2" t="s">
        <v>412</v>
      </c>
      <c r="Y100" s="2" t="s">
        <v>538</v>
      </c>
      <c r="Z100" s="2" t="s">
        <v>996</v>
      </c>
      <c r="AA100" s="2" t="s">
        <v>109</v>
      </c>
      <c r="AB100" s="2" t="s">
        <v>414</v>
      </c>
    </row>
    <row r="101" spans="1:28" hidden="1" x14ac:dyDescent="0.2">
      <c r="A101" s="2" t="s">
        <v>410</v>
      </c>
      <c r="B101" s="3">
        <v>44073</v>
      </c>
      <c r="C101" s="2" t="s">
        <v>986</v>
      </c>
      <c r="D101" s="2" t="s">
        <v>28</v>
      </c>
      <c r="E101" s="2" t="s">
        <v>98</v>
      </c>
      <c r="F101" s="2" t="s">
        <v>205</v>
      </c>
      <c r="G101" s="2" t="s">
        <v>997</v>
      </c>
      <c r="H101" s="2" t="s">
        <v>998</v>
      </c>
      <c r="I101" s="2" t="s">
        <v>99</v>
      </c>
      <c r="J101" s="2" t="s">
        <v>32</v>
      </c>
      <c r="K101" s="2" t="s">
        <v>177</v>
      </c>
      <c r="L101" s="2" t="s">
        <v>989</v>
      </c>
      <c r="M101" s="3">
        <v>44054</v>
      </c>
      <c r="N101" s="3">
        <v>44085</v>
      </c>
      <c r="O101" s="4">
        <v>502.12799999999999</v>
      </c>
      <c r="P101" s="2" t="s">
        <v>84</v>
      </c>
      <c r="Q101" s="2" t="s">
        <v>34</v>
      </c>
      <c r="R101" s="2" t="s">
        <v>35</v>
      </c>
      <c r="S101" s="2" t="s">
        <v>443</v>
      </c>
      <c r="T101" s="2" t="s">
        <v>87</v>
      </c>
      <c r="U101" s="2" t="s">
        <v>290</v>
      </c>
      <c r="V101" s="2" t="s">
        <v>88</v>
      </c>
      <c r="W101" s="2" t="s">
        <v>999</v>
      </c>
      <c r="X101" s="2" t="s">
        <v>412</v>
      </c>
      <c r="Y101" s="2" t="s">
        <v>463</v>
      </c>
      <c r="Z101" s="2" t="s">
        <v>412</v>
      </c>
      <c r="AA101" s="2" t="s">
        <v>39</v>
      </c>
      <c r="AB101" s="2" t="s">
        <v>414</v>
      </c>
    </row>
    <row r="102" spans="1:28" hidden="1" x14ac:dyDescent="0.2">
      <c r="A102" s="2" t="s">
        <v>410</v>
      </c>
      <c r="B102" s="3">
        <v>44073</v>
      </c>
      <c r="C102" s="2" t="s">
        <v>986</v>
      </c>
      <c r="D102" s="2" t="s">
        <v>54</v>
      </c>
      <c r="E102" s="2" t="s">
        <v>103</v>
      </c>
      <c r="F102" s="2" t="s">
        <v>104</v>
      </c>
      <c r="G102" s="2" t="s">
        <v>1000</v>
      </c>
      <c r="H102" s="2" t="s">
        <v>1001</v>
      </c>
      <c r="I102" s="2" t="s">
        <v>31</v>
      </c>
      <c r="J102" s="2" t="s">
        <v>32</v>
      </c>
      <c r="K102" s="2" t="s">
        <v>177</v>
      </c>
      <c r="L102" s="2" t="s">
        <v>989</v>
      </c>
      <c r="M102" s="3">
        <v>44054</v>
      </c>
      <c r="N102" s="3">
        <v>44085</v>
      </c>
      <c r="O102" s="4">
        <v>188.16</v>
      </c>
      <c r="P102" s="2" t="s">
        <v>84</v>
      </c>
      <c r="Q102" s="2" t="s">
        <v>105</v>
      </c>
      <c r="R102" s="2" t="s">
        <v>106</v>
      </c>
      <c r="S102" s="2" t="s">
        <v>420</v>
      </c>
      <c r="T102" s="2" t="s">
        <v>87</v>
      </c>
      <c r="U102" s="2" t="s">
        <v>290</v>
      </c>
      <c r="V102" s="2" t="s">
        <v>88</v>
      </c>
      <c r="W102" s="2" t="s">
        <v>1002</v>
      </c>
      <c r="X102" s="2" t="s">
        <v>412</v>
      </c>
      <c r="Y102" s="2" t="s">
        <v>421</v>
      </c>
      <c r="Z102" s="2" t="s">
        <v>996</v>
      </c>
      <c r="AA102" s="2" t="s">
        <v>39</v>
      </c>
      <c r="AB102" s="2" t="s">
        <v>414</v>
      </c>
    </row>
    <row r="103" spans="1:28" hidden="1" x14ac:dyDescent="0.2">
      <c r="A103" s="2" t="s">
        <v>410</v>
      </c>
      <c r="B103" s="3">
        <v>44073</v>
      </c>
      <c r="C103" s="2" t="s">
        <v>986</v>
      </c>
      <c r="D103" s="2" t="s">
        <v>54</v>
      </c>
      <c r="E103" s="2" t="s">
        <v>103</v>
      </c>
      <c r="F103" s="2" t="s">
        <v>104</v>
      </c>
      <c r="G103" s="2" t="s">
        <v>1003</v>
      </c>
      <c r="H103" s="2" t="s">
        <v>1004</v>
      </c>
      <c r="I103" s="2" t="s">
        <v>31</v>
      </c>
      <c r="J103" s="2" t="s">
        <v>32</v>
      </c>
      <c r="K103" s="2" t="s">
        <v>177</v>
      </c>
      <c r="L103" s="2" t="s">
        <v>989</v>
      </c>
      <c r="M103" s="3">
        <v>44054</v>
      </c>
      <c r="N103" s="3">
        <v>44085</v>
      </c>
      <c r="O103" s="4">
        <v>211.245</v>
      </c>
      <c r="P103" s="2" t="s">
        <v>84</v>
      </c>
      <c r="Q103" s="2" t="s">
        <v>105</v>
      </c>
      <c r="R103" s="2" t="s">
        <v>106</v>
      </c>
      <c r="S103" s="2" t="s">
        <v>422</v>
      </c>
      <c r="T103" s="2" t="s">
        <v>87</v>
      </c>
      <c r="U103" s="2" t="s">
        <v>37</v>
      </c>
      <c r="V103" s="2" t="s">
        <v>88</v>
      </c>
      <c r="W103" s="2" t="s">
        <v>1005</v>
      </c>
      <c r="X103" s="2" t="s">
        <v>412</v>
      </c>
      <c r="Y103" s="2" t="s">
        <v>423</v>
      </c>
      <c r="Z103" s="2" t="s">
        <v>996</v>
      </c>
      <c r="AA103" s="2" t="s">
        <v>39</v>
      </c>
      <c r="AB103" s="2" t="s">
        <v>414</v>
      </c>
    </row>
    <row r="104" spans="1:28" hidden="1" x14ac:dyDescent="0.2">
      <c r="A104" s="2" t="s">
        <v>410</v>
      </c>
      <c r="B104" s="3">
        <v>44048</v>
      </c>
      <c r="C104" s="2" t="s">
        <v>986</v>
      </c>
      <c r="D104" s="2" t="s">
        <v>152</v>
      </c>
      <c r="E104" s="2" t="s">
        <v>138</v>
      </c>
      <c r="F104" s="2" t="s">
        <v>265</v>
      </c>
      <c r="G104" s="2" t="s">
        <v>1006</v>
      </c>
      <c r="H104" s="2" t="s">
        <v>1007</v>
      </c>
      <c r="I104" s="2" t="s">
        <v>377</v>
      </c>
      <c r="J104" s="2" t="s">
        <v>47</v>
      </c>
      <c r="K104" s="2" t="s">
        <v>177</v>
      </c>
      <c r="L104" s="2" t="s">
        <v>989</v>
      </c>
      <c r="M104" s="3">
        <v>44054</v>
      </c>
      <c r="N104" s="3">
        <v>44085</v>
      </c>
      <c r="O104" s="4">
        <v>153</v>
      </c>
      <c r="P104" s="2" t="s">
        <v>84</v>
      </c>
      <c r="Q104" s="2" t="s">
        <v>34</v>
      </c>
      <c r="R104" s="2" t="s">
        <v>266</v>
      </c>
      <c r="S104" s="2" t="s">
        <v>420</v>
      </c>
      <c r="T104" s="2" t="s">
        <v>87</v>
      </c>
      <c r="U104" s="2" t="s">
        <v>290</v>
      </c>
      <c r="V104" s="2" t="s">
        <v>88</v>
      </c>
      <c r="W104" s="2" t="s">
        <v>1008</v>
      </c>
      <c r="X104" s="2" t="s">
        <v>412</v>
      </c>
      <c r="Y104" s="2" t="s">
        <v>451</v>
      </c>
      <c r="Z104" s="2" t="s">
        <v>856</v>
      </c>
      <c r="AA104" s="2" t="s">
        <v>39</v>
      </c>
      <c r="AB104" s="2" t="s">
        <v>414</v>
      </c>
    </row>
    <row r="105" spans="1:28" hidden="1" x14ac:dyDescent="0.2">
      <c r="A105" s="2" t="s">
        <v>410</v>
      </c>
      <c r="B105" s="3">
        <v>44048</v>
      </c>
      <c r="C105" s="2" t="s">
        <v>986</v>
      </c>
      <c r="D105" s="2" t="s">
        <v>152</v>
      </c>
      <c r="E105" s="2" t="s">
        <v>138</v>
      </c>
      <c r="F105" s="2" t="s">
        <v>265</v>
      </c>
      <c r="G105" s="2" t="s">
        <v>1009</v>
      </c>
      <c r="H105" s="2" t="s">
        <v>1010</v>
      </c>
      <c r="I105" s="2" t="s">
        <v>1011</v>
      </c>
      <c r="J105" s="2" t="s">
        <v>47</v>
      </c>
      <c r="K105" s="2" t="s">
        <v>177</v>
      </c>
      <c r="L105" s="2" t="s">
        <v>989</v>
      </c>
      <c r="M105" s="3">
        <v>44054</v>
      </c>
      <c r="N105" s="3">
        <v>44085</v>
      </c>
      <c r="O105" s="4">
        <v>221.31200000000001</v>
      </c>
      <c r="P105" s="2" t="s">
        <v>84</v>
      </c>
      <c r="Q105" s="2" t="s">
        <v>34</v>
      </c>
      <c r="R105" s="2" t="s">
        <v>266</v>
      </c>
      <c r="S105" s="2" t="s">
        <v>420</v>
      </c>
      <c r="T105" s="2" t="s">
        <v>87</v>
      </c>
      <c r="U105" s="2" t="s">
        <v>290</v>
      </c>
      <c r="V105" s="2" t="s">
        <v>88</v>
      </c>
      <c r="W105" s="2" t="s">
        <v>1012</v>
      </c>
      <c r="X105" s="2" t="s">
        <v>412</v>
      </c>
      <c r="Y105" s="2" t="s">
        <v>451</v>
      </c>
      <c r="Z105" s="2" t="s">
        <v>856</v>
      </c>
      <c r="AA105" s="2" t="s">
        <v>39</v>
      </c>
      <c r="AB105" s="2" t="s">
        <v>414</v>
      </c>
    </row>
    <row r="106" spans="1:28" hidden="1" x14ac:dyDescent="0.2">
      <c r="A106" s="2" t="s">
        <v>410</v>
      </c>
      <c r="B106" s="3">
        <v>44048</v>
      </c>
      <c r="C106" s="2" t="s">
        <v>986</v>
      </c>
      <c r="D106" s="2" t="s">
        <v>152</v>
      </c>
      <c r="E106" s="2" t="s">
        <v>138</v>
      </c>
      <c r="F106" s="2" t="s">
        <v>265</v>
      </c>
      <c r="G106" s="2" t="s">
        <v>1013</v>
      </c>
      <c r="H106" s="2" t="s">
        <v>1014</v>
      </c>
      <c r="I106" s="2" t="s">
        <v>407</v>
      </c>
      <c r="J106" s="2" t="s">
        <v>47</v>
      </c>
      <c r="K106" s="2" t="s">
        <v>177</v>
      </c>
      <c r="L106" s="2" t="s">
        <v>989</v>
      </c>
      <c r="M106" s="3">
        <v>44054</v>
      </c>
      <c r="N106" s="3">
        <v>44085</v>
      </c>
      <c r="O106" s="4">
        <v>260</v>
      </c>
      <c r="P106" s="2" t="s">
        <v>84</v>
      </c>
      <c r="Q106" s="2" t="s">
        <v>34</v>
      </c>
      <c r="R106" s="2" t="s">
        <v>266</v>
      </c>
      <c r="S106" s="2" t="s">
        <v>411</v>
      </c>
      <c r="T106" s="2" t="s">
        <v>87</v>
      </c>
      <c r="U106" s="2" t="s">
        <v>290</v>
      </c>
      <c r="V106" s="2" t="s">
        <v>88</v>
      </c>
      <c r="W106" s="2" t="s">
        <v>1015</v>
      </c>
      <c r="X106" s="2" t="s">
        <v>412</v>
      </c>
      <c r="Y106" s="2" t="s">
        <v>432</v>
      </c>
      <c r="Z106" s="2" t="s">
        <v>856</v>
      </c>
      <c r="AA106" s="2" t="s">
        <v>39</v>
      </c>
      <c r="AB106" s="2" t="s">
        <v>414</v>
      </c>
    </row>
    <row r="107" spans="1:28" hidden="1" x14ac:dyDescent="0.2">
      <c r="A107" s="2" t="s">
        <v>410</v>
      </c>
      <c r="B107" s="3">
        <v>44048</v>
      </c>
      <c r="C107" s="2" t="s">
        <v>986</v>
      </c>
      <c r="D107" s="2" t="s">
        <v>152</v>
      </c>
      <c r="E107" s="2" t="s">
        <v>138</v>
      </c>
      <c r="F107" s="2" t="s">
        <v>265</v>
      </c>
      <c r="G107" s="2" t="s">
        <v>1016</v>
      </c>
      <c r="H107" s="2" t="s">
        <v>1017</v>
      </c>
      <c r="I107" s="2" t="s">
        <v>408</v>
      </c>
      <c r="J107" s="2" t="s">
        <v>47</v>
      </c>
      <c r="K107" s="2" t="s">
        <v>177</v>
      </c>
      <c r="L107" s="2" t="s">
        <v>989</v>
      </c>
      <c r="M107" s="3">
        <v>44054</v>
      </c>
      <c r="N107" s="3">
        <v>44085</v>
      </c>
      <c r="O107" s="4">
        <v>111.73</v>
      </c>
      <c r="P107" s="2" t="s">
        <v>84</v>
      </c>
      <c r="Q107" s="2" t="s">
        <v>34</v>
      </c>
      <c r="R107" s="2" t="s">
        <v>266</v>
      </c>
      <c r="S107" s="2" t="s">
        <v>415</v>
      </c>
      <c r="T107" s="2" t="s">
        <v>87</v>
      </c>
      <c r="U107" s="2" t="s">
        <v>290</v>
      </c>
      <c r="V107" s="2" t="s">
        <v>88</v>
      </c>
      <c r="W107" s="2" t="s">
        <v>1018</v>
      </c>
      <c r="X107" s="2" t="s">
        <v>412</v>
      </c>
      <c r="Y107" s="2" t="s">
        <v>416</v>
      </c>
      <c r="Z107" s="2" t="s">
        <v>856</v>
      </c>
      <c r="AA107" s="2" t="s">
        <v>39</v>
      </c>
      <c r="AB107" s="2" t="s">
        <v>414</v>
      </c>
    </row>
    <row r="108" spans="1:28" hidden="1" x14ac:dyDescent="0.2">
      <c r="A108" s="2" t="s">
        <v>410</v>
      </c>
      <c r="B108" s="3">
        <v>44048</v>
      </c>
      <c r="C108" s="2" t="s">
        <v>986</v>
      </c>
      <c r="D108" s="2" t="s">
        <v>152</v>
      </c>
      <c r="E108" s="2" t="s">
        <v>138</v>
      </c>
      <c r="F108" s="2" t="s">
        <v>265</v>
      </c>
      <c r="G108" s="2" t="s">
        <v>1019</v>
      </c>
      <c r="H108" s="2" t="s">
        <v>1020</v>
      </c>
      <c r="I108" s="2" t="s">
        <v>385</v>
      </c>
      <c r="J108" s="2" t="s">
        <v>47</v>
      </c>
      <c r="K108" s="2" t="s">
        <v>177</v>
      </c>
      <c r="L108" s="2" t="s">
        <v>989</v>
      </c>
      <c r="M108" s="3">
        <v>44054</v>
      </c>
      <c r="N108" s="3">
        <v>44085</v>
      </c>
      <c r="O108" s="4">
        <v>208.54</v>
      </c>
      <c r="P108" s="2" t="s">
        <v>84</v>
      </c>
      <c r="Q108" s="2" t="s">
        <v>34</v>
      </c>
      <c r="R108" s="2" t="s">
        <v>266</v>
      </c>
      <c r="S108" s="2" t="s">
        <v>416</v>
      </c>
      <c r="T108" s="2" t="s">
        <v>87</v>
      </c>
      <c r="U108" s="2" t="s">
        <v>290</v>
      </c>
      <c r="V108" s="2" t="s">
        <v>88</v>
      </c>
      <c r="W108" s="2" t="s">
        <v>1021</v>
      </c>
      <c r="X108" s="2" t="s">
        <v>412</v>
      </c>
      <c r="Y108" s="2" t="s">
        <v>428</v>
      </c>
      <c r="Z108" s="2" t="s">
        <v>856</v>
      </c>
      <c r="AA108" s="2" t="s">
        <v>39</v>
      </c>
      <c r="AB108" s="2" t="s">
        <v>414</v>
      </c>
    </row>
    <row r="109" spans="1:28" hidden="1" x14ac:dyDescent="0.2">
      <c r="A109" s="2" t="s">
        <v>410</v>
      </c>
      <c r="B109" s="3">
        <v>44048</v>
      </c>
      <c r="C109" s="2" t="s">
        <v>986</v>
      </c>
      <c r="D109" s="2" t="s">
        <v>152</v>
      </c>
      <c r="E109" s="2" t="s">
        <v>138</v>
      </c>
      <c r="F109" s="2" t="s">
        <v>265</v>
      </c>
      <c r="G109" s="2" t="s">
        <v>1022</v>
      </c>
      <c r="H109" s="2" t="s">
        <v>1023</v>
      </c>
      <c r="I109" s="2" t="s">
        <v>386</v>
      </c>
      <c r="J109" s="2" t="s">
        <v>47</v>
      </c>
      <c r="K109" s="2" t="s">
        <v>177</v>
      </c>
      <c r="L109" s="2" t="s">
        <v>989</v>
      </c>
      <c r="M109" s="3">
        <v>44054</v>
      </c>
      <c r="N109" s="3">
        <v>44085</v>
      </c>
      <c r="O109" s="4">
        <v>225.4</v>
      </c>
      <c r="P109" s="2" t="s">
        <v>84</v>
      </c>
      <c r="Q109" s="2" t="s">
        <v>34</v>
      </c>
      <c r="R109" s="2" t="s">
        <v>266</v>
      </c>
      <c r="S109" s="2" t="s">
        <v>416</v>
      </c>
      <c r="T109" s="2" t="s">
        <v>87</v>
      </c>
      <c r="U109" s="2" t="s">
        <v>290</v>
      </c>
      <c r="V109" s="2" t="s">
        <v>88</v>
      </c>
      <c r="W109" s="2" t="s">
        <v>1024</v>
      </c>
      <c r="X109" s="2" t="s">
        <v>412</v>
      </c>
      <c r="Y109" s="2" t="s">
        <v>428</v>
      </c>
      <c r="Z109" s="2" t="s">
        <v>856</v>
      </c>
      <c r="AA109" s="2" t="s">
        <v>39</v>
      </c>
      <c r="AB109" s="2" t="s">
        <v>414</v>
      </c>
    </row>
    <row r="110" spans="1:28" hidden="1" x14ac:dyDescent="0.2">
      <c r="A110" s="2" t="s">
        <v>427</v>
      </c>
      <c r="B110" s="3">
        <v>44055</v>
      </c>
      <c r="C110" s="2" t="s">
        <v>1025</v>
      </c>
      <c r="D110" s="2" t="s">
        <v>54</v>
      </c>
      <c r="E110" s="2" t="s">
        <v>541</v>
      </c>
      <c r="F110" s="2" t="s">
        <v>542</v>
      </c>
      <c r="G110" s="2" t="s">
        <v>1026</v>
      </c>
      <c r="H110" s="2" t="s">
        <v>1027</v>
      </c>
      <c r="I110" s="2" t="s">
        <v>77</v>
      </c>
      <c r="J110" s="2" t="s">
        <v>32</v>
      </c>
      <c r="K110" s="2" t="s">
        <v>404</v>
      </c>
      <c r="L110" s="2" t="s">
        <v>622</v>
      </c>
      <c r="M110" s="3">
        <v>44054</v>
      </c>
      <c r="N110" s="3">
        <v>44077</v>
      </c>
      <c r="O110" s="4">
        <v>496.8</v>
      </c>
      <c r="P110" s="2" t="s">
        <v>48</v>
      </c>
      <c r="Q110" s="2" t="s">
        <v>498</v>
      </c>
      <c r="R110" s="2" t="s">
        <v>499</v>
      </c>
      <c r="S110" s="2" t="s">
        <v>428</v>
      </c>
      <c r="T110" s="2" t="s">
        <v>36</v>
      </c>
      <c r="U110" s="2" t="s">
        <v>1028</v>
      </c>
      <c r="V110" s="2" t="s">
        <v>155</v>
      </c>
      <c r="W110" s="2" t="s">
        <v>1029</v>
      </c>
      <c r="X110" s="2" t="s">
        <v>412</v>
      </c>
      <c r="Y110" s="2" t="s">
        <v>429</v>
      </c>
      <c r="Z110" s="2" t="s">
        <v>611</v>
      </c>
      <c r="AA110" s="2" t="s">
        <v>39</v>
      </c>
      <c r="AB110" s="2" t="s">
        <v>414</v>
      </c>
    </row>
    <row r="111" spans="1:28" hidden="1" x14ac:dyDescent="0.2">
      <c r="A111" s="2" t="s">
        <v>427</v>
      </c>
      <c r="B111" s="3">
        <v>44048</v>
      </c>
      <c r="C111" s="2" t="s">
        <v>1025</v>
      </c>
      <c r="D111" s="2" t="s">
        <v>28</v>
      </c>
      <c r="E111" s="2" t="s">
        <v>110</v>
      </c>
      <c r="F111" s="2" t="s">
        <v>1030</v>
      </c>
      <c r="G111" s="2" t="s">
        <v>1031</v>
      </c>
      <c r="H111" s="2" t="s">
        <v>1032</v>
      </c>
      <c r="I111" s="2" t="s">
        <v>77</v>
      </c>
      <c r="J111" s="2" t="s">
        <v>32</v>
      </c>
      <c r="K111" s="2" t="s">
        <v>404</v>
      </c>
      <c r="L111" s="2" t="s">
        <v>622</v>
      </c>
      <c r="M111" s="3">
        <v>44054</v>
      </c>
      <c r="N111" s="3">
        <v>44078</v>
      </c>
      <c r="O111" s="4">
        <v>499.9</v>
      </c>
      <c r="P111" s="2" t="s">
        <v>48</v>
      </c>
      <c r="Q111" s="2" t="s">
        <v>134</v>
      </c>
      <c r="R111" s="2" t="s">
        <v>135</v>
      </c>
      <c r="S111" s="2" t="s">
        <v>428</v>
      </c>
      <c r="T111" s="2" t="s">
        <v>72</v>
      </c>
      <c r="U111" s="2" t="s">
        <v>37</v>
      </c>
      <c r="V111" s="2" t="s">
        <v>155</v>
      </c>
      <c r="W111" s="2" t="s">
        <v>1033</v>
      </c>
      <c r="X111" s="2" t="s">
        <v>412</v>
      </c>
      <c r="Y111" s="2" t="s">
        <v>429</v>
      </c>
      <c r="Z111" s="2" t="s">
        <v>946</v>
      </c>
      <c r="AA111" s="2" t="s">
        <v>39</v>
      </c>
      <c r="AB111" s="2" t="s">
        <v>414</v>
      </c>
    </row>
    <row r="112" spans="1:28" hidden="1" x14ac:dyDescent="0.2">
      <c r="A112" s="2" t="s">
        <v>470</v>
      </c>
      <c r="B112" s="3">
        <v>44058</v>
      </c>
      <c r="C112" s="2" t="s">
        <v>1034</v>
      </c>
      <c r="D112" s="2" t="s">
        <v>54</v>
      </c>
      <c r="E112" s="2" t="s">
        <v>237</v>
      </c>
      <c r="F112" s="2" t="s">
        <v>238</v>
      </c>
      <c r="G112" s="2" t="s">
        <v>1035</v>
      </c>
      <c r="H112" s="2" t="s">
        <v>1036</v>
      </c>
      <c r="I112" s="2" t="s">
        <v>239</v>
      </c>
      <c r="J112" s="2" t="s">
        <v>223</v>
      </c>
      <c r="K112" s="2" t="s">
        <v>488</v>
      </c>
      <c r="L112" s="2" t="s">
        <v>1037</v>
      </c>
      <c r="M112" s="3">
        <v>44055</v>
      </c>
      <c r="N112" s="3">
        <v>44083</v>
      </c>
      <c r="O112" s="4">
        <v>107.009</v>
      </c>
      <c r="P112" s="2" t="s">
        <v>224</v>
      </c>
      <c r="Q112" s="2" t="s">
        <v>153</v>
      </c>
      <c r="R112" s="2" t="s">
        <v>154</v>
      </c>
      <c r="S112" s="2" t="s">
        <v>419</v>
      </c>
      <c r="T112" s="2" t="s">
        <v>87</v>
      </c>
      <c r="U112" s="2" t="s">
        <v>37</v>
      </c>
      <c r="V112" s="2" t="s">
        <v>88</v>
      </c>
      <c r="W112" s="2" t="s">
        <v>1038</v>
      </c>
      <c r="X112" s="2" t="s">
        <v>412</v>
      </c>
      <c r="Y112" s="2" t="s">
        <v>472</v>
      </c>
      <c r="Z112" s="2" t="s">
        <v>412</v>
      </c>
      <c r="AA112" s="2" t="s">
        <v>39</v>
      </c>
      <c r="AB112" s="2" t="s">
        <v>414</v>
      </c>
    </row>
    <row r="113" spans="1:28" hidden="1" x14ac:dyDescent="0.2">
      <c r="A113" s="2" t="s">
        <v>470</v>
      </c>
      <c r="B113" s="3">
        <v>44073</v>
      </c>
      <c r="C113" s="2" t="s">
        <v>1034</v>
      </c>
      <c r="D113" s="2" t="s">
        <v>28</v>
      </c>
      <c r="E113" s="2" t="s">
        <v>110</v>
      </c>
      <c r="F113" s="2" t="s">
        <v>111</v>
      </c>
      <c r="G113" s="2" t="s">
        <v>1039</v>
      </c>
      <c r="H113" s="2" t="s">
        <v>1040</v>
      </c>
      <c r="I113" s="2" t="s">
        <v>31</v>
      </c>
      <c r="J113" s="2" t="s">
        <v>32</v>
      </c>
      <c r="K113" s="2" t="s">
        <v>488</v>
      </c>
      <c r="L113" s="2" t="s">
        <v>1037</v>
      </c>
      <c r="M113" s="3">
        <v>44055</v>
      </c>
      <c r="N113" s="3">
        <v>44086</v>
      </c>
      <c r="O113" s="4">
        <v>489.25</v>
      </c>
      <c r="P113" s="2" t="s">
        <v>224</v>
      </c>
      <c r="Q113" s="2" t="s">
        <v>34</v>
      </c>
      <c r="R113" s="2" t="s">
        <v>35</v>
      </c>
      <c r="S113" s="2" t="s">
        <v>432</v>
      </c>
      <c r="T113" s="2" t="s">
        <v>87</v>
      </c>
      <c r="U113" s="2" t="s">
        <v>290</v>
      </c>
      <c r="V113" s="2" t="s">
        <v>88</v>
      </c>
      <c r="W113" s="2" t="s">
        <v>1041</v>
      </c>
      <c r="X113" s="2" t="s">
        <v>412</v>
      </c>
      <c r="Y113" s="2" t="s">
        <v>478</v>
      </c>
      <c r="Z113" s="2" t="s">
        <v>946</v>
      </c>
      <c r="AA113" s="2" t="s">
        <v>39</v>
      </c>
      <c r="AB113" s="2" t="s">
        <v>414</v>
      </c>
    </row>
    <row r="114" spans="1:28" hidden="1" x14ac:dyDescent="0.2">
      <c r="A114" s="2" t="s">
        <v>470</v>
      </c>
      <c r="B114" s="3">
        <v>44073</v>
      </c>
      <c r="C114" s="2" t="s">
        <v>1034</v>
      </c>
      <c r="D114" s="2" t="s">
        <v>28</v>
      </c>
      <c r="E114" s="2" t="s">
        <v>110</v>
      </c>
      <c r="F114" s="2" t="s">
        <v>111</v>
      </c>
      <c r="G114" s="2" t="s">
        <v>1042</v>
      </c>
      <c r="H114" s="2" t="s">
        <v>1043</v>
      </c>
      <c r="I114" s="2" t="s">
        <v>31</v>
      </c>
      <c r="J114" s="2" t="s">
        <v>32</v>
      </c>
      <c r="K114" s="2" t="s">
        <v>488</v>
      </c>
      <c r="L114" s="2" t="s">
        <v>1037</v>
      </c>
      <c r="M114" s="3">
        <v>44055</v>
      </c>
      <c r="N114" s="3">
        <v>44086</v>
      </c>
      <c r="O114" s="4">
        <v>489.25</v>
      </c>
      <c r="P114" s="2" t="s">
        <v>224</v>
      </c>
      <c r="Q114" s="2" t="s">
        <v>34</v>
      </c>
      <c r="R114" s="2" t="s">
        <v>35</v>
      </c>
      <c r="S114" s="2" t="s">
        <v>432</v>
      </c>
      <c r="T114" s="2" t="s">
        <v>87</v>
      </c>
      <c r="U114" s="2" t="s">
        <v>290</v>
      </c>
      <c r="V114" s="2" t="s">
        <v>88</v>
      </c>
      <c r="W114" s="2" t="s">
        <v>1044</v>
      </c>
      <c r="X114" s="2" t="s">
        <v>412</v>
      </c>
      <c r="Y114" s="2" t="s">
        <v>478</v>
      </c>
      <c r="Z114" s="2" t="s">
        <v>946</v>
      </c>
      <c r="AA114" s="2" t="s">
        <v>39</v>
      </c>
      <c r="AB114" s="2" t="s">
        <v>414</v>
      </c>
    </row>
    <row r="115" spans="1:28" hidden="1" x14ac:dyDescent="0.2">
      <c r="A115" s="2" t="s">
        <v>470</v>
      </c>
      <c r="B115" s="3">
        <v>44053</v>
      </c>
      <c r="C115" s="2" t="s">
        <v>1034</v>
      </c>
      <c r="D115" s="2" t="s">
        <v>91</v>
      </c>
      <c r="E115" s="2" t="s">
        <v>242</v>
      </c>
      <c r="F115" s="2" t="s">
        <v>243</v>
      </c>
      <c r="G115" s="2" t="s">
        <v>1045</v>
      </c>
      <c r="H115" s="2" t="s">
        <v>1046</v>
      </c>
      <c r="I115" s="2" t="s">
        <v>535</v>
      </c>
      <c r="J115" s="2" t="s">
        <v>47</v>
      </c>
      <c r="K115" s="2" t="s">
        <v>488</v>
      </c>
      <c r="L115" s="2" t="s">
        <v>1037</v>
      </c>
      <c r="M115" s="3">
        <v>44055</v>
      </c>
      <c r="N115" s="3">
        <v>44083</v>
      </c>
      <c r="O115" s="4">
        <v>56</v>
      </c>
      <c r="P115" s="2" t="s">
        <v>224</v>
      </c>
      <c r="Q115" s="2" t="s">
        <v>100</v>
      </c>
      <c r="R115" s="2" t="s">
        <v>101</v>
      </c>
      <c r="S115" s="2" t="s">
        <v>446</v>
      </c>
      <c r="T115" s="2" t="s">
        <v>87</v>
      </c>
      <c r="U115" s="2" t="s">
        <v>290</v>
      </c>
      <c r="V115" s="2" t="s">
        <v>88</v>
      </c>
      <c r="W115" s="2" t="s">
        <v>1047</v>
      </c>
      <c r="X115" s="2" t="s">
        <v>412</v>
      </c>
      <c r="Y115" s="2" t="s">
        <v>412</v>
      </c>
      <c r="Z115" s="2" t="s">
        <v>412</v>
      </c>
      <c r="AA115" s="2" t="s">
        <v>39</v>
      </c>
      <c r="AB115" s="2" t="s">
        <v>414</v>
      </c>
    </row>
    <row r="116" spans="1:28" hidden="1" x14ac:dyDescent="0.2">
      <c r="A116" s="2" t="s">
        <v>431</v>
      </c>
      <c r="B116" s="3">
        <v>44048</v>
      </c>
      <c r="C116" s="2" t="s">
        <v>1048</v>
      </c>
      <c r="D116" s="2" t="s">
        <v>62</v>
      </c>
      <c r="E116" s="2" t="s">
        <v>324</v>
      </c>
      <c r="F116" s="2" t="s">
        <v>325</v>
      </c>
      <c r="G116" s="2" t="s">
        <v>1049</v>
      </c>
      <c r="H116" s="2" t="s">
        <v>1050</v>
      </c>
      <c r="I116" s="2" t="s">
        <v>112</v>
      </c>
      <c r="J116" s="2" t="s">
        <v>32</v>
      </c>
      <c r="K116" s="2" t="s">
        <v>1051</v>
      </c>
      <c r="L116" s="2" t="s">
        <v>113</v>
      </c>
      <c r="M116" s="3">
        <v>44055</v>
      </c>
      <c r="N116" s="3">
        <v>44078</v>
      </c>
      <c r="O116" s="4">
        <v>500</v>
      </c>
      <c r="P116" s="2" t="s">
        <v>114</v>
      </c>
      <c r="Q116" s="2" t="s">
        <v>115</v>
      </c>
      <c r="R116" s="2" t="s">
        <v>116</v>
      </c>
      <c r="S116" s="2" t="s">
        <v>439</v>
      </c>
      <c r="T116" s="2" t="s">
        <v>117</v>
      </c>
      <c r="U116" s="2" t="s">
        <v>290</v>
      </c>
      <c r="V116" s="2" t="s">
        <v>118</v>
      </c>
      <c r="W116" s="2" t="s">
        <v>412</v>
      </c>
      <c r="X116" s="2" t="s">
        <v>412</v>
      </c>
      <c r="Y116" s="2" t="s">
        <v>440</v>
      </c>
      <c r="Z116" s="2" t="s">
        <v>412</v>
      </c>
      <c r="AA116" s="2" t="s">
        <v>39</v>
      </c>
      <c r="AB116" s="2" t="s">
        <v>441</v>
      </c>
    </row>
    <row r="117" spans="1:28" hidden="1" x14ac:dyDescent="0.2">
      <c r="A117" s="2" t="s">
        <v>431</v>
      </c>
      <c r="B117" s="3">
        <v>44048</v>
      </c>
      <c r="C117" s="2" t="s">
        <v>1048</v>
      </c>
      <c r="D117" s="2" t="s">
        <v>62</v>
      </c>
      <c r="E117" s="2" t="s">
        <v>324</v>
      </c>
      <c r="F117" s="2" t="s">
        <v>325</v>
      </c>
      <c r="G117" s="2" t="s">
        <v>1052</v>
      </c>
      <c r="H117" s="2" t="s">
        <v>1053</v>
      </c>
      <c r="I117" s="2" t="s">
        <v>112</v>
      </c>
      <c r="J117" s="2" t="s">
        <v>32</v>
      </c>
      <c r="K117" s="2" t="s">
        <v>1051</v>
      </c>
      <c r="L117" s="2" t="s">
        <v>113</v>
      </c>
      <c r="M117" s="3">
        <v>44055</v>
      </c>
      <c r="N117" s="3">
        <v>44078</v>
      </c>
      <c r="O117" s="4">
        <v>500</v>
      </c>
      <c r="P117" s="2" t="s">
        <v>114</v>
      </c>
      <c r="Q117" s="2" t="s">
        <v>115</v>
      </c>
      <c r="R117" s="2" t="s">
        <v>116</v>
      </c>
      <c r="S117" s="2" t="s">
        <v>439</v>
      </c>
      <c r="T117" s="2" t="s">
        <v>117</v>
      </c>
      <c r="U117" s="2" t="s">
        <v>290</v>
      </c>
      <c r="V117" s="2" t="s">
        <v>118</v>
      </c>
      <c r="W117" s="2" t="s">
        <v>412</v>
      </c>
      <c r="X117" s="2" t="s">
        <v>412</v>
      </c>
      <c r="Y117" s="2" t="s">
        <v>440</v>
      </c>
      <c r="Z117" s="2" t="s">
        <v>412</v>
      </c>
      <c r="AA117" s="2" t="s">
        <v>39</v>
      </c>
      <c r="AB117" s="2" t="s">
        <v>441</v>
      </c>
    </row>
    <row r="118" spans="1:28" hidden="1" x14ac:dyDescent="0.2">
      <c r="A118" s="2" t="s">
        <v>431</v>
      </c>
      <c r="B118" s="3">
        <v>44058</v>
      </c>
      <c r="C118" s="2" t="s">
        <v>1048</v>
      </c>
      <c r="D118" s="2" t="s">
        <v>102</v>
      </c>
      <c r="E118" s="2" t="s">
        <v>662</v>
      </c>
      <c r="F118" s="2" t="s">
        <v>663</v>
      </c>
      <c r="G118" s="2" t="s">
        <v>1054</v>
      </c>
      <c r="H118" s="2" t="s">
        <v>1055</v>
      </c>
      <c r="I118" s="2" t="s">
        <v>112</v>
      </c>
      <c r="J118" s="2" t="s">
        <v>32</v>
      </c>
      <c r="K118" s="2" t="s">
        <v>1051</v>
      </c>
      <c r="L118" s="2" t="s">
        <v>113</v>
      </c>
      <c r="M118" s="3">
        <v>44055</v>
      </c>
      <c r="N118" s="3">
        <v>44089</v>
      </c>
      <c r="O118" s="4">
        <v>400</v>
      </c>
      <c r="P118" s="2" t="s">
        <v>114</v>
      </c>
      <c r="Q118" s="2" t="s">
        <v>131</v>
      </c>
      <c r="R118" s="2" t="s">
        <v>132</v>
      </c>
      <c r="S118" s="2" t="s">
        <v>439</v>
      </c>
      <c r="T118" s="2" t="s">
        <v>117</v>
      </c>
      <c r="U118" s="2" t="s">
        <v>290</v>
      </c>
      <c r="V118" s="2" t="s">
        <v>118</v>
      </c>
      <c r="W118" s="2" t="s">
        <v>412</v>
      </c>
      <c r="X118" s="2" t="s">
        <v>412</v>
      </c>
      <c r="Y118" s="2" t="s">
        <v>445</v>
      </c>
      <c r="Z118" s="2" t="s">
        <v>412</v>
      </c>
      <c r="AA118" s="2" t="s">
        <v>39</v>
      </c>
      <c r="AB118" s="2" t="s">
        <v>441</v>
      </c>
    </row>
    <row r="119" spans="1:28" hidden="1" x14ac:dyDescent="0.2">
      <c r="A119" s="2" t="s">
        <v>431</v>
      </c>
      <c r="B119" s="3">
        <v>44058</v>
      </c>
      <c r="C119" s="2" t="s">
        <v>1048</v>
      </c>
      <c r="D119" s="2" t="s">
        <v>102</v>
      </c>
      <c r="E119" s="2" t="s">
        <v>123</v>
      </c>
      <c r="F119" s="2" t="s">
        <v>124</v>
      </c>
      <c r="G119" s="2" t="s">
        <v>1056</v>
      </c>
      <c r="H119" s="2" t="s">
        <v>1057</v>
      </c>
      <c r="I119" s="2" t="s">
        <v>125</v>
      </c>
      <c r="J119" s="2" t="s">
        <v>58</v>
      </c>
      <c r="K119" s="2" t="s">
        <v>1051</v>
      </c>
      <c r="L119" s="2" t="s">
        <v>113</v>
      </c>
      <c r="M119" s="3">
        <v>44055</v>
      </c>
      <c r="N119" s="3">
        <v>44086</v>
      </c>
      <c r="O119" s="4">
        <v>45</v>
      </c>
      <c r="P119" s="2" t="s">
        <v>114</v>
      </c>
      <c r="Q119" s="2" t="s">
        <v>85</v>
      </c>
      <c r="R119" s="2" t="s">
        <v>86</v>
      </c>
      <c r="S119" s="2" t="s">
        <v>439</v>
      </c>
      <c r="T119" s="2" t="s">
        <v>117</v>
      </c>
      <c r="U119" s="2" t="s">
        <v>290</v>
      </c>
      <c r="V119" s="2" t="s">
        <v>118</v>
      </c>
      <c r="W119" s="2" t="s">
        <v>412</v>
      </c>
      <c r="X119" s="2" t="s">
        <v>412</v>
      </c>
      <c r="Y119" s="2" t="s">
        <v>443</v>
      </c>
      <c r="Z119" s="2" t="s">
        <v>412</v>
      </c>
      <c r="AA119" s="2" t="s">
        <v>39</v>
      </c>
      <c r="AB119" s="2" t="s">
        <v>441</v>
      </c>
    </row>
    <row r="120" spans="1:28" hidden="1" x14ac:dyDescent="0.2">
      <c r="A120" s="2" t="s">
        <v>431</v>
      </c>
      <c r="B120" s="3">
        <v>44058</v>
      </c>
      <c r="C120" s="2" t="s">
        <v>1048</v>
      </c>
      <c r="D120" s="2" t="s">
        <v>102</v>
      </c>
      <c r="E120" s="2" t="s">
        <v>123</v>
      </c>
      <c r="F120" s="2" t="s">
        <v>124</v>
      </c>
      <c r="G120" s="2" t="s">
        <v>1058</v>
      </c>
      <c r="H120" s="2" t="s">
        <v>1059</v>
      </c>
      <c r="I120" s="2" t="s">
        <v>126</v>
      </c>
      <c r="J120" s="2" t="s">
        <v>58</v>
      </c>
      <c r="K120" s="2" t="s">
        <v>1051</v>
      </c>
      <c r="L120" s="2" t="s">
        <v>113</v>
      </c>
      <c r="M120" s="3">
        <v>44055</v>
      </c>
      <c r="N120" s="3">
        <v>44086</v>
      </c>
      <c r="O120" s="4">
        <v>15</v>
      </c>
      <c r="P120" s="2" t="s">
        <v>114</v>
      </c>
      <c r="Q120" s="2" t="s">
        <v>85</v>
      </c>
      <c r="R120" s="2" t="s">
        <v>86</v>
      </c>
      <c r="S120" s="2" t="s">
        <v>439</v>
      </c>
      <c r="T120" s="2" t="s">
        <v>117</v>
      </c>
      <c r="U120" s="2" t="s">
        <v>290</v>
      </c>
      <c r="V120" s="2" t="s">
        <v>118</v>
      </c>
      <c r="W120" s="2" t="s">
        <v>412</v>
      </c>
      <c r="X120" s="2" t="s">
        <v>412</v>
      </c>
      <c r="Y120" s="2" t="s">
        <v>411</v>
      </c>
      <c r="Z120" s="2" t="s">
        <v>412</v>
      </c>
      <c r="AA120" s="2" t="s">
        <v>39</v>
      </c>
      <c r="AB120" s="2" t="s">
        <v>441</v>
      </c>
    </row>
    <row r="121" spans="1:28" hidden="1" x14ac:dyDescent="0.2">
      <c r="A121" s="2" t="s">
        <v>431</v>
      </c>
      <c r="B121" s="3">
        <v>44058</v>
      </c>
      <c r="C121" s="2" t="s">
        <v>1048</v>
      </c>
      <c r="D121" s="2" t="s">
        <v>102</v>
      </c>
      <c r="E121" s="2" t="s">
        <v>127</v>
      </c>
      <c r="F121" s="2" t="s">
        <v>124</v>
      </c>
      <c r="G121" s="2" t="s">
        <v>1060</v>
      </c>
      <c r="H121" s="2" t="s">
        <v>1061</v>
      </c>
      <c r="I121" s="2" t="s">
        <v>125</v>
      </c>
      <c r="J121" s="2" t="s">
        <v>58</v>
      </c>
      <c r="K121" s="2" t="s">
        <v>1051</v>
      </c>
      <c r="L121" s="2" t="s">
        <v>113</v>
      </c>
      <c r="M121" s="3">
        <v>44055</v>
      </c>
      <c r="N121" s="3">
        <v>44086</v>
      </c>
      <c r="O121" s="4">
        <v>60</v>
      </c>
      <c r="P121" s="2" t="s">
        <v>114</v>
      </c>
      <c r="Q121" s="2" t="s">
        <v>85</v>
      </c>
      <c r="R121" s="2" t="s">
        <v>86</v>
      </c>
      <c r="S121" s="2" t="s">
        <v>439</v>
      </c>
      <c r="T121" s="2" t="s">
        <v>117</v>
      </c>
      <c r="U121" s="2" t="s">
        <v>290</v>
      </c>
      <c r="V121" s="2" t="s">
        <v>118</v>
      </c>
      <c r="W121" s="2" t="s">
        <v>412</v>
      </c>
      <c r="X121" s="2" t="s">
        <v>412</v>
      </c>
      <c r="Y121" s="2" t="s">
        <v>444</v>
      </c>
      <c r="Z121" s="2" t="s">
        <v>412</v>
      </c>
      <c r="AA121" s="2" t="s">
        <v>39</v>
      </c>
      <c r="AB121" s="2" t="s">
        <v>441</v>
      </c>
    </row>
    <row r="122" spans="1:28" hidden="1" x14ac:dyDescent="0.2">
      <c r="A122" s="2" t="s">
        <v>431</v>
      </c>
      <c r="B122" s="3">
        <v>44058</v>
      </c>
      <c r="C122" s="2" t="s">
        <v>1048</v>
      </c>
      <c r="D122" s="2" t="s">
        <v>102</v>
      </c>
      <c r="E122" s="2" t="s">
        <v>128</v>
      </c>
      <c r="F122" s="2" t="s">
        <v>124</v>
      </c>
      <c r="G122" s="2" t="s">
        <v>1062</v>
      </c>
      <c r="H122" s="2" t="s">
        <v>1063</v>
      </c>
      <c r="I122" s="2" t="s">
        <v>125</v>
      </c>
      <c r="J122" s="2" t="s">
        <v>58</v>
      </c>
      <c r="K122" s="2" t="s">
        <v>1051</v>
      </c>
      <c r="L122" s="2" t="s">
        <v>113</v>
      </c>
      <c r="M122" s="3">
        <v>44055</v>
      </c>
      <c r="N122" s="3">
        <v>44086</v>
      </c>
      <c r="O122" s="4">
        <v>20</v>
      </c>
      <c r="P122" s="2" t="s">
        <v>114</v>
      </c>
      <c r="Q122" s="2" t="s">
        <v>85</v>
      </c>
      <c r="R122" s="2" t="s">
        <v>86</v>
      </c>
      <c r="S122" s="2" t="s">
        <v>439</v>
      </c>
      <c r="T122" s="2" t="s">
        <v>117</v>
      </c>
      <c r="U122" s="2" t="s">
        <v>290</v>
      </c>
      <c r="V122" s="2" t="s">
        <v>118</v>
      </c>
      <c r="W122" s="2" t="s">
        <v>412</v>
      </c>
      <c r="X122" s="2" t="s">
        <v>412</v>
      </c>
      <c r="Y122" s="2" t="s">
        <v>416</v>
      </c>
      <c r="Z122" s="2" t="s">
        <v>412</v>
      </c>
      <c r="AA122" s="2" t="s">
        <v>39</v>
      </c>
      <c r="AB122" s="2" t="s">
        <v>441</v>
      </c>
    </row>
    <row r="123" spans="1:28" hidden="1" x14ac:dyDescent="0.2">
      <c r="A123" s="2" t="s">
        <v>431</v>
      </c>
      <c r="B123" s="3">
        <v>44058</v>
      </c>
      <c r="C123" s="2" t="s">
        <v>1048</v>
      </c>
      <c r="D123" s="2" t="s">
        <v>102</v>
      </c>
      <c r="E123" s="2" t="s">
        <v>322</v>
      </c>
      <c r="F123" s="2" t="s">
        <v>331</v>
      </c>
      <c r="G123" s="2" t="s">
        <v>1064</v>
      </c>
      <c r="H123" s="2" t="s">
        <v>1065</v>
      </c>
      <c r="I123" s="2" t="s">
        <v>112</v>
      </c>
      <c r="J123" s="2" t="s">
        <v>32</v>
      </c>
      <c r="K123" s="2" t="s">
        <v>1051</v>
      </c>
      <c r="L123" s="2" t="s">
        <v>113</v>
      </c>
      <c r="M123" s="3">
        <v>44055</v>
      </c>
      <c r="N123" s="3">
        <v>44089</v>
      </c>
      <c r="O123" s="4">
        <v>50</v>
      </c>
      <c r="P123" s="2" t="s">
        <v>114</v>
      </c>
      <c r="Q123" s="2" t="s">
        <v>131</v>
      </c>
      <c r="R123" s="2" t="s">
        <v>132</v>
      </c>
      <c r="S123" s="2" t="s">
        <v>439</v>
      </c>
      <c r="T123" s="2" t="s">
        <v>117</v>
      </c>
      <c r="U123" s="2" t="s">
        <v>290</v>
      </c>
      <c r="V123" s="2" t="s">
        <v>118</v>
      </c>
      <c r="W123" s="2" t="s">
        <v>412</v>
      </c>
      <c r="X123" s="2" t="s">
        <v>412</v>
      </c>
      <c r="Y123" s="2" t="s">
        <v>467</v>
      </c>
      <c r="Z123" s="2" t="s">
        <v>412</v>
      </c>
      <c r="AA123" s="2" t="s">
        <v>39</v>
      </c>
      <c r="AB123" s="2" t="s">
        <v>441</v>
      </c>
    </row>
    <row r="124" spans="1:28" hidden="1" x14ac:dyDescent="0.2">
      <c r="A124" s="2" t="s">
        <v>431</v>
      </c>
      <c r="B124" s="3">
        <v>44058</v>
      </c>
      <c r="C124" s="2" t="s">
        <v>1048</v>
      </c>
      <c r="D124" s="2" t="s">
        <v>102</v>
      </c>
      <c r="E124" s="2" t="s">
        <v>322</v>
      </c>
      <c r="F124" s="2" t="s">
        <v>687</v>
      </c>
      <c r="G124" s="2" t="s">
        <v>1066</v>
      </c>
      <c r="H124" s="2" t="s">
        <v>1067</v>
      </c>
      <c r="I124" s="2" t="s">
        <v>112</v>
      </c>
      <c r="J124" s="2" t="s">
        <v>32</v>
      </c>
      <c r="K124" s="2" t="s">
        <v>1051</v>
      </c>
      <c r="L124" s="2" t="s">
        <v>113</v>
      </c>
      <c r="M124" s="3">
        <v>44055</v>
      </c>
      <c r="N124" s="3">
        <v>44089</v>
      </c>
      <c r="O124" s="4">
        <v>200</v>
      </c>
      <c r="P124" s="2" t="s">
        <v>114</v>
      </c>
      <c r="Q124" s="2" t="s">
        <v>131</v>
      </c>
      <c r="R124" s="2" t="s">
        <v>132</v>
      </c>
      <c r="S124" s="2" t="s">
        <v>439</v>
      </c>
      <c r="T124" s="2" t="s">
        <v>117</v>
      </c>
      <c r="U124" s="2" t="s">
        <v>290</v>
      </c>
      <c r="V124" s="2" t="s">
        <v>118</v>
      </c>
      <c r="W124" s="2" t="s">
        <v>412</v>
      </c>
      <c r="X124" s="2" t="s">
        <v>412</v>
      </c>
      <c r="Y124" s="2" t="s">
        <v>690</v>
      </c>
      <c r="Z124" s="2" t="s">
        <v>412</v>
      </c>
      <c r="AA124" s="2" t="s">
        <v>39</v>
      </c>
      <c r="AB124" s="2" t="s">
        <v>441</v>
      </c>
    </row>
    <row r="125" spans="1:28" hidden="1" x14ac:dyDescent="0.2">
      <c r="A125" s="2" t="s">
        <v>431</v>
      </c>
      <c r="B125" s="3">
        <v>44073</v>
      </c>
      <c r="C125" s="2" t="s">
        <v>1048</v>
      </c>
      <c r="D125" s="2" t="s">
        <v>28</v>
      </c>
      <c r="E125" s="2" t="s">
        <v>29</v>
      </c>
      <c r="F125" s="2" t="s">
        <v>41</v>
      </c>
      <c r="G125" s="2" t="s">
        <v>1068</v>
      </c>
      <c r="H125" s="2" t="s">
        <v>1069</v>
      </c>
      <c r="I125" s="2" t="s">
        <v>112</v>
      </c>
      <c r="J125" s="2" t="s">
        <v>32</v>
      </c>
      <c r="K125" s="2" t="s">
        <v>1051</v>
      </c>
      <c r="L125" s="2" t="s">
        <v>113</v>
      </c>
      <c r="M125" s="3">
        <v>44055</v>
      </c>
      <c r="N125" s="3">
        <v>44078</v>
      </c>
      <c r="O125" s="4">
        <v>500</v>
      </c>
      <c r="P125" s="2" t="s">
        <v>114</v>
      </c>
      <c r="Q125" s="2" t="s">
        <v>115</v>
      </c>
      <c r="R125" s="2" t="s">
        <v>116</v>
      </c>
      <c r="S125" s="2" t="s">
        <v>439</v>
      </c>
      <c r="T125" s="2" t="s">
        <v>117</v>
      </c>
      <c r="U125" s="2" t="s">
        <v>290</v>
      </c>
      <c r="V125" s="2" t="s">
        <v>118</v>
      </c>
      <c r="W125" s="2" t="s">
        <v>412</v>
      </c>
      <c r="X125" s="2" t="s">
        <v>412</v>
      </c>
      <c r="Y125" s="2" t="s">
        <v>440</v>
      </c>
      <c r="Z125" s="2" t="s">
        <v>412</v>
      </c>
      <c r="AA125" s="2" t="s">
        <v>39</v>
      </c>
      <c r="AB125" s="2" t="s">
        <v>441</v>
      </c>
    </row>
    <row r="126" spans="1:28" hidden="1" x14ac:dyDescent="0.2">
      <c r="A126" s="2" t="s">
        <v>431</v>
      </c>
      <c r="B126" s="3">
        <v>44073</v>
      </c>
      <c r="C126" s="2" t="s">
        <v>1048</v>
      </c>
      <c r="D126" s="2" t="s">
        <v>28</v>
      </c>
      <c r="E126" s="2" t="s">
        <v>29</v>
      </c>
      <c r="F126" s="2" t="s">
        <v>41</v>
      </c>
      <c r="G126" s="2" t="s">
        <v>1070</v>
      </c>
      <c r="H126" s="2" t="s">
        <v>1071</v>
      </c>
      <c r="I126" s="2" t="s">
        <v>112</v>
      </c>
      <c r="J126" s="2" t="s">
        <v>32</v>
      </c>
      <c r="K126" s="2" t="s">
        <v>1051</v>
      </c>
      <c r="L126" s="2" t="s">
        <v>113</v>
      </c>
      <c r="M126" s="3">
        <v>44055</v>
      </c>
      <c r="N126" s="3">
        <v>44078</v>
      </c>
      <c r="O126" s="4">
        <v>500</v>
      </c>
      <c r="P126" s="2" t="s">
        <v>114</v>
      </c>
      <c r="Q126" s="2" t="s">
        <v>115</v>
      </c>
      <c r="R126" s="2" t="s">
        <v>116</v>
      </c>
      <c r="S126" s="2" t="s">
        <v>439</v>
      </c>
      <c r="T126" s="2" t="s">
        <v>117</v>
      </c>
      <c r="U126" s="2" t="s">
        <v>290</v>
      </c>
      <c r="V126" s="2" t="s">
        <v>118</v>
      </c>
      <c r="W126" s="2" t="s">
        <v>412</v>
      </c>
      <c r="X126" s="2" t="s">
        <v>412</v>
      </c>
      <c r="Y126" s="2" t="s">
        <v>440</v>
      </c>
      <c r="Z126" s="2" t="s">
        <v>412</v>
      </c>
      <c r="AA126" s="2" t="s">
        <v>39</v>
      </c>
      <c r="AB126" s="2" t="s">
        <v>441</v>
      </c>
    </row>
    <row r="127" spans="1:28" hidden="1" x14ac:dyDescent="0.2">
      <c r="A127" s="2" t="s">
        <v>431</v>
      </c>
      <c r="B127" s="3">
        <v>44048</v>
      </c>
      <c r="C127" s="2" t="s">
        <v>1048</v>
      </c>
      <c r="D127" s="2" t="s">
        <v>62</v>
      </c>
      <c r="E127" s="2" t="s">
        <v>119</v>
      </c>
      <c r="F127" s="2" t="s">
        <v>120</v>
      </c>
      <c r="G127" s="2" t="s">
        <v>1072</v>
      </c>
      <c r="H127" s="2" t="s">
        <v>1073</v>
      </c>
      <c r="I127" s="2" t="s">
        <v>121</v>
      </c>
      <c r="J127" s="2" t="s">
        <v>58</v>
      </c>
      <c r="K127" s="2" t="s">
        <v>1051</v>
      </c>
      <c r="L127" s="2" t="s">
        <v>113</v>
      </c>
      <c r="M127" s="3">
        <v>44055</v>
      </c>
      <c r="N127" s="3">
        <v>44078</v>
      </c>
      <c r="O127" s="4">
        <v>200</v>
      </c>
      <c r="P127" s="2" t="s">
        <v>114</v>
      </c>
      <c r="Q127" s="2" t="s">
        <v>115</v>
      </c>
      <c r="R127" s="2" t="s">
        <v>122</v>
      </c>
      <c r="S127" s="2" t="s">
        <v>439</v>
      </c>
      <c r="T127" s="2" t="s">
        <v>117</v>
      </c>
      <c r="U127" s="2" t="s">
        <v>290</v>
      </c>
      <c r="V127" s="2" t="s">
        <v>118</v>
      </c>
      <c r="W127" s="2" t="s">
        <v>412</v>
      </c>
      <c r="X127" s="2" t="s">
        <v>412</v>
      </c>
      <c r="Y127" s="2" t="s">
        <v>442</v>
      </c>
      <c r="Z127" s="2" t="s">
        <v>412</v>
      </c>
      <c r="AA127" s="2" t="s">
        <v>39</v>
      </c>
      <c r="AB127" s="2" t="s">
        <v>441</v>
      </c>
    </row>
    <row r="128" spans="1:28" hidden="1" x14ac:dyDescent="0.2">
      <c r="A128" s="2" t="s">
        <v>431</v>
      </c>
      <c r="B128" s="3">
        <v>44073</v>
      </c>
      <c r="C128" s="2" t="s">
        <v>1048</v>
      </c>
      <c r="D128" s="2" t="s">
        <v>28</v>
      </c>
      <c r="E128" s="2" t="s">
        <v>129</v>
      </c>
      <c r="F128" s="2" t="s">
        <v>346</v>
      </c>
      <c r="G128" s="2" t="s">
        <v>1074</v>
      </c>
      <c r="H128" s="2" t="s">
        <v>1075</v>
      </c>
      <c r="I128" s="2" t="s">
        <v>112</v>
      </c>
      <c r="J128" s="2" t="s">
        <v>32</v>
      </c>
      <c r="K128" s="2" t="s">
        <v>1051</v>
      </c>
      <c r="L128" s="2" t="s">
        <v>113</v>
      </c>
      <c r="M128" s="3">
        <v>44055</v>
      </c>
      <c r="N128" s="3">
        <v>44086</v>
      </c>
      <c r="O128" s="4">
        <v>500</v>
      </c>
      <c r="P128" s="2" t="s">
        <v>114</v>
      </c>
      <c r="Q128" s="2" t="s">
        <v>85</v>
      </c>
      <c r="R128" s="2" t="s">
        <v>86</v>
      </c>
      <c r="S128" s="2" t="s">
        <v>439</v>
      </c>
      <c r="T128" s="2" t="s">
        <v>117</v>
      </c>
      <c r="U128" s="2" t="s">
        <v>290</v>
      </c>
      <c r="V128" s="2" t="s">
        <v>118</v>
      </c>
      <c r="W128" s="2" t="s">
        <v>412</v>
      </c>
      <c r="X128" s="2" t="s">
        <v>412</v>
      </c>
      <c r="Y128" s="2" t="s">
        <v>440</v>
      </c>
      <c r="Z128" s="2" t="s">
        <v>412</v>
      </c>
      <c r="AA128" s="2" t="s">
        <v>39</v>
      </c>
      <c r="AB128" s="2" t="s">
        <v>441</v>
      </c>
    </row>
    <row r="129" spans="1:28" hidden="1" x14ac:dyDescent="0.2">
      <c r="A129" s="2" t="s">
        <v>431</v>
      </c>
      <c r="B129" s="3">
        <v>44073</v>
      </c>
      <c r="C129" s="2" t="s">
        <v>1048</v>
      </c>
      <c r="D129" s="2" t="s">
        <v>28</v>
      </c>
      <c r="E129" s="2" t="s">
        <v>129</v>
      </c>
      <c r="F129" s="2" t="s">
        <v>130</v>
      </c>
      <c r="G129" s="2" t="s">
        <v>1076</v>
      </c>
      <c r="H129" s="2" t="s">
        <v>1077</v>
      </c>
      <c r="I129" s="2" t="s">
        <v>112</v>
      </c>
      <c r="J129" s="2" t="s">
        <v>32</v>
      </c>
      <c r="K129" s="2" t="s">
        <v>1051</v>
      </c>
      <c r="L129" s="2" t="s">
        <v>113</v>
      </c>
      <c r="M129" s="3">
        <v>44055</v>
      </c>
      <c r="N129" s="3">
        <v>44089</v>
      </c>
      <c r="O129" s="4">
        <v>500</v>
      </c>
      <c r="P129" s="2" t="s">
        <v>114</v>
      </c>
      <c r="Q129" s="2" t="s">
        <v>131</v>
      </c>
      <c r="R129" s="2" t="s">
        <v>132</v>
      </c>
      <c r="S129" s="2" t="s">
        <v>439</v>
      </c>
      <c r="T129" s="2" t="s">
        <v>117</v>
      </c>
      <c r="U129" s="2" t="s">
        <v>290</v>
      </c>
      <c r="V129" s="2" t="s">
        <v>118</v>
      </c>
      <c r="W129" s="2" t="s">
        <v>412</v>
      </c>
      <c r="X129" s="2" t="s">
        <v>412</v>
      </c>
      <c r="Y129" s="2" t="s">
        <v>440</v>
      </c>
      <c r="Z129" s="2" t="s">
        <v>412</v>
      </c>
      <c r="AA129" s="2" t="s">
        <v>39</v>
      </c>
      <c r="AB129" s="2" t="s">
        <v>441</v>
      </c>
    </row>
    <row r="130" spans="1:28" hidden="1" x14ac:dyDescent="0.2">
      <c r="A130" s="2" t="s">
        <v>427</v>
      </c>
      <c r="B130" s="3">
        <v>44053</v>
      </c>
      <c r="C130" s="2" t="s">
        <v>1078</v>
      </c>
      <c r="D130" s="2" t="s">
        <v>62</v>
      </c>
      <c r="E130" s="2" t="s">
        <v>212</v>
      </c>
      <c r="F130" s="2" t="s">
        <v>213</v>
      </c>
      <c r="G130" s="2" t="s">
        <v>1079</v>
      </c>
      <c r="H130" s="2" t="s">
        <v>1080</v>
      </c>
      <c r="I130" s="2" t="s">
        <v>77</v>
      </c>
      <c r="J130" s="2" t="s">
        <v>32</v>
      </c>
      <c r="K130" s="2" t="s">
        <v>500</v>
      </c>
      <c r="L130" s="2" t="s">
        <v>1081</v>
      </c>
      <c r="M130" s="3">
        <v>44055</v>
      </c>
      <c r="N130" s="3">
        <v>44080</v>
      </c>
      <c r="O130" s="4">
        <v>512.86800000000005</v>
      </c>
      <c r="P130" s="2" t="s">
        <v>48</v>
      </c>
      <c r="Q130" s="2" t="s">
        <v>115</v>
      </c>
      <c r="R130" s="2" t="s">
        <v>116</v>
      </c>
      <c r="S130" s="2" t="s">
        <v>447</v>
      </c>
      <c r="T130" s="2" t="s">
        <v>140</v>
      </c>
      <c r="U130" s="2" t="s">
        <v>37</v>
      </c>
      <c r="V130" s="2" t="s">
        <v>43</v>
      </c>
      <c r="W130" s="2" t="s">
        <v>1082</v>
      </c>
      <c r="X130" s="2" t="s">
        <v>412</v>
      </c>
      <c r="Y130" s="2" t="s">
        <v>448</v>
      </c>
      <c r="Z130" s="2" t="s">
        <v>1083</v>
      </c>
      <c r="AA130" s="2" t="s">
        <v>39</v>
      </c>
      <c r="AB130" s="2" t="s">
        <v>414</v>
      </c>
    </row>
    <row r="131" spans="1:28" hidden="1" x14ac:dyDescent="0.2">
      <c r="A131" s="2" t="s">
        <v>410</v>
      </c>
      <c r="B131" s="3">
        <v>44073</v>
      </c>
      <c r="C131" s="2" t="s">
        <v>1084</v>
      </c>
      <c r="D131" s="2" t="s">
        <v>102</v>
      </c>
      <c r="E131" s="2" t="s">
        <v>195</v>
      </c>
      <c r="F131" s="2" t="s">
        <v>196</v>
      </c>
      <c r="G131" s="2" t="s">
        <v>1085</v>
      </c>
      <c r="H131" s="2" t="s">
        <v>1086</v>
      </c>
      <c r="I131" s="2" t="s">
        <v>94</v>
      </c>
      <c r="J131" s="2" t="s">
        <v>95</v>
      </c>
      <c r="K131" s="2" t="s">
        <v>1087</v>
      </c>
      <c r="L131" s="2" t="s">
        <v>760</v>
      </c>
      <c r="M131" s="3">
        <v>44060</v>
      </c>
      <c r="N131" s="3">
        <v>44081</v>
      </c>
      <c r="O131" s="4">
        <v>95.608000000000004</v>
      </c>
      <c r="P131" s="2" t="s">
        <v>492</v>
      </c>
      <c r="Q131" s="2" t="s">
        <v>166</v>
      </c>
      <c r="R131" s="2" t="s">
        <v>1088</v>
      </c>
      <c r="S131" s="2" t="s">
        <v>419</v>
      </c>
      <c r="T131" s="2" t="s">
        <v>87</v>
      </c>
      <c r="U131" s="2" t="s">
        <v>290</v>
      </c>
      <c r="V131" s="2" t="s">
        <v>493</v>
      </c>
      <c r="W131" s="2" t="s">
        <v>1089</v>
      </c>
      <c r="X131" s="2" t="s">
        <v>412</v>
      </c>
      <c r="Y131" s="2" t="s">
        <v>461</v>
      </c>
      <c r="Z131" s="2" t="s">
        <v>1090</v>
      </c>
      <c r="AA131" s="2" t="s">
        <v>39</v>
      </c>
      <c r="AB131" s="2" t="s">
        <v>414</v>
      </c>
    </row>
    <row r="132" spans="1:28" hidden="1" x14ac:dyDescent="0.2">
      <c r="A132" s="2" t="s">
        <v>410</v>
      </c>
      <c r="B132" s="3">
        <v>44073</v>
      </c>
      <c r="C132" s="2" t="s">
        <v>1091</v>
      </c>
      <c r="D132" s="2" t="s">
        <v>54</v>
      </c>
      <c r="E132" s="2" t="s">
        <v>879</v>
      </c>
      <c r="F132" s="2" t="s">
        <v>880</v>
      </c>
      <c r="G132" s="2" t="s">
        <v>1092</v>
      </c>
      <c r="H132" s="2" t="s">
        <v>1093</v>
      </c>
      <c r="I132" s="2" t="s">
        <v>883</v>
      </c>
      <c r="J132" s="2" t="s">
        <v>83</v>
      </c>
      <c r="K132" s="2" t="s">
        <v>144</v>
      </c>
      <c r="L132" s="2" t="s">
        <v>1094</v>
      </c>
      <c r="M132" s="3">
        <v>44061</v>
      </c>
      <c r="N132" s="3">
        <v>44071</v>
      </c>
      <c r="O132" s="4">
        <v>184.32</v>
      </c>
      <c r="P132" s="2" t="s">
        <v>492</v>
      </c>
      <c r="Q132" s="2" t="s">
        <v>105</v>
      </c>
      <c r="R132" s="2" t="s">
        <v>106</v>
      </c>
      <c r="S132" s="2" t="s">
        <v>420</v>
      </c>
      <c r="T132" s="2" t="s">
        <v>87</v>
      </c>
      <c r="U132" s="2" t="s">
        <v>290</v>
      </c>
      <c r="V132" s="2" t="s">
        <v>43</v>
      </c>
      <c r="W132" s="2" t="s">
        <v>1095</v>
      </c>
      <c r="X132" s="2" t="s">
        <v>412</v>
      </c>
      <c r="Y132" s="2" t="s">
        <v>421</v>
      </c>
      <c r="Z132" s="2" t="s">
        <v>1096</v>
      </c>
      <c r="AA132" s="2" t="s">
        <v>39</v>
      </c>
      <c r="AB132" s="2" t="s">
        <v>414</v>
      </c>
    </row>
    <row r="133" spans="1:28" hidden="1" x14ac:dyDescent="0.2">
      <c r="A133" s="2" t="s">
        <v>410</v>
      </c>
      <c r="B133" s="3">
        <v>44073</v>
      </c>
      <c r="C133" s="2" t="s">
        <v>1091</v>
      </c>
      <c r="D133" s="2" t="s">
        <v>91</v>
      </c>
      <c r="E133" s="2" t="s">
        <v>107</v>
      </c>
      <c r="F133" s="2" t="s">
        <v>537</v>
      </c>
      <c r="G133" s="2" t="s">
        <v>1097</v>
      </c>
      <c r="H133" s="2" t="s">
        <v>1098</v>
      </c>
      <c r="I133" s="2" t="s">
        <v>31</v>
      </c>
      <c r="J133" s="2" t="s">
        <v>32</v>
      </c>
      <c r="K133" s="2" t="s">
        <v>144</v>
      </c>
      <c r="L133" s="2" t="s">
        <v>1094</v>
      </c>
      <c r="M133" s="3">
        <v>44061</v>
      </c>
      <c r="N133" s="3">
        <v>44071</v>
      </c>
      <c r="O133" s="4">
        <v>247.94</v>
      </c>
      <c r="P133" s="2" t="s">
        <v>492</v>
      </c>
      <c r="Q133" s="2" t="s">
        <v>105</v>
      </c>
      <c r="R133" s="2" t="s">
        <v>106</v>
      </c>
      <c r="S133" s="2" t="s">
        <v>456</v>
      </c>
      <c r="T133" s="2" t="s">
        <v>87</v>
      </c>
      <c r="U133" s="2" t="s">
        <v>290</v>
      </c>
      <c r="V133" s="2" t="s">
        <v>43</v>
      </c>
      <c r="W133" s="2" t="s">
        <v>1099</v>
      </c>
      <c r="X133" s="2" t="s">
        <v>412</v>
      </c>
      <c r="Y133" s="2" t="s">
        <v>538</v>
      </c>
      <c r="Z133" s="2" t="s">
        <v>713</v>
      </c>
      <c r="AA133" s="2" t="s">
        <v>109</v>
      </c>
      <c r="AB133" s="2" t="s">
        <v>414</v>
      </c>
    </row>
    <row r="134" spans="1:28" hidden="1" x14ac:dyDescent="0.2">
      <c r="A134" s="2" t="s">
        <v>431</v>
      </c>
      <c r="B134" s="3">
        <v>44073</v>
      </c>
      <c r="C134" s="2" t="s">
        <v>1100</v>
      </c>
      <c r="D134" s="2" t="s">
        <v>74</v>
      </c>
      <c r="E134" s="2" t="s">
        <v>75</v>
      </c>
      <c r="F134" s="2" t="s">
        <v>147</v>
      </c>
      <c r="G134" s="2" t="s">
        <v>1101</v>
      </c>
      <c r="H134" s="2" t="s">
        <v>1102</v>
      </c>
      <c r="I134" s="2" t="s">
        <v>148</v>
      </c>
      <c r="J134" s="2" t="s">
        <v>58</v>
      </c>
      <c r="K134" s="2" t="s">
        <v>1103</v>
      </c>
      <c r="L134" s="2" t="s">
        <v>1104</v>
      </c>
      <c r="M134" s="3">
        <v>44057</v>
      </c>
      <c r="N134" s="3">
        <v>44102</v>
      </c>
      <c r="O134" s="4">
        <v>69.093000000000004</v>
      </c>
      <c r="P134" s="2" t="s">
        <v>33</v>
      </c>
      <c r="Q134" s="2" t="s">
        <v>149</v>
      </c>
      <c r="R134" s="2" t="s">
        <v>150</v>
      </c>
      <c r="S134" s="2" t="s">
        <v>446</v>
      </c>
      <c r="T134" s="2" t="s">
        <v>61</v>
      </c>
      <c r="U134" s="2" t="s">
        <v>290</v>
      </c>
      <c r="V134" s="2" t="s">
        <v>73</v>
      </c>
      <c r="W134" s="2" t="s">
        <v>1105</v>
      </c>
      <c r="X134" s="2" t="s">
        <v>412</v>
      </c>
      <c r="Y134" s="2" t="s">
        <v>502</v>
      </c>
      <c r="Z134" s="2" t="s">
        <v>412</v>
      </c>
      <c r="AA134" s="2" t="s">
        <v>39</v>
      </c>
      <c r="AB134" s="2" t="s">
        <v>414</v>
      </c>
    </row>
    <row r="135" spans="1:28" hidden="1" x14ac:dyDescent="0.2">
      <c r="A135" s="2" t="s">
        <v>431</v>
      </c>
      <c r="B135" s="3">
        <v>44073</v>
      </c>
      <c r="C135" s="2" t="s">
        <v>1100</v>
      </c>
      <c r="D135" s="2" t="s">
        <v>74</v>
      </c>
      <c r="E135" s="2" t="s">
        <v>75</v>
      </c>
      <c r="F135" s="2" t="s">
        <v>147</v>
      </c>
      <c r="G135" s="2" t="s">
        <v>1106</v>
      </c>
      <c r="H135" s="2" t="s">
        <v>1107</v>
      </c>
      <c r="I135" s="2" t="s">
        <v>151</v>
      </c>
      <c r="J135" s="2" t="s">
        <v>58</v>
      </c>
      <c r="K135" s="2" t="s">
        <v>1103</v>
      </c>
      <c r="L135" s="2" t="s">
        <v>1104</v>
      </c>
      <c r="M135" s="3">
        <v>44057</v>
      </c>
      <c r="N135" s="3">
        <v>44102</v>
      </c>
      <c r="O135" s="4">
        <v>69.066000000000003</v>
      </c>
      <c r="P135" s="2" t="s">
        <v>33</v>
      </c>
      <c r="Q135" s="2" t="s">
        <v>149</v>
      </c>
      <c r="R135" s="2" t="s">
        <v>150</v>
      </c>
      <c r="S135" s="2" t="s">
        <v>446</v>
      </c>
      <c r="T135" s="2" t="s">
        <v>61</v>
      </c>
      <c r="U135" s="2" t="s">
        <v>290</v>
      </c>
      <c r="V135" s="2" t="s">
        <v>73</v>
      </c>
      <c r="W135" s="2" t="s">
        <v>1108</v>
      </c>
      <c r="X135" s="2" t="s">
        <v>412</v>
      </c>
      <c r="Y135" s="2" t="s">
        <v>502</v>
      </c>
      <c r="Z135" s="2" t="s">
        <v>412</v>
      </c>
      <c r="AA135" s="2" t="s">
        <v>39</v>
      </c>
      <c r="AB135" s="2" t="s">
        <v>414</v>
      </c>
    </row>
    <row r="136" spans="1:28" hidden="1" x14ac:dyDescent="0.2">
      <c r="A136" s="2" t="s">
        <v>431</v>
      </c>
      <c r="B136" s="3">
        <v>44073</v>
      </c>
      <c r="C136" s="2" t="s">
        <v>1109</v>
      </c>
      <c r="D136" s="2" t="s">
        <v>28</v>
      </c>
      <c r="E136" s="2" t="s">
        <v>29</v>
      </c>
      <c r="F136" s="2" t="s">
        <v>397</v>
      </c>
      <c r="G136" s="2" t="s">
        <v>1110</v>
      </c>
      <c r="H136" s="2" t="s">
        <v>1111</v>
      </c>
      <c r="I136" s="2" t="s">
        <v>31</v>
      </c>
      <c r="J136" s="2" t="s">
        <v>32</v>
      </c>
      <c r="K136" s="2" t="s">
        <v>404</v>
      </c>
      <c r="L136" s="2" t="s">
        <v>622</v>
      </c>
      <c r="M136" s="3">
        <v>44057</v>
      </c>
      <c r="N136" s="3">
        <v>44073</v>
      </c>
      <c r="O136" s="4">
        <v>501.904</v>
      </c>
      <c r="P136" s="2" t="s">
        <v>33</v>
      </c>
      <c r="Q136" s="2" t="s">
        <v>153</v>
      </c>
      <c r="R136" s="2" t="s">
        <v>154</v>
      </c>
      <c r="S136" s="2" t="s">
        <v>477</v>
      </c>
      <c r="T136" s="2" t="s">
        <v>362</v>
      </c>
      <c r="U136" s="2" t="s">
        <v>290</v>
      </c>
      <c r="V136" s="2" t="s">
        <v>155</v>
      </c>
      <c r="W136" s="2" t="s">
        <v>1112</v>
      </c>
      <c r="X136" s="2" t="s">
        <v>412</v>
      </c>
      <c r="Y136" s="2" t="s">
        <v>448</v>
      </c>
      <c r="Z136" s="2" t="s">
        <v>412</v>
      </c>
      <c r="AA136" s="2" t="s">
        <v>39</v>
      </c>
      <c r="AB136" s="2" t="s">
        <v>414</v>
      </c>
    </row>
    <row r="137" spans="1:28" hidden="1" x14ac:dyDescent="0.2">
      <c r="A137" s="2" t="s">
        <v>410</v>
      </c>
      <c r="B137" s="3">
        <v>44073</v>
      </c>
      <c r="C137" s="2" t="s">
        <v>1113</v>
      </c>
      <c r="D137" s="2" t="s">
        <v>152</v>
      </c>
      <c r="E137" s="2" t="s">
        <v>276</v>
      </c>
      <c r="F137" s="2" t="s">
        <v>277</v>
      </c>
      <c r="G137" s="2" t="s">
        <v>1114</v>
      </c>
      <c r="H137" s="2" t="s">
        <v>1115</v>
      </c>
      <c r="I137" s="2" t="s">
        <v>202</v>
      </c>
      <c r="J137" s="2" t="s">
        <v>95</v>
      </c>
      <c r="K137" s="2" t="s">
        <v>503</v>
      </c>
      <c r="L137" s="2" t="s">
        <v>1116</v>
      </c>
      <c r="M137" s="3">
        <v>44062</v>
      </c>
      <c r="N137" s="3">
        <v>44084</v>
      </c>
      <c r="O137" s="4">
        <v>406.62299999999999</v>
      </c>
      <c r="P137" s="2" t="s">
        <v>492</v>
      </c>
      <c r="Q137" s="2" t="s">
        <v>278</v>
      </c>
      <c r="R137" s="2" t="s">
        <v>279</v>
      </c>
      <c r="S137" s="2" t="s">
        <v>452</v>
      </c>
      <c r="T137" s="2" t="s">
        <v>87</v>
      </c>
      <c r="U137" s="2" t="s">
        <v>290</v>
      </c>
      <c r="V137" s="2" t="s">
        <v>504</v>
      </c>
      <c r="W137" s="2" t="s">
        <v>1117</v>
      </c>
      <c r="X137" s="2" t="s">
        <v>412</v>
      </c>
      <c r="Y137" s="2" t="s">
        <v>1118</v>
      </c>
      <c r="Z137" s="2" t="s">
        <v>962</v>
      </c>
      <c r="AA137" s="2" t="s">
        <v>39</v>
      </c>
      <c r="AB137" s="2" t="s">
        <v>414</v>
      </c>
    </row>
    <row r="138" spans="1:28" hidden="1" x14ac:dyDescent="0.2">
      <c r="A138" s="2" t="s">
        <v>427</v>
      </c>
      <c r="B138" s="3">
        <v>44048</v>
      </c>
      <c r="C138" s="2" t="s">
        <v>1119</v>
      </c>
      <c r="D138" s="2" t="s">
        <v>91</v>
      </c>
      <c r="E138" s="2" t="s">
        <v>242</v>
      </c>
      <c r="F138" s="2" t="s">
        <v>243</v>
      </c>
      <c r="G138" s="2" t="s">
        <v>1120</v>
      </c>
      <c r="H138" s="2" t="s">
        <v>1121</v>
      </c>
      <c r="I138" s="2" t="s">
        <v>244</v>
      </c>
      <c r="J138" s="2" t="s">
        <v>47</v>
      </c>
      <c r="K138" s="2" t="s">
        <v>503</v>
      </c>
      <c r="L138" s="2" t="s">
        <v>1116</v>
      </c>
      <c r="M138" s="3">
        <v>44058</v>
      </c>
      <c r="N138" s="3">
        <v>44078</v>
      </c>
      <c r="O138" s="4">
        <v>94.7</v>
      </c>
      <c r="P138" s="2" t="s">
        <v>48</v>
      </c>
      <c r="Q138" s="2" t="s">
        <v>100</v>
      </c>
      <c r="R138" s="2" t="s">
        <v>101</v>
      </c>
      <c r="S138" s="2" t="s">
        <v>415</v>
      </c>
      <c r="T138" s="2" t="s">
        <v>140</v>
      </c>
      <c r="U138" s="2" t="s">
        <v>758</v>
      </c>
      <c r="V138" s="2" t="s">
        <v>155</v>
      </c>
      <c r="W138" s="2" t="s">
        <v>1122</v>
      </c>
      <c r="X138" s="2" t="s">
        <v>412</v>
      </c>
      <c r="Y138" s="2" t="s">
        <v>416</v>
      </c>
      <c r="Z138" s="2" t="s">
        <v>53</v>
      </c>
      <c r="AA138" s="2" t="s">
        <v>39</v>
      </c>
      <c r="AB138" s="2" t="s">
        <v>414</v>
      </c>
    </row>
    <row r="139" spans="1:28" hidden="1" x14ac:dyDescent="0.2">
      <c r="A139" s="2" t="s">
        <v>427</v>
      </c>
      <c r="B139" s="3">
        <v>44048</v>
      </c>
      <c r="C139" s="2" t="s">
        <v>1119</v>
      </c>
      <c r="D139" s="2" t="s">
        <v>91</v>
      </c>
      <c r="E139" s="2" t="s">
        <v>242</v>
      </c>
      <c r="F139" s="2" t="s">
        <v>243</v>
      </c>
      <c r="G139" s="2" t="s">
        <v>1123</v>
      </c>
      <c r="H139" s="2" t="s">
        <v>1124</v>
      </c>
      <c r="I139" s="2" t="s">
        <v>246</v>
      </c>
      <c r="J139" s="2" t="s">
        <v>47</v>
      </c>
      <c r="K139" s="2" t="s">
        <v>503</v>
      </c>
      <c r="L139" s="2" t="s">
        <v>1116</v>
      </c>
      <c r="M139" s="3">
        <v>44058</v>
      </c>
      <c r="N139" s="3">
        <v>44078</v>
      </c>
      <c r="O139" s="4">
        <v>151.61600000000001</v>
      </c>
      <c r="P139" s="2" t="s">
        <v>48</v>
      </c>
      <c r="Q139" s="2" t="s">
        <v>100</v>
      </c>
      <c r="R139" s="2" t="s">
        <v>101</v>
      </c>
      <c r="S139" s="2" t="s">
        <v>420</v>
      </c>
      <c r="T139" s="2" t="s">
        <v>140</v>
      </c>
      <c r="U139" s="2" t="s">
        <v>758</v>
      </c>
      <c r="V139" s="2" t="s">
        <v>155</v>
      </c>
      <c r="W139" s="2" t="s">
        <v>1125</v>
      </c>
      <c r="X139" s="2" t="s">
        <v>412</v>
      </c>
      <c r="Y139" s="2" t="s">
        <v>451</v>
      </c>
      <c r="Z139" s="2" t="s">
        <v>53</v>
      </c>
      <c r="AA139" s="2" t="s">
        <v>39</v>
      </c>
      <c r="AB139" s="2" t="s">
        <v>414</v>
      </c>
    </row>
    <row r="140" spans="1:28" hidden="1" x14ac:dyDescent="0.2">
      <c r="A140" s="2" t="s">
        <v>427</v>
      </c>
      <c r="B140" s="3">
        <v>44063</v>
      </c>
      <c r="C140" s="2" t="s">
        <v>1119</v>
      </c>
      <c r="D140" s="2" t="s">
        <v>91</v>
      </c>
      <c r="E140" s="2" t="s">
        <v>553</v>
      </c>
      <c r="F140" s="2" t="s">
        <v>554</v>
      </c>
      <c r="G140" s="2" t="s">
        <v>1126</v>
      </c>
      <c r="H140" s="2" t="s">
        <v>1127</v>
      </c>
      <c r="I140" s="2" t="s">
        <v>77</v>
      </c>
      <c r="J140" s="2" t="s">
        <v>32</v>
      </c>
      <c r="K140" s="2" t="s">
        <v>503</v>
      </c>
      <c r="L140" s="2" t="s">
        <v>1116</v>
      </c>
      <c r="M140" s="3">
        <v>44058</v>
      </c>
      <c r="N140" s="3">
        <v>44078</v>
      </c>
      <c r="O140" s="4">
        <v>298.08</v>
      </c>
      <c r="P140" s="2" t="s">
        <v>48</v>
      </c>
      <c r="Q140" s="2" t="s">
        <v>100</v>
      </c>
      <c r="R140" s="2" t="s">
        <v>101</v>
      </c>
      <c r="S140" s="2" t="s">
        <v>425</v>
      </c>
      <c r="T140" s="2" t="s">
        <v>36</v>
      </c>
      <c r="U140" s="2" t="s">
        <v>1028</v>
      </c>
      <c r="V140" s="2" t="s">
        <v>155</v>
      </c>
      <c r="W140" s="2" t="s">
        <v>1128</v>
      </c>
      <c r="X140" s="2" t="s">
        <v>412</v>
      </c>
      <c r="Y140" s="2" t="s">
        <v>426</v>
      </c>
      <c r="Z140" s="2" t="s">
        <v>412</v>
      </c>
      <c r="AA140" s="2" t="s">
        <v>39</v>
      </c>
      <c r="AB140" s="2" t="s">
        <v>414</v>
      </c>
    </row>
    <row r="141" spans="1:28" hidden="1" x14ac:dyDescent="0.2">
      <c r="A141" s="2" t="s">
        <v>427</v>
      </c>
      <c r="B141" s="3">
        <v>44058</v>
      </c>
      <c r="C141" s="2" t="s">
        <v>1129</v>
      </c>
      <c r="D141" s="2" t="s">
        <v>62</v>
      </c>
      <c r="E141" s="2" t="s">
        <v>217</v>
      </c>
      <c r="F141" s="2" t="s">
        <v>218</v>
      </c>
      <c r="G141" s="2" t="s">
        <v>1130</v>
      </c>
      <c r="H141" s="2" t="s">
        <v>1131</v>
      </c>
      <c r="I141" s="2" t="s">
        <v>77</v>
      </c>
      <c r="J141" s="2" t="s">
        <v>32</v>
      </c>
      <c r="K141" s="2" t="s">
        <v>503</v>
      </c>
      <c r="L141" s="2" t="s">
        <v>1116</v>
      </c>
      <c r="M141" s="3">
        <v>44058</v>
      </c>
      <c r="N141" s="3">
        <v>44090</v>
      </c>
      <c r="O141" s="4">
        <v>496.8</v>
      </c>
      <c r="P141" s="2" t="s">
        <v>48</v>
      </c>
      <c r="Q141" s="2" t="s">
        <v>34</v>
      </c>
      <c r="R141" s="2" t="s">
        <v>35</v>
      </c>
      <c r="S141" s="2" t="s">
        <v>428</v>
      </c>
      <c r="T141" s="2" t="s">
        <v>36</v>
      </c>
      <c r="U141" s="2" t="s">
        <v>1028</v>
      </c>
      <c r="V141" s="2" t="s">
        <v>52</v>
      </c>
      <c r="W141" s="2" t="s">
        <v>1132</v>
      </c>
      <c r="X141" s="2" t="s">
        <v>412</v>
      </c>
      <c r="Y141" s="2" t="s">
        <v>429</v>
      </c>
      <c r="Z141" s="2" t="s">
        <v>412</v>
      </c>
      <c r="AA141" s="2" t="s">
        <v>39</v>
      </c>
      <c r="AB141" s="2" t="s">
        <v>414</v>
      </c>
    </row>
    <row r="142" spans="1:28" hidden="1" x14ac:dyDescent="0.2">
      <c r="A142" s="2" t="s">
        <v>427</v>
      </c>
      <c r="B142" s="3">
        <v>44073</v>
      </c>
      <c r="C142" s="2" t="s">
        <v>1129</v>
      </c>
      <c r="D142" s="2" t="s">
        <v>28</v>
      </c>
      <c r="E142" s="2" t="s">
        <v>98</v>
      </c>
      <c r="F142" s="2" t="s">
        <v>205</v>
      </c>
      <c r="G142" s="2" t="s">
        <v>1133</v>
      </c>
      <c r="H142" s="2" t="s">
        <v>1134</v>
      </c>
      <c r="I142" s="2" t="s">
        <v>77</v>
      </c>
      <c r="J142" s="2" t="s">
        <v>32</v>
      </c>
      <c r="K142" s="2" t="s">
        <v>503</v>
      </c>
      <c r="L142" s="2" t="s">
        <v>1116</v>
      </c>
      <c r="M142" s="3">
        <v>44058</v>
      </c>
      <c r="N142" s="3">
        <v>44090</v>
      </c>
      <c r="O142" s="4">
        <v>496.8</v>
      </c>
      <c r="P142" s="2" t="s">
        <v>48</v>
      </c>
      <c r="Q142" s="2" t="s">
        <v>34</v>
      </c>
      <c r="R142" s="2" t="s">
        <v>35</v>
      </c>
      <c r="S142" s="2" t="s">
        <v>428</v>
      </c>
      <c r="T142" s="2" t="s">
        <v>36</v>
      </c>
      <c r="U142" s="2" t="s">
        <v>1028</v>
      </c>
      <c r="V142" s="2" t="s">
        <v>52</v>
      </c>
      <c r="W142" s="2" t="s">
        <v>1135</v>
      </c>
      <c r="X142" s="2" t="s">
        <v>412</v>
      </c>
      <c r="Y142" s="2" t="s">
        <v>429</v>
      </c>
      <c r="Z142" s="2" t="s">
        <v>412</v>
      </c>
      <c r="AA142" s="2" t="s">
        <v>39</v>
      </c>
      <c r="AB142" s="2" t="s">
        <v>414</v>
      </c>
    </row>
    <row r="143" spans="1:28" hidden="1" x14ac:dyDescent="0.2">
      <c r="A143" s="2" t="s">
        <v>427</v>
      </c>
      <c r="B143" s="3">
        <v>44058</v>
      </c>
      <c r="C143" s="2" t="s">
        <v>1136</v>
      </c>
      <c r="D143" s="2" t="s">
        <v>91</v>
      </c>
      <c r="E143" s="2" t="s">
        <v>258</v>
      </c>
      <c r="F143" s="2" t="s">
        <v>259</v>
      </c>
      <c r="G143" s="2" t="s">
        <v>1137</v>
      </c>
      <c r="H143" s="2" t="s">
        <v>1138</v>
      </c>
      <c r="I143" s="2" t="s">
        <v>77</v>
      </c>
      <c r="J143" s="2" t="s">
        <v>32</v>
      </c>
      <c r="K143" s="2" t="s">
        <v>144</v>
      </c>
      <c r="L143" s="2" t="s">
        <v>1094</v>
      </c>
      <c r="M143" s="3">
        <v>44058</v>
      </c>
      <c r="N143" s="3">
        <v>44080</v>
      </c>
      <c r="O143" s="4">
        <v>198.72</v>
      </c>
      <c r="P143" s="2" t="s">
        <v>48</v>
      </c>
      <c r="Q143" s="2" t="s">
        <v>134</v>
      </c>
      <c r="R143" s="2" t="s">
        <v>135</v>
      </c>
      <c r="S143" s="2" t="s">
        <v>420</v>
      </c>
      <c r="T143" s="2" t="s">
        <v>36</v>
      </c>
      <c r="U143" s="2" t="s">
        <v>1139</v>
      </c>
      <c r="V143" s="2" t="s">
        <v>52</v>
      </c>
      <c r="W143" s="2" t="s">
        <v>1140</v>
      </c>
      <c r="X143" s="2" t="s">
        <v>412</v>
      </c>
      <c r="Y143" s="2" t="s">
        <v>421</v>
      </c>
      <c r="Z143" s="2" t="s">
        <v>412</v>
      </c>
      <c r="AA143" s="2" t="s">
        <v>39</v>
      </c>
      <c r="AB143" s="2" t="s">
        <v>414</v>
      </c>
    </row>
    <row r="144" spans="1:28" hidden="1" x14ac:dyDescent="0.2">
      <c r="A144" s="2" t="s">
        <v>431</v>
      </c>
      <c r="B144" s="3">
        <v>44073</v>
      </c>
      <c r="C144" s="2" t="s">
        <v>1141</v>
      </c>
      <c r="D144" s="2" t="s">
        <v>74</v>
      </c>
      <c r="E144" s="2" t="s">
        <v>75</v>
      </c>
      <c r="F144" s="2" t="s">
        <v>1142</v>
      </c>
      <c r="G144" s="2" t="s">
        <v>1143</v>
      </c>
      <c r="H144" s="2" t="s">
        <v>1144</v>
      </c>
      <c r="I144" s="2" t="s">
        <v>1145</v>
      </c>
      <c r="J144" s="2" t="s">
        <v>58</v>
      </c>
      <c r="K144" s="2" t="s">
        <v>578</v>
      </c>
      <c r="L144" s="2" t="s">
        <v>1146</v>
      </c>
      <c r="M144" s="3">
        <v>44058</v>
      </c>
      <c r="N144" s="3">
        <v>44097</v>
      </c>
      <c r="O144" s="4">
        <v>71.61</v>
      </c>
      <c r="P144" s="2" t="s">
        <v>33</v>
      </c>
      <c r="Q144" s="2" t="s">
        <v>353</v>
      </c>
      <c r="R144" s="2" t="s">
        <v>1147</v>
      </c>
      <c r="S144" s="2" t="s">
        <v>446</v>
      </c>
      <c r="T144" s="2" t="s">
        <v>61</v>
      </c>
      <c r="U144" s="2" t="s">
        <v>290</v>
      </c>
      <c r="V144" s="2" t="s">
        <v>65</v>
      </c>
      <c r="W144" s="2" t="s">
        <v>1148</v>
      </c>
      <c r="X144" s="2" t="s">
        <v>412</v>
      </c>
      <c r="Y144" s="2" t="s">
        <v>435</v>
      </c>
      <c r="Z144" s="2" t="s">
        <v>962</v>
      </c>
      <c r="AA144" s="2" t="s">
        <v>39</v>
      </c>
      <c r="AB144" s="2" t="s">
        <v>414</v>
      </c>
    </row>
    <row r="145" spans="1:28" hidden="1" x14ac:dyDescent="0.2">
      <c r="A145" s="2" t="s">
        <v>431</v>
      </c>
      <c r="B145" s="3">
        <v>44073</v>
      </c>
      <c r="C145" s="2" t="s">
        <v>1149</v>
      </c>
      <c r="D145" s="2" t="s">
        <v>74</v>
      </c>
      <c r="E145" s="2" t="s">
        <v>207</v>
      </c>
      <c r="F145" s="2" t="s">
        <v>208</v>
      </c>
      <c r="G145" s="2" t="s">
        <v>1150</v>
      </c>
      <c r="H145" s="2" t="s">
        <v>1151</v>
      </c>
      <c r="I145" s="2" t="s">
        <v>357</v>
      </c>
      <c r="J145" s="2" t="s">
        <v>58</v>
      </c>
      <c r="K145" s="2" t="s">
        <v>496</v>
      </c>
      <c r="L145" s="2" t="s">
        <v>1152</v>
      </c>
      <c r="M145" s="3">
        <v>44059</v>
      </c>
      <c r="N145" s="3">
        <v>44111</v>
      </c>
      <c r="O145" s="4">
        <v>51.304000000000002</v>
      </c>
      <c r="P145" s="2" t="s">
        <v>33</v>
      </c>
      <c r="Q145" s="2" t="s">
        <v>210</v>
      </c>
      <c r="R145" s="2" t="s">
        <v>364</v>
      </c>
      <c r="S145" s="2" t="s">
        <v>449</v>
      </c>
      <c r="T145" s="2" t="s">
        <v>72</v>
      </c>
      <c r="U145" s="2" t="s">
        <v>290</v>
      </c>
      <c r="V145" s="2" t="s">
        <v>65</v>
      </c>
      <c r="W145" s="2" t="s">
        <v>1153</v>
      </c>
      <c r="X145" s="2" t="s">
        <v>412</v>
      </c>
      <c r="Y145" s="2" t="s">
        <v>443</v>
      </c>
      <c r="Z145" s="2" t="s">
        <v>1154</v>
      </c>
      <c r="AA145" s="2" t="s">
        <v>39</v>
      </c>
      <c r="AB145" s="2" t="s">
        <v>414</v>
      </c>
    </row>
    <row r="146" spans="1:28" hidden="1" x14ac:dyDescent="0.2">
      <c r="A146" s="2" t="s">
        <v>431</v>
      </c>
      <c r="B146" s="3">
        <v>44058</v>
      </c>
      <c r="C146" s="2" t="s">
        <v>1155</v>
      </c>
      <c r="D146" s="2" t="s">
        <v>74</v>
      </c>
      <c r="E146" s="2" t="s">
        <v>141</v>
      </c>
      <c r="F146" s="2" t="s">
        <v>142</v>
      </c>
      <c r="G146" s="2" t="s">
        <v>1156</v>
      </c>
      <c r="H146" s="2" t="s">
        <v>1157</v>
      </c>
      <c r="I146" s="2" t="s">
        <v>143</v>
      </c>
      <c r="J146" s="2" t="s">
        <v>58</v>
      </c>
      <c r="K146" s="2" t="s">
        <v>496</v>
      </c>
      <c r="L146" s="2" t="s">
        <v>1158</v>
      </c>
      <c r="M146" s="3">
        <v>44059</v>
      </c>
      <c r="N146" s="3">
        <v>44108</v>
      </c>
      <c r="O146" s="4">
        <v>111.33499999999999</v>
      </c>
      <c r="P146" s="2" t="s">
        <v>33</v>
      </c>
      <c r="Q146" s="2" t="s">
        <v>145</v>
      </c>
      <c r="R146" s="2" t="s">
        <v>146</v>
      </c>
      <c r="S146" s="2" t="s">
        <v>415</v>
      </c>
      <c r="T146" s="2" t="s">
        <v>61</v>
      </c>
      <c r="U146" s="2" t="s">
        <v>290</v>
      </c>
      <c r="V146" s="2" t="s">
        <v>43</v>
      </c>
      <c r="W146" s="2" t="s">
        <v>1159</v>
      </c>
      <c r="X146" s="2" t="s">
        <v>412</v>
      </c>
      <c r="Y146" s="2" t="s">
        <v>434</v>
      </c>
      <c r="Z146" s="2" t="s">
        <v>412</v>
      </c>
      <c r="AA146" s="2" t="s">
        <v>39</v>
      </c>
      <c r="AB146" s="2" t="s">
        <v>414</v>
      </c>
    </row>
    <row r="147" spans="1:28" hidden="1" x14ac:dyDescent="0.2">
      <c r="A147" s="2" t="s">
        <v>410</v>
      </c>
      <c r="B147" s="3">
        <v>44048</v>
      </c>
      <c r="C147" s="2" t="s">
        <v>1160</v>
      </c>
      <c r="D147" s="2" t="s">
        <v>152</v>
      </c>
      <c r="E147" s="2" t="s">
        <v>200</v>
      </c>
      <c r="F147" s="2" t="s">
        <v>201</v>
      </c>
      <c r="G147" s="2" t="s">
        <v>1161</v>
      </c>
      <c r="H147" s="2" t="s">
        <v>1162</v>
      </c>
      <c r="I147" s="2" t="s">
        <v>202</v>
      </c>
      <c r="J147" s="2" t="s">
        <v>95</v>
      </c>
      <c r="K147" s="2" t="s">
        <v>133</v>
      </c>
      <c r="L147" s="2" t="s">
        <v>954</v>
      </c>
      <c r="M147" s="3">
        <v>44064</v>
      </c>
      <c r="N147" s="3">
        <v>44088</v>
      </c>
      <c r="O147" s="4">
        <v>263.10899999999998</v>
      </c>
      <c r="P147" s="2" t="s">
        <v>492</v>
      </c>
      <c r="Q147" s="2" t="s">
        <v>203</v>
      </c>
      <c r="R147" s="2" t="s">
        <v>204</v>
      </c>
      <c r="S147" s="2" t="s">
        <v>456</v>
      </c>
      <c r="T147" s="2" t="s">
        <v>87</v>
      </c>
      <c r="U147" s="2" t="s">
        <v>290</v>
      </c>
      <c r="V147" s="2" t="s">
        <v>504</v>
      </c>
      <c r="W147" s="2" t="s">
        <v>1163</v>
      </c>
      <c r="X147" s="2" t="s">
        <v>412</v>
      </c>
      <c r="Y147" s="2" t="s">
        <v>510</v>
      </c>
      <c r="Z147" s="2" t="s">
        <v>412</v>
      </c>
      <c r="AA147" s="2" t="s">
        <v>39</v>
      </c>
      <c r="AB147" s="2" t="s">
        <v>414</v>
      </c>
    </row>
    <row r="148" spans="1:28" hidden="1" x14ac:dyDescent="0.2">
      <c r="A148" s="2" t="s">
        <v>427</v>
      </c>
      <c r="B148" s="3">
        <v>44058</v>
      </c>
      <c r="C148" s="2" t="s">
        <v>1164</v>
      </c>
      <c r="D148" s="2" t="s">
        <v>62</v>
      </c>
      <c r="E148" s="2" t="s">
        <v>217</v>
      </c>
      <c r="F148" s="2" t="s">
        <v>218</v>
      </c>
      <c r="G148" s="2" t="s">
        <v>1165</v>
      </c>
      <c r="H148" s="2" t="s">
        <v>1166</v>
      </c>
      <c r="I148" s="2" t="s">
        <v>77</v>
      </c>
      <c r="J148" s="2" t="s">
        <v>32</v>
      </c>
      <c r="K148" s="2" t="s">
        <v>494</v>
      </c>
      <c r="L148" s="2" t="s">
        <v>1152</v>
      </c>
      <c r="M148" s="3">
        <v>44059</v>
      </c>
      <c r="N148" s="3">
        <v>44085</v>
      </c>
      <c r="O148" s="4">
        <v>496.8</v>
      </c>
      <c r="P148" s="2" t="s">
        <v>48</v>
      </c>
      <c r="Q148" s="2" t="s">
        <v>34</v>
      </c>
      <c r="R148" s="2" t="s">
        <v>35</v>
      </c>
      <c r="S148" s="2" t="s">
        <v>428</v>
      </c>
      <c r="T148" s="2" t="s">
        <v>36</v>
      </c>
      <c r="U148" s="2" t="s">
        <v>763</v>
      </c>
      <c r="V148" s="2" t="s">
        <v>65</v>
      </c>
      <c r="W148" s="2" t="s">
        <v>1167</v>
      </c>
      <c r="X148" s="2" t="s">
        <v>412</v>
      </c>
      <c r="Y148" s="2" t="s">
        <v>429</v>
      </c>
      <c r="Z148" s="2" t="s">
        <v>412</v>
      </c>
      <c r="AA148" s="2" t="s">
        <v>39</v>
      </c>
      <c r="AB148" s="2" t="s">
        <v>414</v>
      </c>
    </row>
    <row r="149" spans="1:28" hidden="1" x14ac:dyDescent="0.2">
      <c r="A149" s="2" t="s">
        <v>427</v>
      </c>
      <c r="B149" s="3">
        <v>44073</v>
      </c>
      <c r="C149" s="2" t="s">
        <v>1164</v>
      </c>
      <c r="D149" s="2" t="s">
        <v>28</v>
      </c>
      <c r="E149" s="2" t="s">
        <v>98</v>
      </c>
      <c r="F149" s="2" t="s">
        <v>205</v>
      </c>
      <c r="G149" s="2" t="s">
        <v>1168</v>
      </c>
      <c r="H149" s="2" t="s">
        <v>1169</v>
      </c>
      <c r="I149" s="2" t="s">
        <v>77</v>
      </c>
      <c r="J149" s="2" t="s">
        <v>32</v>
      </c>
      <c r="K149" s="2" t="s">
        <v>494</v>
      </c>
      <c r="L149" s="2" t="s">
        <v>1152</v>
      </c>
      <c r="M149" s="3">
        <v>44059</v>
      </c>
      <c r="N149" s="3">
        <v>44085</v>
      </c>
      <c r="O149" s="4">
        <v>198.72</v>
      </c>
      <c r="P149" s="2" t="s">
        <v>48</v>
      </c>
      <c r="Q149" s="2" t="s">
        <v>34</v>
      </c>
      <c r="R149" s="2" t="s">
        <v>35</v>
      </c>
      <c r="S149" s="2" t="s">
        <v>420</v>
      </c>
      <c r="T149" s="2" t="s">
        <v>36</v>
      </c>
      <c r="U149" s="2" t="s">
        <v>763</v>
      </c>
      <c r="V149" s="2" t="s">
        <v>65</v>
      </c>
      <c r="W149" s="2" t="s">
        <v>1170</v>
      </c>
      <c r="X149" s="2" t="s">
        <v>412</v>
      </c>
      <c r="Y149" s="2" t="s">
        <v>421</v>
      </c>
      <c r="Z149" s="2" t="s">
        <v>412</v>
      </c>
      <c r="AA149" s="2" t="s">
        <v>39</v>
      </c>
      <c r="AB149" s="2" t="s">
        <v>414</v>
      </c>
    </row>
    <row r="150" spans="1:28" hidden="1" x14ac:dyDescent="0.2">
      <c r="A150" s="2" t="s">
        <v>410</v>
      </c>
      <c r="B150" s="3">
        <v>44073</v>
      </c>
      <c r="C150" s="2" t="s">
        <v>1171</v>
      </c>
      <c r="D150" s="2" t="s">
        <v>28</v>
      </c>
      <c r="E150" s="2" t="s">
        <v>98</v>
      </c>
      <c r="F150" s="2" t="s">
        <v>205</v>
      </c>
      <c r="G150" s="2" t="s">
        <v>1172</v>
      </c>
      <c r="H150" s="2" t="s">
        <v>1173</v>
      </c>
      <c r="I150" s="2" t="s">
        <v>99</v>
      </c>
      <c r="J150" s="2" t="s">
        <v>32</v>
      </c>
      <c r="K150" s="2" t="s">
        <v>503</v>
      </c>
      <c r="L150" s="2" t="s">
        <v>1116</v>
      </c>
      <c r="M150" s="3">
        <v>44064</v>
      </c>
      <c r="N150" s="3">
        <v>44085</v>
      </c>
      <c r="O150" s="4">
        <v>296.71199999999999</v>
      </c>
      <c r="P150" s="2" t="s">
        <v>492</v>
      </c>
      <c r="Q150" s="2" t="s">
        <v>34</v>
      </c>
      <c r="R150" s="2" t="s">
        <v>35</v>
      </c>
      <c r="S150" s="2" t="s">
        <v>411</v>
      </c>
      <c r="T150" s="2" t="s">
        <v>87</v>
      </c>
      <c r="U150" s="2" t="s">
        <v>290</v>
      </c>
      <c r="V150" s="2" t="s">
        <v>493</v>
      </c>
      <c r="W150" s="2" t="s">
        <v>1174</v>
      </c>
      <c r="X150" s="2" t="s">
        <v>412</v>
      </c>
      <c r="Y150" s="2" t="s">
        <v>413</v>
      </c>
      <c r="Z150" s="2" t="s">
        <v>412</v>
      </c>
      <c r="AA150" s="2" t="s">
        <v>39</v>
      </c>
      <c r="AB150" s="2" t="s">
        <v>414</v>
      </c>
    </row>
    <row r="151" spans="1:28" hidden="1" x14ac:dyDescent="0.2">
      <c r="A151" s="2" t="s">
        <v>427</v>
      </c>
      <c r="B151" s="3">
        <v>44073</v>
      </c>
      <c r="C151" s="2" t="s">
        <v>1175</v>
      </c>
      <c r="D151" s="2" t="s">
        <v>365</v>
      </c>
      <c r="E151" s="2" t="s">
        <v>543</v>
      </c>
      <c r="F151" s="2" t="s">
        <v>575</v>
      </c>
      <c r="G151" s="2" t="s">
        <v>1176</v>
      </c>
      <c r="H151" s="2" t="s">
        <v>1177</v>
      </c>
      <c r="I151" s="2" t="s">
        <v>77</v>
      </c>
      <c r="J151" s="2" t="s">
        <v>32</v>
      </c>
      <c r="K151" s="2" t="s">
        <v>494</v>
      </c>
      <c r="L151" s="2" t="s">
        <v>1152</v>
      </c>
      <c r="M151" s="3">
        <v>44059</v>
      </c>
      <c r="N151" s="3">
        <v>44077</v>
      </c>
      <c r="O151" s="4">
        <v>496.8</v>
      </c>
      <c r="P151" s="2" t="s">
        <v>48</v>
      </c>
      <c r="Q151" s="2" t="s">
        <v>576</v>
      </c>
      <c r="R151" s="2" t="s">
        <v>577</v>
      </c>
      <c r="S151" s="2" t="s">
        <v>455</v>
      </c>
      <c r="T151" s="2" t="s">
        <v>42</v>
      </c>
      <c r="U151" s="2" t="s">
        <v>1139</v>
      </c>
      <c r="V151" s="2" t="s">
        <v>241</v>
      </c>
      <c r="W151" s="2" t="s">
        <v>1178</v>
      </c>
      <c r="X151" s="2" t="s">
        <v>412</v>
      </c>
      <c r="Y151" s="2" t="s">
        <v>429</v>
      </c>
      <c r="Z151" s="2" t="s">
        <v>412</v>
      </c>
      <c r="AA151" s="2" t="s">
        <v>39</v>
      </c>
      <c r="AB151" s="2" t="s">
        <v>414</v>
      </c>
    </row>
    <row r="152" spans="1:28" hidden="1" x14ac:dyDescent="0.2">
      <c r="A152" s="2" t="s">
        <v>427</v>
      </c>
      <c r="B152" s="3">
        <v>44063</v>
      </c>
      <c r="C152" s="2" t="s">
        <v>1179</v>
      </c>
      <c r="D152" s="2" t="s">
        <v>62</v>
      </c>
      <c r="E152" s="2" t="s">
        <v>217</v>
      </c>
      <c r="F152" s="2" t="s">
        <v>218</v>
      </c>
      <c r="G152" s="2" t="s">
        <v>1180</v>
      </c>
      <c r="H152" s="2" t="s">
        <v>1181</v>
      </c>
      <c r="I152" s="2" t="s">
        <v>77</v>
      </c>
      <c r="J152" s="2" t="s">
        <v>32</v>
      </c>
      <c r="K152" s="2" t="s">
        <v>522</v>
      </c>
      <c r="L152" s="2" t="s">
        <v>1182</v>
      </c>
      <c r="M152" s="3">
        <v>44060</v>
      </c>
      <c r="N152" s="3">
        <v>44089</v>
      </c>
      <c r="O152" s="4">
        <v>496.8</v>
      </c>
      <c r="P152" s="2" t="s">
        <v>48</v>
      </c>
      <c r="Q152" s="2" t="s">
        <v>34</v>
      </c>
      <c r="R152" s="2" t="s">
        <v>35</v>
      </c>
      <c r="S152" s="2" t="s">
        <v>428</v>
      </c>
      <c r="T152" s="2" t="s">
        <v>36</v>
      </c>
      <c r="U152" s="2" t="s">
        <v>1139</v>
      </c>
      <c r="V152" s="2" t="s">
        <v>52</v>
      </c>
      <c r="W152" s="2" t="s">
        <v>1183</v>
      </c>
      <c r="X152" s="2" t="s">
        <v>412</v>
      </c>
      <c r="Y152" s="2" t="s">
        <v>429</v>
      </c>
      <c r="Z152" s="2" t="s">
        <v>412</v>
      </c>
      <c r="AA152" s="2" t="s">
        <v>39</v>
      </c>
      <c r="AB152" s="2" t="s">
        <v>414</v>
      </c>
    </row>
    <row r="153" spans="1:28" hidden="1" x14ac:dyDescent="0.2">
      <c r="A153" s="2" t="s">
        <v>427</v>
      </c>
      <c r="B153" s="3">
        <v>44058</v>
      </c>
      <c r="C153" s="2" t="s">
        <v>1179</v>
      </c>
      <c r="D153" s="2" t="s">
        <v>62</v>
      </c>
      <c r="E153" s="2" t="s">
        <v>217</v>
      </c>
      <c r="F153" s="2" t="s">
        <v>218</v>
      </c>
      <c r="G153" s="2" t="s">
        <v>1184</v>
      </c>
      <c r="H153" s="2" t="s">
        <v>1185</v>
      </c>
      <c r="I153" s="2" t="s">
        <v>77</v>
      </c>
      <c r="J153" s="2" t="s">
        <v>32</v>
      </c>
      <c r="K153" s="2" t="s">
        <v>522</v>
      </c>
      <c r="L153" s="2" t="s">
        <v>1182</v>
      </c>
      <c r="M153" s="3">
        <v>44060</v>
      </c>
      <c r="N153" s="3">
        <v>44089</v>
      </c>
      <c r="O153" s="4">
        <v>496.8</v>
      </c>
      <c r="P153" s="2" t="s">
        <v>48</v>
      </c>
      <c r="Q153" s="2" t="s">
        <v>34</v>
      </c>
      <c r="R153" s="2" t="s">
        <v>35</v>
      </c>
      <c r="S153" s="2" t="s">
        <v>428</v>
      </c>
      <c r="T153" s="2" t="s">
        <v>36</v>
      </c>
      <c r="U153" s="2" t="s">
        <v>1139</v>
      </c>
      <c r="V153" s="2" t="s">
        <v>52</v>
      </c>
      <c r="W153" s="2" t="s">
        <v>1186</v>
      </c>
      <c r="X153" s="2" t="s">
        <v>412</v>
      </c>
      <c r="Y153" s="2" t="s">
        <v>429</v>
      </c>
      <c r="Z153" s="2" t="s">
        <v>412</v>
      </c>
      <c r="AA153" s="2" t="s">
        <v>39</v>
      </c>
      <c r="AB153" s="2" t="s">
        <v>414</v>
      </c>
    </row>
    <row r="154" spans="1:28" hidden="1" x14ac:dyDescent="0.2">
      <c r="A154" s="2" t="s">
        <v>470</v>
      </c>
      <c r="B154" s="3">
        <v>44073</v>
      </c>
      <c r="C154" s="2" t="s">
        <v>1187</v>
      </c>
      <c r="D154" s="2" t="s">
        <v>28</v>
      </c>
      <c r="E154" s="2" t="s">
        <v>129</v>
      </c>
      <c r="F154" s="2" t="s">
        <v>371</v>
      </c>
      <c r="G154" s="2" t="s">
        <v>1188</v>
      </c>
      <c r="H154" s="2" t="s">
        <v>1189</v>
      </c>
      <c r="I154" s="2" t="s">
        <v>372</v>
      </c>
      <c r="J154" s="2" t="s">
        <v>223</v>
      </c>
      <c r="K154" s="2" t="s">
        <v>1190</v>
      </c>
      <c r="L154" s="2" t="s">
        <v>622</v>
      </c>
      <c r="M154" s="3">
        <v>44060</v>
      </c>
      <c r="N154" s="3">
        <v>44113</v>
      </c>
      <c r="O154" s="4">
        <v>412</v>
      </c>
      <c r="P154" s="2" t="s">
        <v>287</v>
      </c>
      <c r="Q154" s="2" t="s">
        <v>373</v>
      </c>
      <c r="R154" s="2" t="s">
        <v>374</v>
      </c>
      <c r="S154" s="2" t="s">
        <v>428</v>
      </c>
      <c r="T154" s="2" t="s">
        <v>87</v>
      </c>
      <c r="U154" s="2" t="s">
        <v>290</v>
      </c>
      <c r="V154" s="2" t="s">
        <v>65</v>
      </c>
      <c r="W154" s="2" t="s">
        <v>1191</v>
      </c>
      <c r="X154" s="2" t="s">
        <v>412</v>
      </c>
      <c r="Y154" s="2" t="s">
        <v>473</v>
      </c>
      <c r="Z154" s="2" t="s">
        <v>412</v>
      </c>
      <c r="AA154" s="2" t="s">
        <v>39</v>
      </c>
      <c r="AB154" s="2" t="s">
        <v>414</v>
      </c>
    </row>
    <row r="155" spans="1:28" hidden="1" x14ac:dyDescent="0.2">
      <c r="A155" s="2" t="s">
        <v>431</v>
      </c>
      <c r="B155" s="3">
        <v>44058</v>
      </c>
      <c r="C155" s="2" t="s">
        <v>1192</v>
      </c>
      <c r="D155" s="2" t="s">
        <v>62</v>
      </c>
      <c r="E155" s="2" t="s">
        <v>217</v>
      </c>
      <c r="F155" s="2" t="s">
        <v>218</v>
      </c>
      <c r="G155" s="2" t="s">
        <v>1193</v>
      </c>
      <c r="H155" s="2" t="s">
        <v>1194</v>
      </c>
      <c r="I155" s="2" t="s">
        <v>31</v>
      </c>
      <c r="J155" s="2" t="s">
        <v>32</v>
      </c>
      <c r="K155" s="2" t="s">
        <v>500</v>
      </c>
      <c r="L155" s="2" t="s">
        <v>1081</v>
      </c>
      <c r="M155" s="3">
        <v>44061</v>
      </c>
      <c r="N155" s="3">
        <v>44074</v>
      </c>
      <c r="O155" s="4">
        <v>512.06399999999996</v>
      </c>
      <c r="P155" s="2" t="s">
        <v>33</v>
      </c>
      <c r="Q155" s="2" t="s">
        <v>34</v>
      </c>
      <c r="R155" s="2" t="s">
        <v>35</v>
      </c>
      <c r="S155" s="2" t="s">
        <v>435</v>
      </c>
      <c r="T155" s="2" t="s">
        <v>36</v>
      </c>
      <c r="U155" s="2" t="s">
        <v>290</v>
      </c>
      <c r="V155" s="2" t="s">
        <v>43</v>
      </c>
      <c r="W155" s="2" t="s">
        <v>1195</v>
      </c>
      <c r="X155" s="2" t="s">
        <v>412</v>
      </c>
      <c r="Y155" s="2" t="s">
        <v>436</v>
      </c>
      <c r="Z155" s="2" t="s">
        <v>412</v>
      </c>
      <c r="AA155" s="2" t="s">
        <v>39</v>
      </c>
      <c r="AB155" s="2" t="s">
        <v>414</v>
      </c>
    </row>
    <row r="156" spans="1:28" hidden="1" x14ac:dyDescent="0.2">
      <c r="A156" s="2" t="s">
        <v>427</v>
      </c>
      <c r="B156" s="3">
        <v>44068</v>
      </c>
      <c r="C156" s="2" t="s">
        <v>1196</v>
      </c>
      <c r="D156" s="2" t="s">
        <v>91</v>
      </c>
      <c r="E156" s="2" t="s">
        <v>258</v>
      </c>
      <c r="F156" s="2" t="s">
        <v>259</v>
      </c>
      <c r="G156" s="2" t="s">
        <v>1197</v>
      </c>
      <c r="H156" s="2" t="s">
        <v>1198</v>
      </c>
      <c r="I156" s="2" t="s">
        <v>77</v>
      </c>
      <c r="J156" s="2" t="s">
        <v>32</v>
      </c>
      <c r="K156" s="2" t="s">
        <v>1199</v>
      </c>
      <c r="L156" s="2" t="s">
        <v>740</v>
      </c>
      <c r="M156" s="3">
        <v>44061</v>
      </c>
      <c r="N156" s="3">
        <v>44085</v>
      </c>
      <c r="O156" s="4">
        <v>298.08</v>
      </c>
      <c r="P156" s="2" t="s">
        <v>48</v>
      </c>
      <c r="Q156" s="2" t="s">
        <v>134</v>
      </c>
      <c r="R156" s="2" t="s">
        <v>135</v>
      </c>
      <c r="S156" s="2" t="s">
        <v>425</v>
      </c>
      <c r="T156" s="2" t="s">
        <v>36</v>
      </c>
      <c r="U156" s="2" t="s">
        <v>1139</v>
      </c>
      <c r="V156" s="2" t="s">
        <v>155</v>
      </c>
      <c r="W156" s="2" t="s">
        <v>1200</v>
      </c>
      <c r="X156" s="2" t="s">
        <v>412</v>
      </c>
      <c r="Y156" s="2" t="s">
        <v>426</v>
      </c>
      <c r="Z156" s="2" t="s">
        <v>412</v>
      </c>
      <c r="AA156" s="2" t="s">
        <v>39</v>
      </c>
      <c r="AB156" s="2" t="s">
        <v>414</v>
      </c>
    </row>
    <row r="157" spans="1:28" hidden="1" x14ac:dyDescent="0.2">
      <c r="A157" s="2" t="s">
        <v>427</v>
      </c>
      <c r="B157" s="3">
        <v>44055</v>
      </c>
      <c r="C157" s="2" t="s">
        <v>1201</v>
      </c>
      <c r="D157" s="2" t="s">
        <v>62</v>
      </c>
      <c r="E157" s="2" t="s">
        <v>167</v>
      </c>
      <c r="F157" s="2" t="s">
        <v>168</v>
      </c>
      <c r="G157" s="2" t="s">
        <v>1202</v>
      </c>
      <c r="H157" s="2" t="s">
        <v>1203</v>
      </c>
      <c r="I157" s="2" t="s">
        <v>77</v>
      </c>
      <c r="J157" s="2" t="s">
        <v>32</v>
      </c>
      <c r="K157" s="2" t="s">
        <v>1087</v>
      </c>
      <c r="L157" s="2" t="s">
        <v>760</v>
      </c>
      <c r="M157" s="3">
        <v>44061</v>
      </c>
      <c r="N157" s="3">
        <v>44081</v>
      </c>
      <c r="O157" s="4">
        <v>198.72</v>
      </c>
      <c r="P157" s="2" t="s">
        <v>48</v>
      </c>
      <c r="Q157" s="2" t="s">
        <v>166</v>
      </c>
      <c r="R157" s="2" t="s">
        <v>169</v>
      </c>
      <c r="S157" s="2" t="s">
        <v>420</v>
      </c>
      <c r="T157" s="2" t="s">
        <v>36</v>
      </c>
      <c r="U157" s="2" t="s">
        <v>1139</v>
      </c>
      <c r="V157" s="2" t="s">
        <v>52</v>
      </c>
      <c r="W157" s="2" t="s">
        <v>1204</v>
      </c>
      <c r="X157" s="2" t="s">
        <v>412</v>
      </c>
      <c r="Y157" s="2" t="s">
        <v>421</v>
      </c>
      <c r="Z157" s="2" t="s">
        <v>1205</v>
      </c>
      <c r="AA157" s="2" t="s">
        <v>39</v>
      </c>
      <c r="AB157" s="2" t="s">
        <v>414</v>
      </c>
    </row>
    <row r="158" spans="1:28" hidden="1" x14ac:dyDescent="0.2">
      <c r="A158" s="2" t="s">
        <v>427</v>
      </c>
      <c r="B158" s="3">
        <v>44055</v>
      </c>
      <c r="C158" s="2" t="s">
        <v>1201</v>
      </c>
      <c r="D158" s="2" t="s">
        <v>62</v>
      </c>
      <c r="E158" s="2" t="s">
        <v>251</v>
      </c>
      <c r="F158" s="2" t="s">
        <v>252</v>
      </c>
      <c r="G158" s="2" t="s">
        <v>1206</v>
      </c>
      <c r="H158" s="2" t="s">
        <v>1207</v>
      </c>
      <c r="I158" s="2" t="s">
        <v>77</v>
      </c>
      <c r="J158" s="2" t="s">
        <v>32</v>
      </c>
      <c r="K158" s="2" t="s">
        <v>1087</v>
      </c>
      <c r="L158" s="2" t="s">
        <v>760</v>
      </c>
      <c r="M158" s="3">
        <v>44061</v>
      </c>
      <c r="N158" s="3">
        <v>44081</v>
      </c>
      <c r="O158" s="4">
        <v>414</v>
      </c>
      <c r="P158" s="2" t="s">
        <v>48</v>
      </c>
      <c r="Q158" s="2" t="s">
        <v>166</v>
      </c>
      <c r="R158" s="2" t="s">
        <v>250</v>
      </c>
      <c r="S158" s="2" t="s">
        <v>428</v>
      </c>
      <c r="T158" s="2" t="s">
        <v>42</v>
      </c>
      <c r="U158" s="2" t="s">
        <v>1139</v>
      </c>
      <c r="V158" s="2" t="s">
        <v>52</v>
      </c>
      <c r="W158" s="2" t="s">
        <v>1208</v>
      </c>
      <c r="X158" s="2" t="s">
        <v>412</v>
      </c>
      <c r="Y158" s="2" t="s">
        <v>473</v>
      </c>
      <c r="Z158" s="2" t="s">
        <v>981</v>
      </c>
      <c r="AA158" s="2" t="s">
        <v>39</v>
      </c>
      <c r="AB158" s="2" t="s">
        <v>414</v>
      </c>
    </row>
    <row r="159" spans="1:28" hidden="1" x14ac:dyDescent="0.2">
      <c r="A159" s="2" t="s">
        <v>427</v>
      </c>
      <c r="B159" s="3">
        <v>44058</v>
      </c>
      <c r="C159" s="2" t="s">
        <v>1209</v>
      </c>
      <c r="D159" s="2" t="s">
        <v>1210</v>
      </c>
      <c r="E159" s="2" t="s">
        <v>1211</v>
      </c>
      <c r="F159" s="2" t="s">
        <v>1212</v>
      </c>
      <c r="G159" s="2" t="s">
        <v>1213</v>
      </c>
      <c r="H159" s="2" t="s">
        <v>1214</v>
      </c>
      <c r="I159" s="2" t="s">
        <v>77</v>
      </c>
      <c r="J159" s="2" t="s">
        <v>32</v>
      </c>
      <c r="K159" s="2" t="s">
        <v>1199</v>
      </c>
      <c r="L159" s="2" t="s">
        <v>740</v>
      </c>
      <c r="M159" s="3">
        <v>44061</v>
      </c>
      <c r="N159" s="3">
        <v>44114</v>
      </c>
      <c r="O159" s="4">
        <v>103.5</v>
      </c>
      <c r="P159" s="2" t="s">
        <v>48</v>
      </c>
      <c r="Q159" s="2" t="s">
        <v>1215</v>
      </c>
      <c r="R159" s="2" t="s">
        <v>1216</v>
      </c>
      <c r="S159" s="2" t="s">
        <v>419</v>
      </c>
      <c r="T159" s="2" t="s">
        <v>72</v>
      </c>
      <c r="U159" s="2" t="s">
        <v>1139</v>
      </c>
      <c r="V159" s="2" t="s">
        <v>65</v>
      </c>
      <c r="W159" s="2" t="s">
        <v>1217</v>
      </c>
      <c r="X159" s="2" t="s">
        <v>412</v>
      </c>
      <c r="Y159" s="2" t="s">
        <v>468</v>
      </c>
      <c r="Z159" s="2" t="s">
        <v>412</v>
      </c>
      <c r="AA159" s="2" t="s">
        <v>733</v>
      </c>
      <c r="AB159" s="2" t="s">
        <v>414</v>
      </c>
    </row>
    <row r="160" spans="1:28" hidden="1" x14ac:dyDescent="0.2">
      <c r="A160" s="2" t="s">
        <v>410</v>
      </c>
      <c r="B160" s="3">
        <v>44058</v>
      </c>
      <c r="C160" s="2" t="s">
        <v>1218</v>
      </c>
      <c r="D160" s="2" t="s">
        <v>91</v>
      </c>
      <c r="E160" s="2" t="s">
        <v>217</v>
      </c>
      <c r="F160" s="2" t="s">
        <v>218</v>
      </c>
      <c r="G160" s="2" t="s">
        <v>1219</v>
      </c>
      <c r="H160" s="2" t="s">
        <v>1220</v>
      </c>
      <c r="I160" s="2" t="s">
        <v>267</v>
      </c>
      <c r="J160" s="2" t="s">
        <v>47</v>
      </c>
      <c r="K160" s="2" t="s">
        <v>487</v>
      </c>
      <c r="L160" s="2" t="s">
        <v>764</v>
      </c>
      <c r="M160" s="3">
        <v>44062</v>
      </c>
      <c r="N160" s="3">
        <v>44092</v>
      </c>
      <c r="O160" s="4">
        <v>293.76</v>
      </c>
      <c r="P160" s="2" t="s">
        <v>84</v>
      </c>
      <c r="Q160" s="2" t="s">
        <v>34</v>
      </c>
      <c r="R160" s="2" t="s">
        <v>268</v>
      </c>
      <c r="S160" s="2" t="s">
        <v>417</v>
      </c>
      <c r="T160" s="2" t="s">
        <v>87</v>
      </c>
      <c r="U160" s="2" t="s">
        <v>290</v>
      </c>
      <c r="V160" s="2" t="s">
        <v>88</v>
      </c>
      <c r="W160" s="2" t="s">
        <v>1221</v>
      </c>
      <c r="X160" s="2" t="s">
        <v>412</v>
      </c>
      <c r="Y160" s="2" t="s">
        <v>418</v>
      </c>
      <c r="Z160" s="2" t="s">
        <v>412</v>
      </c>
      <c r="AA160" s="2" t="s">
        <v>39</v>
      </c>
      <c r="AB160" s="2" t="s">
        <v>414</v>
      </c>
    </row>
    <row r="161" spans="1:28" hidden="1" x14ac:dyDescent="0.2">
      <c r="A161" s="2" t="s">
        <v>410</v>
      </c>
      <c r="B161" s="3">
        <v>44055</v>
      </c>
      <c r="C161" s="2" t="s">
        <v>1218</v>
      </c>
      <c r="D161" s="2" t="s">
        <v>62</v>
      </c>
      <c r="E161" s="2" t="s">
        <v>375</v>
      </c>
      <c r="F161" s="2" t="s">
        <v>376</v>
      </c>
      <c r="G161" s="2" t="s">
        <v>1222</v>
      </c>
      <c r="H161" s="2" t="s">
        <v>1223</v>
      </c>
      <c r="I161" s="2" t="s">
        <v>94</v>
      </c>
      <c r="J161" s="2" t="s">
        <v>95</v>
      </c>
      <c r="K161" s="2" t="s">
        <v>487</v>
      </c>
      <c r="L161" s="2" t="s">
        <v>764</v>
      </c>
      <c r="M161" s="3">
        <v>44062</v>
      </c>
      <c r="N161" s="3">
        <v>44090</v>
      </c>
      <c r="O161" s="4">
        <v>168.72</v>
      </c>
      <c r="P161" s="2" t="s">
        <v>84</v>
      </c>
      <c r="Q161" s="2" t="s">
        <v>100</v>
      </c>
      <c r="R161" s="2" t="s">
        <v>101</v>
      </c>
      <c r="S161" s="2" t="s">
        <v>420</v>
      </c>
      <c r="T161" s="2" t="s">
        <v>87</v>
      </c>
      <c r="U161" s="2" t="s">
        <v>290</v>
      </c>
      <c r="V161" s="2" t="s">
        <v>88</v>
      </c>
      <c r="W161" s="2" t="s">
        <v>1224</v>
      </c>
      <c r="X161" s="2" t="s">
        <v>412</v>
      </c>
      <c r="Y161" s="2" t="s">
        <v>469</v>
      </c>
      <c r="Z161" s="2" t="s">
        <v>1225</v>
      </c>
      <c r="AA161" s="2" t="s">
        <v>39</v>
      </c>
      <c r="AB161" s="2" t="s">
        <v>414</v>
      </c>
    </row>
    <row r="162" spans="1:28" hidden="1" x14ac:dyDescent="0.2">
      <c r="A162" s="2" t="s">
        <v>410</v>
      </c>
      <c r="B162" s="3">
        <v>44058</v>
      </c>
      <c r="C162" s="2" t="s">
        <v>1218</v>
      </c>
      <c r="D162" s="2" t="s">
        <v>28</v>
      </c>
      <c r="E162" s="2" t="s">
        <v>80</v>
      </c>
      <c r="F162" s="2" t="s">
        <v>81</v>
      </c>
      <c r="G162" s="2" t="s">
        <v>1226</v>
      </c>
      <c r="H162" s="2" t="s">
        <v>1227</v>
      </c>
      <c r="I162" s="2" t="s">
        <v>82</v>
      </c>
      <c r="J162" s="2" t="s">
        <v>83</v>
      </c>
      <c r="K162" s="2" t="s">
        <v>487</v>
      </c>
      <c r="L162" s="2" t="s">
        <v>764</v>
      </c>
      <c r="M162" s="3">
        <v>44062</v>
      </c>
      <c r="N162" s="3">
        <v>44105</v>
      </c>
      <c r="O162" s="4">
        <v>293.56799999999998</v>
      </c>
      <c r="P162" s="2" t="s">
        <v>84</v>
      </c>
      <c r="Q162" s="2" t="s">
        <v>85</v>
      </c>
      <c r="R162" s="2" t="s">
        <v>86</v>
      </c>
      <c r="S162" s="2" t="s">
        <v>425</v>
      </c>
      <c r="T162" s="2" t="s">
        <v>87</v>
      </c>
      <c r="U162" s="2" t="s">
        <v>290</v>
      </c>
      <c r="V162" s="2" t="s">
        <v>88</v>
      </c>
      <c r="W162" s="2" t="s">
        <v>1228</v>
      </c>
      <c r="X162" s="2" t="s">
        <v>412</v>
      </c>
      <c r="Y162" s="2" t="s">
        <v>463</v>
      </c>
      <c r="Z162" s="2" t="s">
        <v>412</v>
      </c>
      <c r="AA162" s="2" t="s">
        <v>39</v>
      </c>
      <c r="AB162" s="2" t="s">
        <v>414</v>
      </c>
    </row>
    <row r="163" spans="1:28" hidden="1" x14ac:dyDescent="0.2">
      <c r="A163" s="2" t="s">
        <v>410</v>
      </c>
      <c r="B163" s="3">
        <v>44073</v>
      </c>
      <c r="C163" s="2" t="s">
        <v>1218</v>
      </c>
      <c r="D163" s="2" t="s">
        <v>28</v>
      </c>
      <c r="E163" s="2" t="s">
        <v>98</v>
      </c>
      <c r="F163" s="2" t="s">
        <v>205</v>
      </c>
      <c r="G163" s="2" t="s">
        <v>1229</v>
      </c>
      <c r="H163" s="2" t="s">
        <v>1230</v>
      </c>
      <c r="I163" s="2" t="s">
        <v>89</v>
      </c>
      <c r="J163" s="2" t="s">
        <v>90</v>
      </c>
      <c r="K163" s="2" t="s">
        <v>487</v>
      </c>
      <c r="L163" s="2" t="s">
        <v>764</v>
      </c>
      <c r="M163" s="3">
        <v>44062</v>
      </c>
      <c r="N163" s="3">
        <v>44099</v>
      </c>
      <c r="O163" s="4">
        <v>498.4</v>
      </c>
      <c r="P163" s="2" t="s">
        <v>84</v>
      </c>
      <c r="Q163" s="2" t="s">
        <v>1231</v>
      </c>
      <c r="R163" s="2" t="s">
        <v>1232</v>
      </c>
      <c r="S163" s="2" t="s">
        <v>428</v>
      </c>
      <c r="T163" s="2" t="s">
        <v>87</v>
      </c>
      <c r="U163" s="2" t="s">
        <v>290</v>
      </c>
      <c r="V163" s="2" t="s">
        <v>88</v>
      </c>
      <c r="W163" s="2" t="s">
        <v>1233</v>
      </c>
      <c r="X163" s="2" t="s">
        <v>412</v>
      </c>
      <c r="Y163" s="2" t="s">
        <v>460</v>
      </c>
      <c r="Z163" s="2" t="s">
        <v>412</v>
      </c>
      <c r="AA163" s="2" t="s">
        <v>39</v>
      </c>
      <c r="AB163" s="2" t="s">
        <v>414</v>
      </c>
    </row>
    <row r="164" spans="1:28" hidden="1" x14ac:dyDescent="0.2">
      <c r="A164" s="2" t="s">
        <v>410</v>
      </c>
      <c r="B164" s="3">
        <v>44073</v>
      </c>
      <c r="C164" s="2" t="s">
        <v>1218</v>
      </c>
      <c r="D164" s="2" t="s">
        <v>91</v>
      </c>
      <c r="E164" s="2" t="s">
        <v>107</v>
      </c>
      <c r="F164" s="2" t="s">
        <v>505</v>
      </c>
      <c r="G164" s="2" t="s">
        <v>1234</v>
      </c>
      <c r="H164" s="2" t="s">
        <v>1235</v>
      </c>
      <c r="I164" s="2" t="s">
        <v>31</v>
      </c>
      <c r="J164" s="2" t="s">
        <v>32</v>
      </c>
      <c r="K164" s="2" t="s">
        <v>487</v>
      </c>
      <c r="L164" s="2" t="s">
        <v>764</v>
      </c>
      <c r="M164" s="3">
        <v>44062</v>
      </c>
      <c r="N164" s="3">
        <v>44081</v>
      </c>
      <c r="O164" s="4">
        <v>90.16</v>
      </c>
      <c r="P164" s="2" t="s">
        <v>84</v>
      </c>
      <c r="Q164" s="2" t="s">
        <v>105</v>
      </c>
      <c r="R164" s="2" t="s">
        <v>106</v>
      </c>
      <c r="S164" s="2" t="s">
        <v>419</v>
      </c>
      <c r="T164" s="2" t="s">
        <v>87</v>
      </c>
      <c r="U164" s="2" t="s">
        <v>290</v>
      </c>
      <c r="V164" s="2" t="s">
        <v>88</v>
      </c>
      <c r="W164" s="2" t="s">
        <v>1236</v>
      </c>
      <c r="X164" s="2" t="s">
        <v>412</v>
      </c>
      <c r="Y164" s="2" t="s">
        <v>506</v>
      </c>
      <c r="Z164" s="2" t="s">
        <v>412</v>
      </c>
      <c r="AA164" s="2" t="s">
        <v>109</v>
      </c>
      <c r="AB164" s="2" t="s">
        <v>414</v>
      </c>
    </row>
    <row r="165" spans="1:28" hidden="1" x14ac:dyDescent="0.2">
      <c r="A165" s="2" t="s">
        <v>410</v>
      </c>
      <c r="B165" s="3">
        <v>44053</v>
      </c>
      <c r="C165" s="2" t="s">
        <v>1218</v>
      </c>
      <c r="D165" s="2" t="s">
        <v>44</v>
      </c>
      <c r="E165" s="2" t="s">
        <v>273</v>
      </c>
      <c r="F165" s="2" t="s">
        <v>274</v>
      </c>
      <c r="G165" s="2" t="s">
        <v>1237</v>
      </c>
      <c r="H165" s="2" t="s">
        <v>1238</v>
      </c>
      <c r="I165" s="2" t="s">
        <v>275</v>
      </c>
      <c r="J165" s="2" t="s">
        <v>95</v>
      </c>
      <c r="K165" s="2" t="s">
        <v>487</v>
      </c>
      <c r="L165" s="2" t="s">
        <v>764</v>
      </c>
      <c r="M165" s="3">
        <v>44062</v>
      </c>
      <c r="N165" s="3">
        <v>44088</v>
      </c>
      <c r="O165" s="4">
        <v>182.11199999999999</v>
      </c>
      <c r="P165" s="2" t="s">
        <v>84</v>
      </c>
      <c r="Q165" s="2" t="s">
        <v>131</v>
      </c>
      <c r="R165" s="2" t="s">
        <v>185</v>
      </c>
      <c r="S165" s="2" t="s">
        <v>420</v>
      </c>
      <c r="T165" s="2" t="s">
        <v>87</v>
      </c>
      <c r="U165" s="2" t="s">
        <v>290</v>
      </c>
      <c r="V165" s="2" t="s">
        <v>88</v>
      </c>
      <c r="W165" s="2" t="s">
        <v>1239</v>
      </c>
      <c r="X165" s="2" t="s">
        <v>412</v>
      </c>
      <c r="Y165" s="2" t="s">
        <v>1240</v>
      </c>
      <c r="Z165" s="2" t="s">
        <v>412</v>
      </c>
      <c r="AA165" s="2" t="s">
        <v>39</v>
      </c>
      <c r="AB165" s="2" t="s">
        <v>414</v>
      </c>
    </row>
    <row r="166" spans="1:28" hidden="1" x14ac:dyDescent="0.2">
      <c r="A166" s="2" t="s">
        <v>410</v>
      </c>
      <c r="B166" s="3">
        <v>44053</v>
      </c>
      <c r="C166" s="2" t="s">
        <v>1218</v>
      </c>
      <c r="D166" s="2" t="s">
        <v>44</v>
      </c>
      <c r="E166" s="2" t="s">
        <v>273</v>
      </c>
      <c r="F166" s="2" t="s">
        <v>274</v>
      </c>
      <c r="G166" s="2" t="s">
        <v>1241</v>
      </c>
      <c r="H166" s="2" t="s">
        <v>1242</v>
      </c>
      <c r="I166" s="2" t="s">
        <v>275</v>
      </c>
      <c r="J166" s="2" t="s">
        <v>95</v>
      </c>
      <c r="K166" s="2" t="s">
        <v>487</v>
      </c>
      <c r="L166" s="2" t="s">
        <v>764</v>
      </c>
      <c r="M166" s="3">
        <v>44062</v>
      </c>
      <c r="N166" s="3">
        <v>44090</v>
      </c>
      <c r="O166" s="4">
        <v>68.292000000000002</v>
      </c>
      <c r="P166" s="2" t="s">
        <v>84</v>
      </c>
      <c r="Q166" s="2" t="s">
        <v>182</v>
      </c>
      <c r="R166" s="2" t="s">
        <v>183</v>
      </c>
      <c r="S166" s="2" t="s">
        <v>446</v>
      </c>
      <c r="T166" s="2" t="s">
        <v>87</v>
      </c>
      <c r="U166" s="2" t="s">
        <v>290</v>
      </c>
      <c r="V166" s="2" t="s">
        <v>88</v>
      </c>
      <c r="W166" s="2" t="s">
        <v>1243</v>
      </c>
      <c r="X166" s="2" t="s">
        <v>412</v>
      </c>
      <c r="Y166" s="2" t="s">
        <v>1244</v>
      </c>
      <c r="Z166" s="2" t="s">
        <v>412</v>
      </c>
      <c r="AA166" s="2" t="s">
        <v>39</v>
      </c>
      <c r="AB166" s="2" t="s">
        <v>414</v>
      </c>
    </row>
    <row r="167" spans="1:28" hidden="1" x14ac:dyDescent="0.2">
      <c r="A167" s="2" t="s">
        <v>410</v>
      </c>
      <c r="B167" s="3">
        <v>44063</v>
      </c>
      <c r="C167" s="2" t="s">
        <v>1218</v>
      </c>
      <c r="D167" s="2" t="s">
        <v>91</v>
      </c>
      <c r="E167" s="2" t="s">
        <v>138</v>
      </c>
      <c r="F167" s="2" t="s">
        <v>265</v>
      </c>
      <c r="G167" s="2" t="s">
        <v>1245</v>
      </c>
      <c r="H167" s="2" t="s">
        <v>1246</v>
      </c>
      <c r="I167" s="2" t="s">
        <v>383</v>
      </c>
      <c r="J167" s="2" t="s">
        <v>83</v>
      </c>
      <c r="K167" s="2" t="s">
        <v>487</v>
      </c>
      <c r="L167" s="2" t="s">
        <v>764</v>
      </c>
      <c r="M167" s="3">
        <v>44062</v>
      </c>
      <c r="N167" s="3">
        <v>44092</v>
      </c>
      <c r="O167" s="4">
        <v>441.14</v>
      </c>
      <c r="P167" s="2" t="s">
        <v>84</v>
      </c>
      <c r="Q167" s="2" t="s">
        <v>34</v>
      </c>
      <c r="R167" s="2" t="s">
        <v>384</v>
      </c>
      <c r="S167" s="2" t="s">
        <v>532</v>
      </c>
      <c r="T167" s="2" t="s">
        <v>87</v>
      </c>
      <c r="U167" s="2" t="s">
        <v>290</v>
      </c>
      <c r="V167" s="2" t="s">
        <v>88</v>
      </c>
      <c r="W167" s="2" t="s">
        <v>1247</v>
      </c>
      <c r="X167" s="2" t="s">
        <v>412</v>
      </c>
      <c r="Y167" s="2" t="s">
        <v>597</v>
      </c>
      <c r="Z167" s="2" t="s">
        <v>412</v>
      </c>
      <c r="AA167" s="2" t="s">
        <v>39</v>
      </c>
      <c r="AB167" s="2" t="s">
        <v>414</v>
      </c>
    </row>
    <row r="168" spans="1:28" hidden="1" x14ac:dyDescent="0.2">
      <c r="A168" s="2" t="s">
        <v>410</v>
      </c>
      <c r="B168" s="3">
        <v>44048</v>
      </c>
      <c r="C168" s="2" t="s">
        <v>1218</v>
      </c>
      <c r="D168" s="2" t="s">
        <v>152</v>
      </c>
      <c r="E168" s="2" t="s">
        <v>138</v>
      </c>
      <c r="F168" s="2" t="s">
        <v>265</v>
      </c>
      <c r="G168" s="2" t="s">
        <v>1248</v>
      </c>
      <c r="H168" s="2" t="s">
        <v>1249</v>
      </c>
      <c r="I168" s="2" t="s">
        <v>598</v>
      </c>
      <c r="J168" s="2" t="s">
        <v>47</v>
      </c>
      <c r="K168" s="2" t="s">
        <v>487</v>
      </c>
      <c r="L168" s="2" t="s">
        <v>764</v>
      </c>
      <c r="M168" s="3">
        <v>44062</v>
      </c>
      <c r="N168" s="3">
        <v>44092</v>
      </c>
      <c r="O168" s="4">
        <v>291.48</v>
      </c>
      <c r="P168" s="2" t="s">
        <v>84</v>
      </c>
      <c r="Q168" s="2" t="s">
        <v>34</v>
      </c>
      <c r="R168" s="2" t="s">
        <v>266</v>
      </c>
      <c r="S168" s="2" t="s">
        <v>459</v>
      </c>
      <c r="T168" s="2" t="s">
        <v>87</v>
      </c>
      <c r="U168" s="2" t="s">
        <v>290</v>
      </c>
      <c r="V168" s="2" t="s">
        <v>88</v>
      </c>
      <c r="W168" s="2" t="s">
        <v>1250</v>
      </c>
      <c r="X168" s="2" t="s">
        <v>412</v>
      </c>
      <c r="Y168" s="2" t="s">
        <v>482</v>
      </c>
      <c r="Z168" s="2" t="s">
        <v>856</v>
      </c>
      <c r="AA168" s="2" t="s">
        <v>39</v>
      </c>
      <c r="AB168" s="2" t="s">
        <v>414</v>
      </c>
    </row>
    <row r="169" spans="1:28" hidden="1" x14ac:dyDescent="0.2">
      <c r="A169" s="2" t="s">
        <v>410</v>
      </c>
      <c r="B169" s="3">
        <v>44048</v>
      </c>
      <c r="C169" s="2" t="s">
        <v>1218</v>
      </c>
      <c r="D169" s="2" t="s">
        <v>152</v>
      </c>
      <c r="E169" s="2" t="s">
        <v>138</v>
      </c>
      <c r="F169" s="2" t="s">
        <v>265</v>
      </c>
      <c r="G169" s="2" t="s">
        <v>1251</v>
      </c>
      <c r="H169" s="2" t="s">
        <v>1252</v>
      </c>
      <c r="I169" s="2" t="s">
        <v>1253</v>
      </c>
      <c r="J169" s="2" t="s">
        <v>47</v>
      </c>
      <c r="K169" s="2" t="s">
        <v>487</v>
      </c>
      <c r="L169" s="2" t="s">
        <v>764</v>
      </c>
      <c r="M169" s="3">
        <v>44062</v>
      </c>
      <c r="N169" s="3">
        <v>44092</v>
      </c>
      <c r="O169" s="4">
        <v>387.29599999999999</v>
      </c>
      <c r="P169" s="2" t="s">
        <v>84</v>
      </c>
      <c r="Q169" s="2" t="s">
        <v>34</v>
      </c>
      <c r="R169" s="2" t="s">
        <v>266</v>
      </c>
      <c r="S169" s="2" t="s">
        <v>459</v>
      </c>
      <c r="T169" s="2" t="s">
        <v>87</v>
      </c>
      <c r="U169" s="2" t="s">
        <v>290</v>
      </c>
      <c r="V169" s="2" t="s">
        <v>88</v>
      </c>
      <c r="W169" s="2" t="s">
        <v>1254</v>
      </c>
      <c r="X169" s="2" t="s">
        <v>412</v>
      </c>
      <c r="Y169" s="2" t="s">
        <v>482</v>
      </c>
      <c r="Z169" s="2" t="s">
        <v>856</v>
      </c>
      <c r="AA169" s="2" t="s">
        <v>39</v>
      </c>
      <c r="AB169" s="2" t="s">
        <v>414</v>
      </c>
    </row>
    <row r="170" spans="1:28" hidden="1" x14ac:dyDescent="0.2">
      <c r="A170" s="2" t="s">
        <v>410</v>
      </c>
      <c r="B170" s="3">
        <v>44048</v>
      </c>
      <c r="C170" s="2" t="s">
        <v>1218</v>
      </c>
      <c r="D170" s="2" t="s">
        <v>152</v>
      </c>
      <c r="E170" s="2" t="s">
        <v>138</v>
      </c>
      <c r="F170" s="2" t="s">
        <v>265</v>
      </c>
      <c r="G170" s="2" t="s">
        <v>1255</v>
      </c>
      <c r="H170" s="2" t="s">
        <v>1256</v>
      </c>
      <c r="I170" s="2" t="s">
        <v>1257</v>
      </c>
      <c r="J170" s="2" t="s">
        <v>47</v>
      </c>
      <c r="K170" s="2" t="s">
        <v>487</v>
      </c>
      <c r="L170" s="2" t="s">
        <v>764</v>
      </c>
      <c r="M170" s="3">
        <v>44062</v>
      </c>
      <c r="N170" s="3">
        <v>44092</v>
      </c>
      <c r="O170" s="4">
        <v>260</v>
      </c>
      <c r="P170" s="2" t="s">
        <v>84</v>
      </c>
      <c r="Q170" s="2" t="s">
        <v>34</v>
      </c>
      <c r="R170" s="2" t="s">
        <v>266</v>
      </c>
      <c r="S170" s="2" t="s">
        <v>411</v>
      </c>
      <c r="T170" s="2" t="s">
        <v>87</v>
      </c>
      <c r="U170" s="2" t="s">
        <v>290</v>
      </c>
      <c r="V170" s="2" t="s">
        <v>88</v>
      </c>
      <c r="W170" s="2" t="s">
        <v>1258</v>
      </c>
      <c r="X170" s="2" t="s">
        <v>412</v>
      </c>
      <c r="Y170" s="2" t="s">
        <v>432</v>
      </c>
      <c r="Z170" s="2" t="s">
        <v>856</v>
      </c>
      <c r="AA170" s="2" t="s">
        <v>39</v>
      </c>
      <c r="AB170" s="2" t="s">
        <v>414</v>
      </c>
    </row>
    <row r="171" spans="1:28" hidden="1" x14ac:dyDescent="0.2">
      <c r="A171" s="2" t="s">
        <v>410</v>
      </c>
      <c r="B171" s="3">
        <v>44048</v>
      </c>
      <c r="C171" s="2" t="s">
        <v>1218</v>
      </c>
      <c r="D171" s="2" t="s">
        <v>152</v>
      </c>
      <c r="E171" s="2" t="s">
        <v>138</v>
      </c>
      <c r="F171" s="2" t="s">
        <v>265</v>
      </c>
      <c r="G171" s="2" t="s">
        <v>1259</v>
      </c>
      <c r="H171" s="2" t="s">
        <v>1260</v>
      </c>
      <c r="I171" s="2" t="s">
        <v>1261</v>
      </c>
      <c r="J171" s="2" t="s">
        <v>47</v>
      </c>
      <c r="K171" s="2" t="s">
        <v>487</v>
      </c>
      <c r="L171" s="2" t="s">
        <v>764</v>
      </c>
      <c r="M171" s="3">
        <v>44062</v>
      </c>
      <c r="N171" s="3">
        <v>44092</v>
      </c>
      <c r="O171" s="4">
        <v>281.30399999999997</v>
      </c>
      <c r="P171" s="2" t="s">
        <v>84</v>
      </c>
      <c r="Q171" s="2" t="s">
        <v>34</v>
      </c>
      <c r="R171" s="2" t="s">
        <v>266</v>
      </c>
      <c r="S171" s="2" t="s">
        <v>425</v>
      </c>
      <c r="T171" s="2" t="s">
        <v>87</v>
      </c>
      <c r="U171" s="2" t="s">
        <v>290</v>
      </c>
      <c r="V171" s="2" t="s">
        <v>88</v>
      </c>
      <c r="W171" s="2" t="s">
        <v>1262</v>
      </c>
      <c r="X171" s="2" t="s">
        <v>412</v>
      </c>
      <c r="Y171" s="2" t="s">
        <v>455</v>
      </c>
      <c r="Z171" s="2" t="s">
        <v>856</v>
      </c>
      <c r="AA171" s="2" t="s">
        <v>39</v>
      </c>
      <c r="AB171" s="2" t="s">
        <v>414</v>
      </c>
    </row>
    <row r="172" spans="1:28" hidden="1" x14ac:dyDescent="0.2">
      <c r="A172" s="2" t="s">
        <v>410</v>
      </c>
      <c r="B172" s="3">
        <v>44042</v>
      </c>
      <c r="C172" s="2" t="s">
        <v>1218</v>
      </c>
      <c r="D172" s="2" t="s">
        <v>91</v>
      </c>
      <c r="E172" s="2" t="s">
        <v>217</v>
      </c>
      <c r="F172" s="2" t="s">
        <v>218</v>
      </c>
      <c r="G172" s="2" t="s">
        <v>1263</v>
      </c>
      <c r="H172" s="2" t="s">
        <v>1264</v>
      </c>
      <c r="I172" s="2" t="s">
        <v>540</v>
      </c>
      <c r="J172" s="2" t="s">
        <v>47</v>
      </c>
      <c r="K172" s="2" t="s">
        <v>487</v>
      </c>
      <c r="L172" s="2" t="s">
        <v>764</v>
      </c>
      <c r="M172" s="3">
        <v>44062</v>
      </c>
      <c r="N172" s="3">
        <v>44092</v>
      </c>
      <c r="O172" s="4">
        <v>23.712</v>
      </c>
      <c r="P172" s="2" t="s">
        <v>84</v>
      </c>
      <c r="Q172" s="2" t="s">
        <v>34</v>
      </c>
      <c r="R172" s="2" t="s">
        <v>35</v>
      </c>
      <c r="S172" s="2" t="s">
        <v>450</v>
      </c>
      <c r="T172" s="2" t="s">
        <v>87</v>
      </c>
      <c r="U172" s="2" t="s">
        <v>290</v>
      </c>
      <c r="V172" s="2" t="s">
        <v>88</v>
      </c>
      <c r="W172" s="2" t="s">
        <v>765</v>
      </c>
      <c r="X172" s="2" t="s">
        <v>412</v>
      </c>
      <c r="Y172" s="2" t="s">
        <v>449</v>
      </c>
      <c r="Z172" s="2" t="s">
        <v>412</v>
      </c>
      <c r="AA172" s="2" t="s">
        <v>39</v>
      </c>
      <c r="AB172" s="2" t="s">
        <v>414</v>
      </c>
    </row>
    <row r="173" spans="1:28" hidden="1" x14ac:dyDescent="0.2">
      <c r="A173" s="2" t="s">
        <v>427</v>
      </c>
      <c r="B173" s="3">
        <v>44073</v>
      </c>
      <c r="C173" s="2" t="s">
        <v>1265</v>
      </c>
      <c r="D173" s="2" t="s">
        <v>74</v>
      </c>
      <c r="E173" s="2" t="s">
        <v>75</v>
      </c>
      <c r="F173" s="2" t="s">
        <v>966</v>
      </c>
      <c r="G173" s="2" t="s">
        <v>1266</v>
      </c>
      <c r="H173" s="2" t="s">
        <v>1267</v>
      </c>
      <c r="I173" s="2" t="s">
        <v>77</v>
      </c>
      <c r="J173" s="2" t="s">
        <v>32</v>
      </c>
      <c r="K173" s="2" t="s">
        <v>1268</v>
      </c>
      <c r="L173" s="2" t="s">
        <v>1269</v>
      </c>
      <c r="M173" s="3">
        <v>44062</v>
      </c>
      <c r="N173" s="3">
        <v>44109</v>
      </c>
      <c r="O173" s="4">
        <v>496.8</v>
      </c>
      <c r="P173" s="2" t="s">
        <v>48</v>
      </c>
      <c r="Q173" s="2" t="s">
        <v>149</v>
      </c>
      <c r="R173" s="2" t="s">
        <v>150</v>
      </c>
      <c r="S173" s="2" t="s">
        <v>428</v>
      </c>
      <c r="T173" s="2" t="s">
        <v>36</v>
      </c>
      <c r="U173" s="2" t="s">
        <v>290</v>
      </c>
      <c r="V173" s="2" t="s">
        <v>65</v>
      </c>
      <c r="W173" s="2" t="s">
        <v>1270</v>
      </c>
      <c r="X173" s="2" t="s">
        <v>412</v>
      </c>
      <c r="Y173" s="2" t="s">
        <v>429</v>
      </c>
      <c r="Z173" s="2" t="s">
        <v>412</v>
      </c>
      <c r="AA173" s="2" t="s">
        <v>39</v>
      </c>
      <c r="AB173" s="2" t="s">
        <v>414</v>
      </c>
    </row>
    <row r="174" spans="1:28" hidden="1" x14ac:dyDescent="0.2">
      <c r="A174" s="2" t="s">
        <v>427</v>
      </c>
      <c r="B174" s="3">
        <v>44073</v>
      </c>
      <c r="C174" s="2" t="s">
        <v>1265</v>
      </c>
      <c r="D174" s="2" t="s">
        <v>74</v>
      </c>
      <c r="E174" s="2" t="s">
        <v>75</v>
      </c>
      <c r="F174" s="2" t="s">
        <v>966</v>
      </c>
      <c r="G174" s="2" t="s">
        <v>1271</v>
      </c>
      <c r="H174" s="2" t="s">
        <v>1272</v>
      </c>
      <c r="I174" s="2" t="s">
        <v>77</v>
      </c>
      <c r="J174" s="2" t="s">
        <v>32</v>
      </c>
      <c r="K174" s="2" t="s">
        <v>1268</v>
      </c>
      <c r="L174" s="2" t="s">
        <v>1269</v>
      </c>
      <c r="M174" s="3">
        <v>44062</v>
      </c>
      <c r="N174" s="3">
        <v>44109</v>
      </c>
      <c r="O174" s="4">
        <v>496.8</v>
      </c>
      <c r="P174" s="2" t="s">
        <v>48</v>
      </c>
      <c r="Q174" s="2" t="s">
        <v>149</v>
      </c>
      <c r="R174" s="2" t="s">
        <v>150</v>
      </c>
      <c r="S174" s="2" t="s">
        <v>428</v>
      </c>
      <c r="T174" s="2" t="s">
        <v>36</v>
      </c>
      <c r="U174" s="2" t="s">
        <v>290</v>
      </c>
      <c r="V174" s="2" t="s">
        <v>65</v>
      </c>
      <c r="W174" s="2" t="s">
        <v>1273</v>
      </c>
      <c r="X174" s="2" t="s">
        <v>412</v>
      </c>
      <c r="Y174" s="2" t="s">
        <v>429</v>
      </c>
      <c r="Z174" s="2" t="s">
        <v>412</v>
      </c>
      <c r="AA174" s="2" t="s">
        <v>39</v>
      </c>
      <c r="AB174" s="2" t="s">
        <v>414</v>
      </c>
    </row>
    <row r="175" spans="1:28" hidden="1" x14ac:dyDescent="0.2">
      <c r="A175" s="2" t="s">
        <v>470</v>
      </c>
      <c r="B175" s="3">
        <v>44058</v>
      </c>
      <c r="C175" s="2" t="s">
        <v>1274</v>
      </c>
      <c r="D175" s="2" t="s">
        <v>28</v>
      </c>
      <c r="E175" s="2" t="s">
        <v>280</v>
      </c>
      <c r="F175" s="2" t="s">
        <v>281</v>
      </c>
      <c r="G175" s="2" t="s">
        <v>1275</v>
      </c>
      <c r="H175" s="2" t="s">
        <v>1276</v>
      </c>
      <c r="I175" s="2" t="s">
        <v>282</v>
      </c>
      <c r="J175" s="2" t="s">
        <v>223</v>
      </c>
      <c r="K175" s="2" t="s">
        <v>593</v>
      </c>
      <c r="L175" s="2" t="s">
        <v>1277</v>
      </c>
      <c r="M175" s="3">
        <v>44063</v>
      </c>
      <c r="N175" s="3">
        <v>44104</v>
      </c>
      <c r="O175" s="4">
        <v>51.5</v>
      </c>
      <c r="P175" s="2" t="s">
        <v>224</v>
      </c>
      <c r="Q175" s="2" t="s">
        <v>283</v>
      </c>
      <c r="R175" s="2" t="s">
        <v>284</v>
      </c>
      <c r="S175" s="2" t="s">
        <v>449</v>
      </c>
      <c r="T175" s="2" t="s">
        <v>87</v>
      </c>
      <c r="U175" s="2" t="s">
        <v>290</v>
      </c>
      <c r="V175" s="2" t="s">
        <v>88</v>
      </c>
      <c r="W175" s="2" t="s">
        <v>1278</v>
      </c>
      <c r="X175" s="2" t="s">
        <v>412</v>
      </c>
      <c r="Y175" s="2" t="s">
        <v>467</v>
      </c>
      <c r="Z175" s="2" t="s">
        <v>1279</v>
      </c>
      <c r="AA175" s="2" t="s">
        <v>39</v>
      </c>
      <c r="AB175" s="2" t="s">
        <v>414</v>
      </c>
    </row>
    <row r="176" spans="1:28" hidden="1" x14ac:dyDescent="0.2">
      <c r="A176" s="2" t="s">
        <v>470</v>
      </c>
      <c r="B176" s="3">
        <v>44058</v>
      </c>
      <c r="C176" s="2" t="s">
        <v>1274</v>
      </c>
      <c r="D176" s="2" t="s">
        <v>28</v>
      </c>
      <c r="E176" s="2" t="s">
        <v>280</v>
      </c>
      <c r="F176" s="2" t="s">
        <v>281</v>
      </c>
      <c r="G176" s="2" t="s">
        <v>1280</v>
      </c>
      <c r="H176" s="2" t="s">
        <v>1281</v>
      </c>
      <c r="I176" s="2" t="s">
        <v>239</v>
      </c>
      <c r="J176" s="2" t="s">
        <v>223</v>
      </c>
      <c r="K176" s="2" t="s">
        <v>593</v>
      </c>
      <c r="L176" s="2" t="s">
        <v>1277</v>
      </c>
      <c r="M176" s="3">
        <v>44063</v>
      </c>
      <c r="N176" s="3">
        <v>44104</v>
      </c>
      <c r="O176" s="4">
        <v>107.12</v>
      </c>
      <c r="P176" s="2" t="s">
        <v>224</v>
      </c>
      <c r="Q176" s="2" t="s">
        <v>283</v>
      </c>
      <c r="R176" s="2" t="s">
        <v>284</v>
      </c>
      <c r="S176" s="2" t="s">
        <v>419</v>
      </c>
      <c r="T176" s="2" t="s">
        <v>87</v>
      </c>
      <c r="U176" s="2" t="s">
        <v>290</v>
      </c>
      <c r="V176" s="2" t="s">
        <v>88</v>
      </c>
      <c r="W176" s="2" t="s">
        <v>1282</v>
      </c>
      <c r="X176" s="2" t="s">
        <v>412</v>
      </c>
      <c r="Y176" s="2" t="s">
        <v>472</v>
      </c>
      <c r="Z176" s="2" t="s">
        <v>1279</v>
      </c>
      <c r="AA176" s="2" t="s">
        <v>39</v>
      </c>
      <c r="AB176" s="2" t="s">
        <v>414</v>
      </c>
    </row>
    <row r="177" spans="1:28" hidden="1" x14ac:dyDescent="0.2">
      <c r="A177" s="2" t="s">
        <v>470</v>
      </c>
      <c r="B177" s="3">
        <v>44058</v>
      </c>
      <c r="C177" s="2" t="s">
        <v>1274</v>
      </c>
      <c r="D177" s="2" t="s">
        <v>137</v>
      </c>
      <c r="E177" s="2" t="s">
        <v>138</v>
      </c>
      <c r="F177" s="2" t="s">
        <v>139</v>
      </c>
      <c r="G177" s="2" t="s">
        <v>1283</v>
      </c>
      <c r="H177" s="2" t="s">
        <v>1284</v>
      </c>
      <c r="I177" s="2" t="s">
        <v>846</v>
      </c>
      <c r="J177" s="2" t="s">
        <v>32</v>
      </c>
      <c r="K177" s="2" t="s">
        <v>593</v>
      </c>
      <c r="L177" s="2" t="s">
        <v>1277</v>
      </c>
      <c r="M177" s="3">
        <v>44063</v>
      </c>
      <c r="N177" s="3">
        <v>44093</v>
      </c>
      <c r="O177" s="4">
        <v>508.82</v>
      </c>
      <c r="P177" s="2" t="s">
        <v>224</v>
      </c>
      <c r="Q177" s="2" t="s">
        <v>34</v>
      </c>
      <c r="R177" s="2" t="s">
        <v>35</v>
      </c>
      <c r="S177" s="2" t="s">
        <v>447</v>
      </c>
      <c r="T177" s="2" t="s">
        <v>87</v>
      </c>
      <c r="U177" s="2" t="s">
        <v>290</v>
      </c>
      <c r="V177" s="2" t="s">
        <v>88</v>
      </c>
      <c r="W177" s="2" t="s">
        <v>1285</v>
      </c>
      <c r="X177" s="2" t="s">
        <v>412</v>
      </c>
      <c r="Y177" s="2" t="s">
        <v>448</v>
      </c>
      <c r="Z177" s="2" t="s">
        <v>412</v>
      </c>
      <c r="AA177" s="2" t="s">
        <v>39</v>
      </c>
      <c r="AB177" s="2" t="s">
        <v>414</v>
      </c>
    </row>
    <row r="178" spans="1:28" hidden="1" x14ac:dyDescent="0.2">
      <c r="A178" s="2" t="s">
        <v>470</v>
      </c>
      <c r="B178" s="3">
        <v>44068</v>
      </c>
      <c r="C178" s="2" t="s">
        <v>1274</v>
      </c>
      <c r="D178" s="2" t="s">
        <v>28</v>
      </c>
      <c r="E178" s="2" t="s">
        <v>233</v>
      </c>
      <c r="F178" s="2" t="s">
        <v>234</v>
      </c>
      <c r="G178" s="2" t="s">
        <v>1286</v>
      </c>
      <c r="H178" s="2" t="s">
        <v>1287</v>
      </c>
      <c r="I178" s="2" t="s">
        <v>222</v>
      </c>
      <c r="J178" s="2" t="s">
        <v>223</v>
      </c>
      <c r="K178" s="2" t="s">
        <v>593</v>
      </c>
      <c r="L178" s="2" t="s">
        <v>1277</v>
      </c>
      <c r="M178" s="3">
        <v>44063</v>
      </c>
      <c r="N178" s="3">
        <v>44118</v>
      </c>
      <c r="O178" s="4">
        <v>74.16</v>
      </c>
      <c r="P178" s="2" t="s">
        <v>224</v>
      </c>
      <c r="Q178" s="2" t="s">
        <v>235</v>
      </c>
      <c r="R178" s="2" t="s">
        <v>236</v>
      </c>
      <c r="S178" s="2" t="s">
        <v>446</v>
      </c>
      <c r="T178" s="2" t="s">
        <v>87</v>
      </c>
      <c r="U178" s="2" t="s">
        <v>290</v>
      </c>
      <c r="V178" s="2" t="s">
        <v>88</v>
      </c>
      <c r="W178" s="2" t="s">
        <v>1288</v>
      </c>
      <c r="X178" s="2" t="s">
        <v>412</v>
      </c>
      <c r="Y178" s="2" t="s">
        <v>471</v>
      </c>
      <c r="Z178" s="2" t="s">
        <v>412</v>
      </c>
      <c r="AA178" s="2" t="s">
        <v>39</v>
      </c>
      <c r="AB178" s="2" t="s">
        <v>414</v>
      </c>
    </row>
    <row r="179" spans="1:28" hidden="1" x14ac:dyDescent="0.2">
      <c r="A179" s="2" t="s">
        <v>470</v>
      </c>
      <c r="B179" s="3">
        <v>43951</v>
      </c>
      <c r="C179" s="2" t="s">
        <v>1274</v>
      </c>
      <c r="D179" s="2" t="s">
        <v>152</v>
      </c>
      <c r="E179" s="2" t="s">
        <v>138</v>
      </c>
      <c r="F179" s="2" t="s">
        <v>265</v>
      </c>
      <c r="G179" s="2" t="s">
        <v>1289</v>
      </c>
      <c r="H179" s="2" t="s">
        <v>1290</v>
      </c>
      <c r="I179" s="2" t="s">
        <v>1291</v>
      </c>
      <c r="J179" s="2" t="s">
        <v>47</v>
      </c>
      <c r="K179" s="2" t="s">
        <v>593</v>
      </c>
      <c r="L179" s="2" t="s">
        <v>1277</v>
      </c>
      <c r="M179" s="3">
        <v>44063</v>
      </c>
      <c r="N179" s="3">
        <v>44092</v>
      </c>
      <c r="O179" s="4">
        <v>113.88</v>
      </c>
      <c r="P179" s="2" t="s">
        <v>224</v>
      </c>
      <c r="Q179" s="2" t="s">
        <v>206</v>
      </c>
      <c r="R179" s="2" t="s">
        <v>266</v>
      </c>
      <c r="S179" s="2" t="s">
        <v>465</v>
      </c>
      <c r="T179" s="2" t="s">
        <v>87</v>
      </c>
      <c r="U179" s="2" t="s">
        <v>290</v>
      </c>
      <c r="V179" s="2" t="s">
        <v>88</v>
      </c>
      <c r="W179" s="2" t="s">
        <v>1292</v>
      </c>
      <c r="X179" s="2" t="s">
        <v>412</v>
      </c>
      <c r="Y179" s="2" t="s">
        <v>425</v>
      </c>
      <c r="Z179" s="2" t="s">
        <v>412</v>
      </c>
      <c r="AA179" s="2" t="s">
        <v>39</v>
      </c>
      <c r="AB179" s="2" t="s">
        <v>414</v>
      </c>
    </row>
    <row r="180" spans="1:28" hidden="1" x14ac:dyDescent="0.2">
      <c r="A180" s="2" t="s">
        <v>470</v>
      </c>
      <c r="B180" s="3">
        <v>43951</v>
      </c>
      <c r="C180" s="2" t="s">
        <v>1274</v>
      </c>
      <c r="D180" s="2" t="s">
        <v>152</v>
      </c>
      <c r="E180" s="2" t="s">
        <v>138</v>
      </c>
      <c r="F180" s="2" t="s">
        <v>265</v>
      </c>
      <c r="G180" s="2" t="s">
        <v>1293</v>
      </c>
      <c r="H180" s="2" t="s">
        <v>1294</v>
      </c>
      <c r="I180" s="2" t="s">
        <v>1295</v>
      </c>
      <c r="J180" s="2" t="s">
        <v>47</v>
      </c>
      <c r="K180" s="2" t="s">
        <v>593</v>
      </c>
      <c r="L180" s="2" t="s">
        <v>1277</v>
      </c>
      <c r="M180" s="3">
        <v>44063</v>
      </c>
      <c r="N180" s="3">
        <v>44092</v>
      </c>
      <c r="O180" s="4">
        <v>284.7</v>
      </c>
      <c r="P180" s="2" t="s">
        <v>224</v>
      </c>
      <c r="Q180" s="2" t="s">
        <v>206</v>
      </c>
      <c r="R180" s="2" t="s">
        <v>266</v>
      </c>
      <c r="S180" s="2" t="s">
        <v>417</v>
      </c>
      <c r="T180" s="2" t="s">
        <v>87</v>
      </c>
      <c r="U180" s="2" t="s">
        <v>290</v>
      </c>
      <c r="V180" s="2" t="s">
        <v>88</v>
      </c>
      <c r="W180" s="2" t="s">
        <v>1296</v>
      </c>
      <c r="X180" s="2" t="s">
        <v>412</v>
      </c>
      <c r="Y180" s="2" t="s">
        <v>418</v>
      </c>
      <c r="Z180" s="2" t="s">
        <v>412</v>
      </c>
      <c r="AA180" s="2" t="s">
        <v>39</v>
      </c>
      <c r="AB180" s="2" t="s">
        <v>414</v>
      </c>
    </row>
    <row r="181" spans="1:28" hidden="1" x14ac:dyDescent="0.2">
      <c r="A181" s="2" t="s">
        <v>470</v>
      </c>
      <c r="B181" s="3">
        <v>44058</v>
      </c>
      <c r="C181" s="2" t="s">
        <v>1297</v>
      </c>
      <c r="D181" s="2" t="s">
        <v>91</v>
      </c>
      <c r="E181" s="2" t="s">
        <v>217</v>
      </c>
      <c r="F181" s="2" t="s">
        <v>218</v>
      </c>
      <c r="G181" s="2" t="s">
        <v>1298</v>
      </c>
      <c r="H181" s="2" t="s">
        <v>1299</v>
      </c>
      <c r="I181" s="2" t="s">
        <v>302</v>
      </c>
      <c r="J181" s="2" t="s">
        <v>47</v>
      </c>
      <c r="K181" s="2" t="s">
        <v>1300</v>
      </c>
      <c r="L181" s="2" t="s">
        <v>113</v>
      </c>
      <c r="M181" s="3">
        <v>44063</v>
      </c>
      <c r="N181" s="3">
        <v>44101</v>
      </c>
      <c r="O181" s="4">
        <v>396.197</v>
      </c>
      <c r="P181" s="2" t="s">
        <v>303</v>
      </c>
      <c r="Q181" s="2" t="s">
        <v>206</v>
      </c>
      <c r="R181" s="2" t="s">
        <v>268</v>
      </c>
      <c r="S181" s="2" t="s">
        <v>439</v>
      </c>
      <c r="T181" s="2" t="s">
        <v>117</v>
      </c>
      <c r="U181" s="2" t="s">
        <v>304</v>
      </c>
      <c r="V181" s="2" t="s">
        <v>118</v>
      </c>
      <c r="W181" s="2" t="s">
        <v>412</v>
      </c>
      <c r="X181" s="2" t="s">
        <v>412</v>
      </c>
      <c r="Y181" s="2" t="s">
        <v>474</v>
      </c>
      <c r="Z181" s="2" t="s">
        <v>412</v>
      </c>
      <c r="AA181" s="2" t="s">
        <v>39</v>
      </c>
      <c r="AB181" s="2" t="s">
        <v>441</v>
      </c>
    </row>
    <row r="182" spans="1:28" hidden="1" x14ac:dyDescent="0.2">
      <c r="A182" s="2" t="s">
        <v>470</v>
      </c>
      <c r="B182" s="3">
        <v>44058</v>
      </c>
      <c r="C182" s="2" t="s">
        <v>1297</v>
      </c>
      <c r="D182" s="2" t="s">
        <v>91</v>
      </c>
      <c r="E182" s="2" t="s">
        <v>217</v>
      </c>
      <c r="F182" s="2" t="s">
        <v>218</v>
      </c>
      <c r="G182" s="2" t="s">
        <v>1301</v>
      </c>
      <c r="H182" s="2" t="s">
        <v>1302</v>
      </c>
      <c r="I182" s="2" t="s">
        <v>305</v>
      </c>
      <c r="J182" s="2" t="s">
        <v>47</v>
      </c>
      <c r="K182" s="2" t="s">
        <v>1300</v>
      </c>
      <c r="L182" s="2" t="s">
        <v>113</v>
      </c>
      <c r="M182" s="3">
        <v>44063</v>
      </c>
      <c r="N182" s="3">
        <v>44101</v>
      </c>
      <c r="O182" s="4">
        <v>202.946</v>
      </c>
      <c r="P182" s="2" t="s">
        <v>303</v>
      </c>
      <c r="Q182" s="2" t="s">
        <v>206</v>
      </c>
      <c r="R182" s="2" t="s">
        <v>268</v>
      </c>
      <c r="S182" s="2" t="s">
        <v>439</v>
      </c>
      <c r="T182" s="2" t="s">
        <v>117</v>
      </c>
      <c r="U182" s="2" t="s">
        <v>304</v>
      </c>
      <c r="V182" s="2" t="s">
        <v>118</v>
      </c>
      <c r="W182" s="2" t="s">
        <v>412</v>
      </c>
      <c r="X182" s="2" t="s">
        <v>412</v>
      </c>
      <c r="Y182" s="2" t="s">
        <v>435</v>
      </c>
      <c r="Z182" s="2" t="s">
        <v>412</v>
      </c>
      <c r="AA182" s="2" t="s">
        <v>39</v>
      </c>
      <c r="AB182" s="2" t="s">
        <v>441</v>
      </c>
    </row>
    <row r="183" spans="1:28" hidden="1" x14ac:dyDescent="0.2">
      <c r="A183" s="2" t="s">
        <v>470</v>
      </c>
      <c r="B183" s="3">
        <v>44058</v>
      </c>
      <c r="C183" s="2" t="s">
        <v>1297</v>
      </c>
      <c r="D183" s="2" t="s">
        <v>91</v>
      </c>
      <c r="E183" s="2" t="s">
        <v>217</v>
      </c>
      <c r="F183" s="2" t="s">
        <v>218</v>
      </c>
      <c r="G183" s="2" t="s">
        <v>1303</v>
      </c>
      <c r="H183" s="2" t="s">
        <v>1304</v>
      </c>
      <c r="I183" s="2" t="s">
        <v>306</v>
      </c>
      <c r="J183" s="2" t="s">
        <v>47</v>
      </c>
      <c r="K183" s="2" t="s">
        <v>1300</v>
      </c>
      <c r="L183" s="2" t="s">
        <v>113</v>
      </c>
      <c r="M183" s="3">
        <v>44063</v>
      </c>
      <c r="N183" s="3">
        <v>44101</v>
      </c>
      <c r="O183" s="4">
        <v>97.042000000000002</v>
      </c>
      <c r="P183" s="2" t="s">
        <v>303</v>
      </c>
      <c r="Q183" s="2" t="s">
        <v>206</v>
      </c>
      <c r="R183" s="2" t="s">
        <v>268</v>
      </c>
      <c r="S183" s="2" t="s">
        <v>439</v>
      </c>
      <c r="T183" s="2" t="s">
        <v>117</v>
      </c>
      <c r="U183" s="2" t="s">
        <v>304</v>
      </c>
      <c r="V183" s="2" t="s">
        <v>118</v>
      </c>
      <c r="W183" s="2" t="s">
        <v>412</v>
      </c>
      <c r="X183" s="2" t="s">
        <v>412</v>
      </c>
      <c r="Y183" s="2" t="s">
        <v>425</v>
      </c>
      <c r="Z183" s="2" t="s">
        <v>412</v>
      </c>
      <c r="AA183" s="2" t="s">
        <v>39</v>
      </c>
      <c r="AB183" s="2" t="s">
        <v>441</v>
      </c>
    </row>
    <row r="184" spans="1:28" hidden="1" x14ac:dyDescent="0.2">
      <c r="A184" s="2" t="s">
        <v>470</v>
      </c>
      <c r="B184" s="3">
        <v>44058</v>
      </c>
      <c r="C184" s="2" t="s">
        <v>1297</v>
      </c>
      <c r="D184" s="2" t="s">
        <v>62</v>
      </c>
      <c r="E184" s="2" t="s">
        <v>307</v>
      </c>
      <c r="F184" s="2" t="s">
        <v>308</v>
      </c>
      <c r="G184" s="2" t="s">
        <v>1305</v>
      </c>
      <c r="H184" s="2" t="s">
        <v>1306</v>
      </c>
      <c r="I184" s="2" t="s">
        <v>309</v>
      </c>
      <c r="J184" s="2" t="s">
        <v>223</v>
      </c>
      <c r="K184" s="2" t="s">
        <v>1300</v>
      </c>
      <c r="L184" s="2" t="s">
        <v>113</v>
      </c>
      <c r="M184" s="3">
        <v>44063</v>
      </c>
      <c r="N184" s="3">
        <v>44108</v>
      </c>
      <c r="O184" s="4">
        <v>123.893</v>
      </c>
      <c r="P184" s="2" t="s">
        <v>303</v>
      </c>
      <c r="Q184" s="2" t="s">
        <v>115</v>
      </c>
      <c r="R184" s="2" t="s">
        <v>116</v>
      </c>
      <c r="S184" s="2" t="s">
        <v>439</v>
      </c>
      <c r="T184" s="2" t="s">
        <v>117</v>
      </c>
      <c r="U184" s="2" t="s">
        <v>304</v>
      </c>
      <c r="V184" s="2" t="s">
        <v>118</v>
      </c>
      <c r="W184" s="2" t="s">
        <v>412</v>
      </c>
      <c r="X184" s="2" t="s">
        <v>412</v>
      </c>
      <c r="Y184" s="2" t="s">
        <v>469</v>
      </c>
      <c r="Z184" s="2" t="s">
        <v>412</v>
      </c>
      <c r="AA184" s="2" t="s">
        <v>39</v>
      </c>
      <c r="AB184" s="2" t="s">
        <v>441</v>
      </c>
    </row>
    <row r="185" spans="1:28" hidden="1" x14ac:dyDescent="0.2">
      <c r="A185" s="2" t="s">
        <v>470</v>
      </c>
      <c r="B185" s="3">
        <v>44073</v>
      </c>
      <c r="C185" s="2" t="s">
        <v>1297</v>
      </c>
      <c r="D185" s="2" t="s">
        <v>28</v>
      </c>
      <c r="E185" s="2" t="s">
        <v>162</v>
      </c>
      <c r="F185" s="2" t="s">
        <v>163</v>
      </c>
      <c r="G185" s="2" t="s">
        <v>1307</v>
      </c>
      <c r="H185" s="2" t="s">
        <v>1308</v>
      </c>
      <c r="I185" s="2" t="s">
        <v>112</v>
      </c>
      <c r="J185" s="2" t="s">
        <v>32</v>
      </c>
      <c r="K185" s="2" t="s">
        <v>1300</v>
      </c>
      <c r="L185" s="2" t="s">
        <v>113</v>
      </c>
      <c r="M185" s="3">
        <v>44063</v>
      </c>
      <c r="N185" s="3">
        <v>44108</v>
      </c>
      <c r="O185" s="4">
        <v>494.78</v>
      </c>
      <c r="P185" s="2" t="s">
        <v>303</v>
      </c>
      <c r="Q185" s="2" t="s">
        <v>115</v>
      </c>
      <c r="R185" s="2" t="s">
        <v>116</v>
      </c>
      <c r="S185" s="2" t="s">
        <v>439</v>
      </c>
      <c r="T185" s="2" t="s">
        <v>117</v>
      </c>
      <c r="U185" s="2" t="s">
        <v>304</v>
      </c>
      <c r="V185" s="2" t="s">
        <v>118</v>
      </c>
      <c r="W185" s="2" t="s">
        <v>412</v>
      </c>
      <c r="X185" s="2" t="s">
        <v>412</v>
      </c>
      <c r="Y185" s="2" t="s">
        <v>429</v>
      </c>
      <c r="Z185" s="2" t="s">
        <v>412</v>
      </c>
      <c r="AA185" s="2" t="s">
        <v>39</v>
      </c>
      <c r="AB185" s="2" t="s">
        <v>441</v>
      </c>
    </row>
    <row r="186" spans="1:28" hidden="1" x14ac:dyDescent="0.2">
      <c r="A186" s="2" t="s">
        <v>470</v>
      </c>
      <c r="B186" s="3">
        <v>44073</v>
      </c>
      <c r="C186" s="2" t="s">
        <v>1297</v>
      </c>
      <c r="D186" s="2" t="s">
        <v>28</v>
      </c>
      <c r="E186" s="2" t="s">
        <v>162</v>
      </c>
      <c r="F186" s="2" t="s">
        <v>163</v>
      </c>
      <c r="G186" s="2" t="s">
        <v>1309</v>
      </c>
      <c r="H186" s="2" t="s">
        <v>1310</v>
      </c>
      <c r="I186" s="2" t="s">
        <v>112</v>
      </c>
      <c r="J186" s="2" t="s">
        <v>32</v>
      </c>
      <c r="K186" s="2" t="s">
        <v>1300</v>
      </c>
      <c r="L186" s="2" t="s">
        <v>113</v>
      </c>
      <c r="M186" s="3">
        <v>44063</v>
      </c>
      <c r="N186" s="3">
        <v>44108</v>
      </c>
      <c r="O186" s="4">
        <v>494.77</v>
      </c>
      <c r="P186" s="2" t="s">
        <v>303</v>
      </c>
      <c r="Q186" s="2" t="s">
        <v>115</v>
      </c>
      <c r="R186" s="2" t="s">
        <v>116</v>
      </c>
      <c r="S186" s="2" t="s">
        <v>439</v>
      </c>
      <c r="T186" s="2" t="s">
        <v>117</v>
      </c>
      <c r="U186" s="2" t="s">
        <v>304</v>
      </c>
      <c r="V186" s="2" t="s">
        <v>118</v>
      </c>
      <c r="W186" s="2" t="s">
        <v>412</v>
      </c>
      <c r="X186" s="2" t="s">
        <v>412</v>
      </c>
      <c r="Y186" s="2" t="s">
        <v>429</v>
      </c>
      <c r="Z186" s="2" t="s">
        <v>412</v>
      </c>
      <c r="AA186" s="2" t="s">
        <v>39</v>
      </c>
      <c r="AB186" s="2" t="s">
        <v>441</v>
      </c>
    </row>
    <row r="187" spans="1:28" hidden="1" x14ac:dyDescent="0.2">
      <c r="A187" s="2" t="s">
        <v>470</v>
      </c>
      <c r="B187" s="3">
        <v>44073</v>
      </c>
      <c r="C187" s="2" t="s">
        <v>1297</v>
      </c>
      <c r="D187" s="2" t="s">
        <v>28</v>
      </c>
      <c r="E187" s="2" t="s">
        <v>162</v>
      </c>
      <c r="F187" s="2" t="s">
        <v>163</v>
      </c>
      <c r="G187" s="2" t="s">
        <v>1311</v>
      </c>
      <c r="H187" s="2" t="s">
        <v>1312</v>
      </c>
      <c r="I187" s="2" t="s">
        <v>112</v>
      </c>
      <c r="J187" s="2" t="s">
        <v>32</v>
      </c>
      <c r="K187" s="2" t="s">
        <v>1300</v>
      </c>
      <c r="L187" s="2" t="s">
        <v>113</v>
      </c>
      <c r="M187" s="3">
        <v>44063</v>
      </c>
      <c r="N187" s="3">
        <v>44108</v>
      </c>
      <c r="O187" s="4">
        <v>500</v>
      </c>
      <c r="P187" s="2" t="s">
        <v>303</v>
      </c>
      <c r="Q187" s="2" t="s">
        <v>115</v>
      </c>
      <c r="R187" s="2" t="s">
        <v>116</v>
      </c>
      <c r="S187" s="2" t="s">
        <v>439</v>
      </c>
      <c r="T187" s="2" t="s">
        <v>117</v>
      </c>
      <c r="U187" s="2" t="s">
        <v>290</v>
      </c>
      <c r="V187" s="2" t="s">
        <v>118</v>
      </c>
      <c r="W187" s="2" t="s">
        <v>412</v>
      </c>
      <c r="X187" s="2" t="s">
        <v>412</v>
      </c>
      <c r="Y187" s="2" t="s">
        <v>476</v>
      </c>
      <c r="Z187" s="2" t="s">
        <v>412</v>
      </c>
      <c r="AA187" s="2" t="s">
        <v>39</v>
      </c>
      <c r="AB187" s="2" t="s">
        <v>441</v>
      </c>
    </row>
    <row r="188" spans="1:28" hidden="1" x14ac:dyDescent="0.2">
      <c r="A188" s="2" t="s">
        <v>470</v>
      </c>
      <c r="B188" s="3">
        <v>44073</v>
      </c>
      <c r="C188" s="2" t="s">
        <v>1297</v>
      </c>
      <c r="D188" s="2" t="s">
        <v>28</v>
      </c>
      <c r="E188" s="2" t="s">
        <v>162</v>
      </c>
      <c r="F188" s="2" t="s">
        <v>163</v>
      </c>
      <c r="G188" s="2" t="s">
        <v>1313</v>
      </c>
      <c r="H188" s="2" t="s">
        <v>1314</v>
      </c>
      <c r="I188" s="2" t="s">
        <v>112</v>
      </c>
      <c r="J188" s="2" t="s">
        <v>32</v>
      </c>
      <c r="K188" s="2" t="s">
        <v>1300</v>
      </c>
      <c r="L188" s="2" t="s">
        <v>113</v>
      </c>
      <c r="M188" s="3">
        <v>44063</v>
      </c>
      <c r="N188" s="3">
        <v>44108</v>
      </c>
      <c r="O188" s="4">
        <v>500</v>
      </c>
      <c r="P188" s="2" t="s">
        <v>303</v>
      </c>
      <c r="Q188" s="2" t="s">
        <v>115</v>
      </c>
      <c r="R188" s="2" t="s">
        <v>116</v>
      </c>
      <c r="S188" s="2" t="s">
        <v>439</v>
      </c>
      <c r="T188" s="2" t="s">
        <v>117</v>
      </c>
      <c r="U188" s="2" t="s">
        <v>290</v>
      </c>
      <c r="V188" s="2" t="s">
        <v>118</v>
      </c>
      <c r="W188" s="2" t="s">
        <v>412</v>
      </c>
      <c r="X188" s="2" t="s">
        <v>412</v>
      </c>
      <c r="Y188" s="2" t="s">
        <v>476</v>
      </c>
      <c r="Z188" s="2" t="s">
        <v>412</v>
      </c>
      <c r="AA188" s="2" t="s">
        <v>39</v>
      </c>
      <c r="AB188" s="2" t="s">
        <v>441</v>
      </c>
    </row>
    <row r="189" spans="1:28" hidden="1" x14ac:dyDescent="0.2">
      <c r="A189" s="2" t="s">
        <v>470</v>
      </c>
      <c r="B189" s="3">
        <v>44073</v>
      </c>
      <c r="C189" s="2" t="s">
        <v>1297</v>
      </c>
      <c r="D189" s="2" t="s">
        <v>28</v>
      </c>
      <c r="E189" s="2" t="s">
        <v>162</v>
      </c>
      <c r="F189" s="2" t="s">
        <v>163</v>
      </c>
      <c r="G189" s="2" t="s">
        <v>1315</v>
      </c>
      <c r="H189" s="2" t="s">
        <v>1316</v>
      </c>
      <c r="I189" s="2" t="s">
        <v>112</v>
      </c>
      <c r="J189" s="2" t="s">
        <v>32</v>
      </c>
      <c r="K189" s="2" t="s">
        <v>1300</v>
      </c>
      <c r="L189" s="2" t="s">
        <v>113</v>
      </c>
      <c r="M189" s="3">
        <v>44063</v>
      </c>
      <c r="N189" s="3">
        <v>44108</v>
      </c>
      <c r="O189" s="4">
        <v>500</v>
      </c>
      <c r="P189" s="2" t="s">
        <v>303</v>
      </c>
      <c r="Q189" s="2" t="s">
        <v>115</v>
      </c>
      <c r="R189" s="2" t="s">
        <v>116</v>
      </c>
      <c r="S189" s="2" t="s">
        <v>439</v>
      </c>
      <c r="T189" s="2" t="s">
        <v>117</v>
      </c>
      <c r="U189" s="2" t="s">
        <v>290</v>
      </c>
      <c r="V189" s="2" t="s">
        <v>118</v>
      </c>
      <c r="W189" s="2" t="s">
        <v>412</v>
      </c>
      <c r="X189" s="2" t="s">
        <v>412</v>
      </c>
      <c r="Y189" s="2" t="s">
        <v>476</v>
      </c>
      <c r="Z189" s="2" t="s">
        <v>412</v>
      </c>
      <c r="AA189" s="2" t="s">
        <v>39</v>
      </c>
      <c r="AB189" s="2" t="s">
        <v>441</v>
      </c>
    </row>
    <row r="190" spans="1:28" hidden="1" x14ac:dyDescent="0.2">
      <c r="A190" s="2" t="s">
        <v>470</v>
      </c>
      <c r="B190" s="3">
        <v>44048</v>
      </c>
      <c r="C190" s="2" t="s">
        <v>1297</v>
      </c>
      <c r="D190" s="2" t="s">
        <v>152</v>
      </c>
      <c r="E190" s="2" t="s">
        <v>127</v>
      </c>
      <c r="F190" s="2" t="s">
        <v>314</v>
      </c>
      <c r="G190" s="2" t="s">
        <v>1317</v>
      </c>
      <c r="H190" s="2" t="s">
        <v>1318</v>
      </c>
      <c r="I190" s="2" t="s">
        <v>315</v>
      </c>
      <c r="J190" s="2" t="s">
        <v>58</v>
      </c>
      <c r="K190" s="2" t="s">
        <v>1300</v>
      </c>
      <c r="L190" s="2" t="s">
        <v>113</v>
      </c>
      <c r="M190" s="3">
        <v>44063</v>
      </c>
      <c r="N190" s="3">
        <v>44090</v>
      </c>
      <c r="O190" s="4">
        <v>100</v>
      </c>
      <c r="P190" s="2" t="s">
        <v>303</v>
      </c>
      <c r="Q190" s="2" t="s">
        <v>85</v>
      </c>
      <c r="R190" s="2" t="s">
        <v>86</v>
      </c>
      <c r="S190" s="2" t="s">
        <v>439</v>
      </c>
      <c r="T190" s="2" t="s">
        <v>117</v>
      </c>
      <c r="U190" s="2" t="s">
        <v>290</v>
      </c>
      <c r="V190" s="2" t="s">
        <v>118</v>
      </c>
      <c r="W190" s="2" t="s">
        <v>412</v>
      </c>
      <c r="X190" s="2" t="s">
        <v>412</v>
      </c>
      <c r="Y190" s="2" t="s">
        <v>1319</v>
      </c>
      <c r="Z190" s="2" t="s">
        <v>412</v>
      </c>
      <c r="AA190" s="2" t="s">
        <v>39</v>
      </c>
      <c r="AB190" s="2" t="s">
        <v>441</v>
      </c>
    </row>
    <row r="191" spans="1:28" hidden="1" x14ac:dyDescent="0.2">
      <c r="A191" s="2" t="s">
        <v>470</v>
      </c>
      <c r="B191" s="3">
        <v>44048</v>
      </c>
      <c r="C191" s="2" t="s">
        <v>1297</v>
      </c>
      <c r="D191" s="2" t="s">
        <v>152</v>
      </c>
      <c r="E191" s="2" t="s">
        <v>316</v>
      </c>
      <c r="F191" s="2" t="s">
        <v>314</v>
      </c>
      <c r="G191" s="2" t="s">
        <v>1320</v>
      </c>
      <c r="H191" s="2" t="s">
        <v>1321</v>
      </c>
      <c r="I191" s="2" t="s">
        <v>315</v>
      </c>
      <c r="J191" s="2" t="s">
        <v>58</v>
      </c>
      <c r="K191" s="2" t="s">
        <v>1300</v>
      </c>
      <c r="L191" s="2" t="s">
        <v>113</v>
      </c>
      <c r="M191" s="3">
        <v>44063</v>
      </c>
      <c r="N191" s="3">
        <v>44090</v>
      </c>
      <c r="O191" s="4">
        <v>100</v>
      </c>
      <c r="P191" s="2" t="s">
        <v>303</v>
      </c>
      <c r="Q191" s="2" t="s">
        <v>85</v>
      </c>
      <c r="R191" s="2" t="s">
        <v>86</v>
      </c>
      <c r="S191" s="2" t="s">
        <v>439</v>
      </c>
      <c r="T191" s="2" t="s">
        <v>117</v>
      </c>
      <c r="U191" s="2" t="s">
        <v>290</v>
      </c>
      <c r="V191" s="2" t="s">
        <v>118</v>
      </c>
      <c r="W191" s="2" t="s">
        <v>412</v>
      </c>
      <c r="X191" s="2" t="s">
        <v>412</v>
      </c>
      <c r="Y191" s="2" t="s">
        <v>1319</v>
      </c>
      <c r="Z191" s="2" t="s">
        <v>412</v>
      </c>
      <c r="AA191" s="2" t="s">
        <v>39</v>
      </c>
      <c r="AB191" s="2" t="s">
        <v>441</v>
      </c>
    </row>
    <row r="192" spans="1:28" hidden="1" x14ac:dyDescent="0.2">
      <c r="A192" s="2" t="s">
        <v>470</v>
      </c>
      <c r="B192" s="3">
        <v>44048</v>
      </c>
      <c r="C192" s="2" t="s">
        <v>1297</v>
      </c>
      <c r="D192" s="2" t="s">
        <v>102</v>
      </c>
      <c r="E192" s="2" t="s">
        <v>316</v>
      </c>
      <c r="F192" s="2" t="s">
        <v>317</v>
      </c>
      <c r="G192" s="2" t="s">
        <v>1322</v>
      </c>
      <c r="H192" s="2" t="s">
        <v>1323</v>
      </c>
      <c r="I192" s="2" t="s">
        <v>318</v>
      </c>
      <c r="J192" s="2" t="s">
        <v>58</v>
      </c>
      <c r="K192" s="2" t="s">
        <v>1300</v>
      </c>
      <c r="L192" s="2" t="s">
        <v>113</v>
      </c>
      <c r="M192" s="3">
        <v>44063</v>
      </c>
      <c r="N192" s="3">
        <v>44090</v>
      </c>
      <c r="O192" s="4">
        <v>25</v>
      </c>
      <c r="P192" s="2" t="s">
        <v>303</v>
      </c>
      <c r="Q192" s="2" t="s">
        <v>85</v>
      </c>
      <c r="R192" s="2" t="s">
        <v>319</v>
      </c>
      <c r="S192" s="2" t="s">
        <v>439</v>
      </c>
      <c r="T192" s="2" t="s">
        <v>117</v>
      </c>
      <c r="U192" s="2" t="s">
        <v>290</v>
      </c>
      <c r="V192" s="2" t="s">
        <v>118</v>
      </c>
      <c r="W192" s="2" t="s">
        <v>412</v>
      </c>
      <c r="X192" s="2" t="s">
        <v>412</v>
      </c>
      <c r="Y192" s="2" t="s">
        <v>416</v>
      </c>
      <c r="Z192" s="2" t="s">
        <v>412</v>
      </c>
      <c r="AA192" s="2" t="s">
        <v>109</v>
      </c>
      <c r="AB192" s="2" t="s">
        <v>441</v>
      </c>
    </row>
    <row r="193" spans="1:28" hidden="1" x14ac:dyDescent="0.2">
      <c r="A193" s="2" t="s">
        <v>470</v>
      </c>
      <c r="B193" s="3">
        <v>44048</v>
      </c>
      <c r="C193" s="2" t="s">
        <v>1297</v>
      </c>
      <c r="D193" s="2" t="s">
        <v>102</v>
      </c>
      <c r="E193" s="2" t="s">
        <v>316</v>
      </c>
      <c r="F193" s="2" t="s">
        <v>317</v>
      </c>
      <c r="G193" s="2" t="s">
        <v>1324</v>
      </c>
      <c r="H193" s="2" t="s">
        <v>1325</v>
      </c>
      <c r="I193" s="2" t="s">
        <v>320</v>
      </c>
      <c r="J193" s="2" t="s">
        <v>58</v>
      </c>
      <c r="K193" s="2" t="s">
        <v>1300</v>
      </c>
      <c r="L193" s="2" t="s">
        <v>113</v>
      </c>
      <c r="M193" s="3">
        <v>44063</v>
      </c>
      <c r="N193" s="3">
        <v>44090</v>
      </c>
      <c r="O193" s="4">
        <v>28.32</v>
      </c>
      <c r="P193" s="2" t="s">
        <v>303</v>
      </c>
      <c r="Q193" s="2" t="s">
        <v>85</v>
      </c>
      <c r="R193" s="2" t="s">
        <v>319</v>
      </c>
      <c r="S193" s="2" t="s">
        <v>439</v>
      </c>
      <c r="T193" s="2" t="s">
        <v>117</v>
      </c>
      <c r="U193" s="2" t="s">
        <v>304</v>
      </c>
      <c r="V193" s="2" t="s">
        <v>118</v>
      </c>
      <c r="W193" s="2" t="s">
        <v>412</v>
      </c>
      <c r="X193" s="2" t="s">
        <v>412</v>
      </c>
      <c r="Y193" s="2" t="s">
        <v>456</v>
      </c>
      <c r="Z193" s="2" t="s">
        <v>412</v>
      </c>
      <c r="AA193" s="2" t="s">
        <v>109</v>
      </c>
      <c r="AB193" s="2" t="s">
        <v>441</v>
      </c>
    </row>
    <row r="194" spans="1:28" hidden="1" x14ac:dyDescent="0.2">
      <c r="A194" s="2" t="s">
        <v>470</v>
      </c>
      <c r="B194" s="3">
        <v>44048</v>
      </c>
      <c r="C194" s="2" t="s">
        <v>1297</v>
      </c>
      <c r="D194" s="2" t="s">
        <v>102</v>
      </c>
      <c r="E194" s="2" t="s">
        <v>316</v>
      </c>
      <c r="F194" s="2" t="s">
        <v>317</v>
      </c>
      <c r="G194" s="2" t="s">
        <v>1326</v>
      </c>
      <c r="H194" s="2" t="s">
        <v>1327</v>
      </c>
      <c r="I194" s="2" t="s">
        <v>321</v>
      </c>
      <c r="J194" s="2" t="s">
        <v>58</v>
      </c>
      <c r="K194" s="2" t="s">
        <v>1300</v>
      </c>
      <c r="L194" s="2" t="s">
        <v>113</v>
      </c>
      <c r="M194" s="3">
        <v>44063</v>
      </c>
      <c r="N194" s="3">
        <v>44090</v>
      </c>
      <c r="O194" s="4">
        <v>79.772000000000006</v>
      </c>
      <c r="P194" s="2" t="s">
        <v>303</v>
      </c>
      <c r="Q194" s="2" t="s">
        <v>85</v>
      </c>
      <c r="R194" s="2" t="s">
        <v>319</v>
      </c>
      <c r="S194" s="2" t="s">
        <v>439</v>
      </c>
      <c r="T194" s="2" t="s">
        <v>117</v>
      </c>
      <c r="U194" s="2" t="s">
        <v>304</v>
      </c>
      <c r="V194" s="2" t="s">
        <v>118</v>
      </c>
      <c r="W194" s="2" t="s">
        <v>412</v>
      </c>
      <c r="X194" s="2" t="s">
        <v>412</v>
      </c>
      <c r="Y194" s="2" t="s">
        <v>414</v>
      </c>
      <c r="Z194" s="2" t="s">
        <v>412</v>
      </c>
      <c r="AA194" s="2" t="s">
        <v>109</v>
      </c>
      <c r="AB194" s="2" t="s">
        <v>441</v>
      </c>
    </row>
    <row r="195" spans="1:28" hidden="1" x14ac:dyDescent="0.2">
      <c r="A195" s="2" t="s">
        <v>470</v>
      </c>
      <c r="B195" s="3">
        <v>44048</v>
      </c>
      <c r="C195" s="2" t="s">
        <v>1297</v>
      </c>
      <c r="D195" s="2" t="s">
        <v>102</v>
      </c>
      <c r="E195" s="2" t="s">
        <v>316</v>
      </c>
      <c r="F195" s="2" t="s">
        <v>326</v>
      </c>
      <c r="G195" s="2" t="s">
        <v>1328</v>
      </c>
      <c r="H195" s="2" t="s">
        <v>1329</v>
      </c>
      <c r="I195" s="2" t="s">
        <v>327</v>
      </c>
      <c r="J195" s="2" t="s">
        <v>58</v>
      </c>
      <c r="K195" s="2" t="s">
        <v>1300</v>
      </c>
      <c r="L195" s="2" t="s">
        <v>113</v>
      </c>
      <c r="M195" s="3">
        <v>44063</v>
      </c>
      <c r="N195" s="3">
        <v>44087</v>
      </c>
      <c r="O195" s="4">
        <v>200</v>
      </c>
      <c r="P195" s="2" t="s">
        <v>303</v>
      </c>
      <c r="Q195" s="2" t="s">
        <v>131</v>
      </c>
      <c r="R195" s="2" t="s">
        <v>313</v>
      </c>
      <c r="S195" s="2" t="s">
        <v>439</v>
      </c>
      <c r="T195" s="2" t="s">
        <v>117</v>
      </c>
      <c r="U195" s="2" t="s">
        <v>290</v>
      </c>
      <c r="V195" s="2" t="s">
        <v>118</v>
      </c>
      <c r="W195" s="2" t="s">
        <v>412</v>
      </c>
      <c r="X195" s="2" t="s">
        <v>412</v>
      </c>
      <c r="Y195" s="2" t="s">
        <v>511</v>
      </c>
      <c r="Z195" s="2" t="s">
        <v>412</v>
      </c>
      <c r="AA195" s="2" t="s">
        <v>109</v>
      </c>
      <c r="AB195" s="2" t="s">
        <v>441</v>
      </c>
    </row>
    <row r="196" spans="1:28" hidden="1" x14ac:dyDescent="0.2">
      <c r="A196" s="2" t="s">
        <v>470</v>
      </c>
      <c r="B196" s="3">
        <v>44048</v>
      </c>
      <c r="C196" s="2" t="s">
        <v>1297</v>
      </c>
      <c r="D196" s="2" t="s">
        <v>102</v>
      </c>
      <c r="E196" s="2" t="s">
        <v>316</v>
      </c>
      <c r="F196" s="2" t="s">
        <v>326</v>
      </c>
      <c r="G196" s="2" t="s">
        <v>1330</v>
      </c>
      <c r="H196" s="2" t="s">
        <v>1331</v>
      </c>
      <c r="I196" s="2" t="s">
        <v>328</v>
      </c>
      <c r="J196" s="2" t="s">
        <v>58</v>
      </c>
      <c r="K196" s="2" t="s">
        <v>1300</v>
      </c>
      <c r="L196" s="2" t="s">
        <v>113</v>
      </c>
      <c r="M196" s="3">
        <v>44063</v>
      </c>
      <c r="N196" s="3">
        <v>44087</v>
      </c>
      <c r="O196" s="4">
        <v>200</v>
      </c>
      <c r="P196" s="2" t="s">
        <v>303</v>
      </c>
      <c r="Q196" s="2" t="s">
        <v>131</v>
      </c>
      <c r="R196" s="2" t="s">
        <v>313</v>
      </c>
      <c r="S196" s="2" t="s">
        <v>439</v>
      </c>
      <c r="T196" s="2" t="s">
        <v>117</v>
      </c>
      <c r="U196" s="2" t="s">
        <v>290</v>
      </c>
      <c r="V196" s="2" t="s">
        <v>118</v>
      </c>
      <c r="W196" s="2" t="s">
        <v>412</v>
      </c>
      <c r="X196" s="2" t="s">
        <v>412</v>
      </c>
      <c r="Y196" s="2" t="s">
        <v>1332</v>
      </c>
      <c r="Z196" s="2" t="s">
        <v>412</v>
      </c>
      <c r="AA196" s="2" t="s">
        <v>109</v>
      </c>
      <c r="AB196" s="2" t="s">
        <v>441</v>
      </c>
    </row>
    <row r="197" spans="1:28" hidden="1" x14ac:dyDescent="0.2">
      <c r="A197" s="2" t="s">
        <v>470</v>
      </c>
      <c r="B197" s="3">
        <v>44048</v>
      </c>
      <c r="C197" s="2" t="s">
        <v>1297</v>
      </c>
      <c r="D197" s="2" t="s">
        <v>102</v>
      </c>
      <c r="E197" s="2" t="s">
        <v>316</v>
      </c>
      <c r="F197" s="2" t="s">
        <v>326</v>
      </c>
      <c r="G197" s="2" t="s">
        <v>1333</v>
      </c>
      <c r="H197" s="2" t="s">
        <v>1334</v>
      </c>
      <c r="I197" s="2" t="s">
        <v>1335</v>
      </c>
      <c r="J197" s="2" t="s">
        <v>58</v>
      </c>
      <c r="K197" s="2" t="s">
        <v>1300</v>
      </c>
      <c r="L197" s="2" t="s">
        <v>113</v>
      </c>
      <c r="M197" s="3">
        <v>44063</v>
      </c>
      <c r="N197" s="3">
        <v>44087</v>
      </c>
      <c r="O197" s="4">
        <v>52.017000000000003</v>
      </c>
      <c r="P197" s="2" t="s">
        <v>303</v>
      </c>
      <c r="Q197" s="2" t="s">
        <v>131</v>
      </c>
      <c r="R197" s="2" t="s">
        <v>313</v>
      </c>
      <c r="S197" s="2" t="s">
        <v>439</v>
      </c>
      <c r="T197" s="2" t="s">
        <v>117</v>
      </c>
      <c r="U197" s="2" t="s">
        <v>304</v>
      </c>
      <c r="V197" s="2" t="s">
        <v>118</v>
      </c>
      <c r="W197" s="2" t="s">
        <v>412</v>
      </c>
      <c r="X197" s="2" t="s">
        <v>412</v>
      </c>
      <c r="Y197" s="2" t="s">
        <v>434</v>
      </c>
      <c r="Z197" s="2" t="s">
        <v>412</v>
      </c>
      <c r="AA197" s="2" t="s">
        <v>109</v>
      </c>
      <c r="AB197" s="2" t="s">
        <v>441</v>
      </c>
    </row>
    <row r="198" spans="1:28" hidden="1" x14ac:dyDescent="0.2">
      <c r="A198" s="2" t="s">
        <v>470</v>
      </c>
      <c r="B198" s="3">
        <v>44048</v>
      </c>
      <c r="C198" s="2" t="s">
        <v>1297</v>
      </c>
      <c r="D198" s="2" t="s">
        <v>102</v>
      </c>
      <c r="E198" s="2" t="s">
        <v>316</v>
      </c>
      <c r="F198" s="2" t="s">
        <v>326</v>
      </c>
      <c r="G198" s="2" t="s">
        <v>1336</v>
      </c>
      <c r="H198" s="2" t="s">
        <v>1337</v>
      </c>
      <c r="I198" s="2" t="s">
        <v>329</v>
      </c>
      <c r="J198" s="2" t="s">
        <v>58</v>
      </c>
      <c r="K198" s="2" t="s">
        <v>1300</v>
      </c>
      <c r="L198" s="2" t="s">
        <v>113</v>
      </c>
      <c r="M198" s="3">
        <v>44063</v>
      </c>
      <c r="N198" s="3">
        <v>44087</v>
      </c>
      <c r="O198" s="4">
        <v>100</v>
      </c>
      <c r="P198" s="2" t="s">
        <v>303</v>
      </c>
      <c r="Q198" s="2" t="s">
        <v>131</v>
      </c>
      <c r="R198" s="2" t="s">
        <v>313</v>
      </c>
      <c r="S198" s="2" t="s">
        <v>439</v>
      </c>
      <c r="T198" s="2" t="s">
        <v>117</v>
      </c>
      <c r="U198" s="2" t="s">
        <v>290</v>
      </c>
      <c r="V198" s="2" t="s">
        <v>118</v>
      </c>
      <c r="W198" s="2" t="s">
        <v>412</v>
      </c>
      <c r="X198" s="2" t="s">
        <v>412</v>
      </c>
      <c r="Y198" s="2" t="s">
        <v>1338</v>
      </c>
      <c r="Z198" s="2" t="s">
        <v>412</v>
      </c>
      <c r="AA198" s="2" t="s">
        <v>109</v>
      </c>
      <c r="AB198" s="2" t="s">
        <v>441</v>
      </c>
    </row>
    <row r="199" spans="1:28" hidden="1" x14ac:dyDescent="0.2">
      <c r="A199" s="2" t="s">
        <v>470</v>
      </c>
      <c r="B199" s="3">
        <v>44048</v>
      </c>
      <c r="C199" s="2" t="s">
        <v>1297</v>
      </c>
      <c r="D199" s="2" t="s">
        <v>102</v>
      </c>
      <c r="E199" s="2" t="s">
        <v>316</v>
      </c>
      <c r="F199" s="2" t="s">
        <v>326</v>
      </c>
      <c r="G199" s="2" t="s">
        <v>1339</v>
      </c>
      <c r="H199" s="2" t="s">
        <v>1340</v>
      </c>
      <c r="I199" s="2" t="s">
        <v>330</v>
      </c>
      <c r="J199" s="2" t="s">
        <v>58</v>
      </c>
      <c r="K199" s="2" t="s">
        <v>1300</v>
      </c>
      <c r="L199" s="2" t="s">
        <v>113</v>
      </c>
      <c r="M199" s="3">
        <v>44063</v>
      </c>
      <c r="N199" s="3">
        <v>44087</v>
      </c>
      <c r="O199" s="4">
        <v>52.192999999999998</v>
      </c>
      <c r="P199" s="2" t="s">
        <v>303</v>
      </c>
      <c r="Q199" s="2" t="s">
        <v>131</v>
      </c>
      <c r="R199" s="2" t="s">
        <v>313</v>
      </c>
      <c r="S199" s="2" t="s">
        <v>439</v>
      </c>
      <c r="T199" s="2" t="s">
        <v>117</v>
      </c>
      <c r="U199" s="2" t="s">
        <v>304</v>
      </c>
      <c r="V199" s="2" t="s">
        <v>118</v>
      </c>
      <c r="W199" s="2" t="s">
        <v>412</v>
      </c>
      <c r="X199" s="2" t="s">
        <v>412</v>
      </c>
      <c r="Y199" s="2" t="s">
        <v>434</v>
      </c>
      <c r="Z199" s="2" t="s">
        <v>412</v>
      </c>
      <c r="AA199" s="2" t="s">
        <v>109</v>
      </c>
      <c r="AB199" s="2" t="s">
        <v>441</v>
      </c>
    </row>
    <row r="200" spans="1:28" hidden="1" x14ac:dyDescent="0.2">
      <c r="A200" s="2" t="s">
        <v>470</v>
      </c>
      <c r="B200" s="3">
        <v>44048</v>
      </c>
      <c r="C200" s="2" t="s">
        <v>1297</v>
      </c>
      <c r="D200" s="2" t="s">
        <v>102</v>
      </c>
      <c r="E200" s="2" t="s">
        <v>322</v>
      </c>
      <c r="F200" s="2" t="s">
        <v>311</v>
      </c>
      <c r="G200" s="2" t="s">
        <v>1341</v>
      </c>
      <c r="H200" s="2" t="s">
        <v>1342</v>
      </c>
      <c r="I200" s="2" t="s">
        <v>323</v>
      </c>
      <c r="J200" s="2" t="s">
        <v>223</v>
      </c>
      <c r="K200" s="2" t="s">
        <v>1300</v>
      </c>
      <c r="L200" s="2" t="s">
        <v>113</v>
      </c>
      <c r="M200" s="3">
        <v>44063</v>
      </c>
      <c r="N200" s="3">
        <v>44087</v>
      </c>
      <c r="O200" s="4">
        <v>495.09800000000001</v>
      </c>
      <c r="P200" s="2" t="s">
        <v>303</v>
      </c>
      <c r="Q200" s="2" t="s">
        <v>131</v>
      </c>
      <c r="R200" s="2" t="s">
        <v>132</v>
      </c>
      <c r="S200" s="2" t="s">
        <v>439</v>
      </c>
      <c r="T200" s="2" t="s">
        <v>117</v>
      </c>
      <c r="U200" s="2" t="s">
        <v>304</v>
      </c>
      <c r="V200" s="2" t="s">
        <v>118</v>
      </c>
      <c r="W200" s="2" t="s">
        <v>412</v>
      </c>
      <c r="X200" s="2" t="s">
        <v>412</v>
      </c>
      <c r="Y200" s="2" t="s">
        <v>429</v>
      </c>
      <c r="Z200" s="2" t="s">
        <v>412</v>
      </c>
      <c r="AA200" s="2" t="s">
        <v>39</v>
      </c>
      <c r="AB200" s="2" t="s">
        <v>441</v>
      </c>
    </row>
    <row r="201" spans="1:28" hidden="1" x14ac:dyDescent="0.2">
      <c r="A201" s="2" t="s">
        <v>470</v>
      </c>
      <c r="B201" s="3">
        <v>44048</v>
      </c>
      <c r="C201" s="2" t="s">
        <v>1297</v>
      </c>
      <c r="D201" s="2" t="s">
        <v>102</v>
      </c>
      <c r="E201" s="2" t="s">
        <v>322</v>
      </c>
      <c r="F201" s="2" t="s">
        <v>311</v>
      </c>
      <c r="G201" s="2" t="s">
        <v>1343</v>
      </c>
      <c r="H201" s="2" t="s">
        <v>1344</v>
      </c>
      <c r="I201" s="2" t="s">
        <v>323</v>
      </c>
      <c r="J201" s="2" t="s">
        <v>223</v>
      </c>
      <c r="K201" s="2" t="s">
        <v>1300</v>
      </c>
      <c r="L201" s="2" t="s">
        <v>113</v>
      </c>
      <c r="M201" s="3">
        <v>44063</v>
      </c>
      <c r="N201" s="3">
        <v>44087</v>
      </c>
      <c r="O201" s="4">
        <v>197.964</v>
      </c>
      <c r="P201" s="2" t="s">
        <v>303</v>
      </c>
      <c r="Q201" s="2" t="s">
        <v>131</v>
      </c>
      <c r="R201" s="2" t="s">
        <v>132</v>
      </c>
      <c r="S201" s="2" t="s">
        <v>439</v>
      </c>
      <c r="T201" s="2" t="s">
        <v>117</v>
      </c>
      <c r="U201" s="2" t="s">
        <v>304</v>
      </c>
      <c r="V201" s="2" t="s">
        <v>118</v>
      </c>
      <c r="W201" s="2" t="s">
        <v>412</v>
      </c>
      <c r="X201" s="2" t="s">
        <v>412</v>
      </c>
      <c r="Y201" s="2" t="s">
        <v>421</v>
      </c>
      <c r="Z201" s="2" t="s">
        <v>412</v>
      </c>
      <c r="AA201" s="2" t="s">
        <v>39</v>
      </c>
      <c r="AB201" s="2" t="s">
        <v>441</v>
      </c>
    </row>
    <row r="202" spans="1:28" hidden="1" x14ac:dyDescent="0.2">
      <c r="A202" s="2" t="s">
        <v>470</v>
      </c>
      <c r="B202" s="3">
        <v>44048</v>
      </c>
      <c r="C202" s="2" t="s">
        <v>1297</v>
      </c>
      <c r="D202" s="2" t="s">
        <v>102</v>
      </c>
      <c r="E202" s="2" t="s">
        <v>310</v>
      </c>
      <c r="F202" s="2" t="s">
        <v>311</v>
      </c>
      <c r="G202" s="2" t="s">
        <v>1345</v>
      </c>
      <c r="H202" s="2" t="s">
        <v>1346</v>
      </c>
      <c r="I202" s="2" t="s">
        <v>528</v>
      </c>
      <c r="J202" s="2" t="s">
        <v>47</v>
      </c>
      <c r="K202" s="2" t="s">
        <v>1300</v>
      </c>
      <c r="L202" s="2" t="s">
        <v>113</v>
      </c>
      <c r="M202" s="3">
        <v>44063</v>
      </c>
      <c r="N202" s="3">
        <v>44087</v>
      </c>
      <c r="O202" s="4">
        <v>503</v>
      </c>
      <c r="P202" s="2" t="s">
        <v>303</v>
      </c>
      <c r="Q202" s="2" t="s">
        <v>131</v>
      </c>
      <c r="R202" s="2" t="s">
        <v>313</v>
      </c>
      <c r="S202" s="2" t="s">
        <v>439</v>
      </c>
      <c r="T202" s="2" t="s">
        <v>117</v>
      </c>
      <c r="U202" s="2" t="s">
        <v>290</v>
      </c>
      <c r="V202" s="2" t="s">
        <v>118</v>
      </c>
      <c r="W202" s="2" t="s">
        <v>412</v>
      </c>
      <c r="X202" s="2" t="s">
        <v>412</v>
      </c>
      <c r="Y202" s="2" t="s">
        <v>1347</v>
      </c>
      <c r="Z202" s="2" t="s">
        <v>412</v>
      </c>
      <c r="AA202" s="2" t="s">
        <v>109</v>
      </c>
      <c r="AB202" s="2" t="s">
        <v>441</v>
      </c>
    </row>
    <row r="203" spans="1:28" hidden="1" x14ac:dyDescent="0.2">
      <c r="A203" s="2" t="s">
        <v>470</v>
      </c>
      <c r="B203" s="3">
        <v>44048</v>
      </c>
      <c r="C203" s="2" t="s">
        <v>1297</v>
      </c>
      <c r="D203" s="2" t="s">
        <v>102</v>
      </c>
      <c r="E203" s="2" t="s">
        <v>310</v>
      </c>
      <c r="F203" s="2" t="s">
        <v>311</v>
      </c>
      <c r="G203" s="2" t="s">
        <v>1348</v>
      </c>
      <c r="H203" s="2" t="s">
        <v>1349</v>
      </c>
      <c r="I203" s="2" t="s">
        <v>312</v>
      </c>
      <c r="J203" s="2" t="s">
        <v>47</v>
      </c>
      <c r="K203" s="2" t="s">
        <v>1300</v>
      </c>
      <c r="L203" s="2" t="s">
        <v>113</v>
      </c>
      <c r="M203" s="3">
        <v>44063</v>
      </c>
      <c r="N203" s="3">
        <v>44087</v>
      </c>
      <c r="O203" s="4">
        <v>692</v>
      </c>
      <c r="P203" s="2" t="s">
        <v>303</v>
      </c>
      <c r="Q203" s="2" t="s">
        <v>131</v>
      </c>
      <c r="R203" s="2" t="s">
        <v>313</v>
      </c>
      <c r="S203" s="2" t="s">
        <v>439</v>
      </c>
      <c r="T203" s="2" t="s">
        <v>117</v>
      </c>
      <c r="U203" s="2" t="s">
        <v>290</v>
      </c>
      <c r="V203" s="2" t="s">
        <v>118</v>
      </c>
      <c r="W203" s="2" t="s">
        <v>412</v>
      </c>
      <c r="X203" s="2" t="s">
        <v>412</v>
      </c>
      <c r="Y203" s="2" t="s">
        <v>475</v>
      </c>
      <c r="Z203" s="2" t="s">
        <v>412</v>
      </c>
      <c r="AA203" s="2" t="s">
        <v>109</v>
      </c>
      <c r="AB203" s="2" t="s">
        <v>441</v>
      </c>
    </row>
    <row r="204" spans="1:28" hidden="1" x14ac:dyDescent="0.2">
      <c r="A204" s="2" t="s">
        <v>470</v>
      </c>
      <c r="B204" s="3">
        <v>44048</v>
      </c>
      <c r="C204" s="2" t="s">
        <v>1297</v>
      </c>
      <c r="D204" s="2" t="s">
        <v>102</v>
      </c>
      <c r="E204" s="2" t="s">
        <v>310</v>
      </c>
      <c r="F204" s="2" t="s">
        <v>311</v>
      </c>
      <c r="G204" s="2" t="s">
        <v>1350</v>
      </c>
      <c r="H204" s="2" t="s">
        <v>1351</v>
      </c>
      <c r="I204" s="2" t="s">
        <v>530</v>
      </c>
      <c r="J204" s="2" t="s">
        <v>47</v>
      </c>
      <c r="K204" s="2" t="s">
        <v>1300</v>
      </c>
      <c r="L204" s="2" t="s">
        <v>113</v>
      </c>
      <c r="M204" s="3">
        <v>44063</v>
      </c>
      <c r="N204" s="3">
        <v>44087</v>
      </c>
      <c r="O204" s="4">
        <v>194</v>
      </c>
      <c r="P204" s="2" t="s">
        <v>303</v>
      </c>
      <c r="Q204" s="2" t="s">
        <v>131</v>
      </c>
      <c r="R204" s="2" t="s">
        <v>313</v>
      </c>
      <c r="S204" s="2" t="s">
        <v>439</v>
      </c>
      <c r="T204" s="2" t="s">
        <v>117</v>
      </c>
      <c r="U204" s="2" t="s">
        <v>290</v>
      </c>
      <c r="V204" s="2" t="s">
        <v>118</v>
      </c>
      <c r="W204" s="2" t="s">
        <v>412</v>
      </c>
      <c r="X204" s="2" t="s">
        <v>412</v>
      </c>
      <c r="Y204" s="2" t="s">
        <v>462</v>
      </c>
      <c r="Z204" s="2" t="s">
        <v>412</v>
      </c>
      <c r="AA204" s="2" t="s">
        <v>109</v>
      </c>
      <c r="AB204" s="2" t="s">
        <v>441</v>
      </c>
    </row>
    <row r="205" spans="1:28" hidden="1" x14ac:dyDescent="0.2">
      <c r="A205" s="2" t="s">
        <v>470</v>
      </c>
      <c r="B205" s="3">
        <v>44048</v>
      </c>
      <c r="C205" s="2" t="s">
        <v>1297</v>
      </c>
      <c r="D205" s="2" t="s">
        <v>102</v>
      </c>
      <c r="E205" s="2" t="s">
        <v>333</v>
      </c>
      <c r="F205" s="2" t="s">
        <v>334</v>
      </c>
      <c r="G205" s="2" t="s">
        <v>1352</v>
      </c>
      <c r="H205" s="2" t="s">
        <v>1353</v>
      </c>
      <c r="I205" s="2" t="s">
        <v>335</v>
      </c>
      <c r="J205" s="2" t="s">
        <v>223</v>
      </c>
      <c r="K205" s="2" t="s">
        <v>1300</v>
      </c>
      <c r="L205" s="2" t="s">
        <v>113</v>
      </c>
      <c r="M205" s="3">
        <v>44063</v>
      </c>
      <c r="N205" s="3">
        <v>44093</v>
      </c>
      <c r="O205" s="4">
        <v>247.44900000000001</v>
      </c>
      <c r="P205" s="2" t="s">
        <v>303</v>
      </c>
      <c r="Q205" s="2" t="s">
        <v>182</v>
      </c>
      <c r="R205" s="2" t="s">
        <v>183</v>
      </c>
      <c r="S205" s="2" t="s">
        <v>439</v>
      </c>
      <c r="T205" s="2" t="s">
        <v>117</v>
      </c>
      <c r="U205" s="2" t="s">
        <v>304</v>
      </c>
      <c r="V205" s="2" t="s">
        <v>118</v>
      </c>
      <c r="W205" s="2" t="s">
        <v>412</v>
      </c>
      <c r="X205" s="2" t="s">
        <v>412</v>
      </c>
      <c r="Y205" s="2" t="s">
        <v>481</v>
      </c>
      <c r="Z205" s="2" t="s">
        <v>412</v>
      </c>
      <c r="AA205" s="2" t="s">
        <v>39</v>
      </c>
      <c r="AB205" s="2" t="s">
        <v>441</v>
      </c>
    </row>
    <row r="206" spans="1:28" hidden="1" x14ac:dyDescent="0.2">
      <c r="A206" s="2" t="s">
        <v>470</v>
      </c>
      <c r="B206" s="3">
        <v>44048</v>
      </c>
      <c r="C206" s="2" t="s">
        <v>1297</v>
      </c>
      <c r="D206" s="2" t="s">
        <v>102</v>
      </c>
      <c r="E206" s="2" t="s">
        <v>333</v>
      </c>
      <c r="F206" s="2" t="s">
        <v>334</v>
      </c>
      <c r="G206" s="2" t="s">
        <v>1354</v>
      </c>
      <c r="H206" s="2" t="s">
        <v>1355</v>
      </c>
      <c r="I206" s="2" t="s">
        <v>336</v>
      </c>
      <c r="J206" s="2" t="s">
        <v>223</v>
      </c>
      <c r="K206" s="2" t="s">
        <v>1300</v>
      </c>
      <c r="L206" s="2" t="s">
        <v>113</v>
      </c>
      <c r="M206" s="3">
        <v>44063</v>
      </c>
      <c r="N206" s="3">
        <v>44093</v>
      </c>
      <c r="O206" s="4">
        <v>493.68599999999998</v>
      </c>
      <c r="P206" s="2" t="s">
        <v>303</v>
      </c>
      <c r="Q206" s="2" t="s">
        <v>182</v>
      </c>
      <c r="R206" s="2" t="s">
        <v>183</v>
      </c>
      <c r="S206" s="2" t="s">
        <v>439</v>
      </c>
      <c r="T206" s="2" t="s">
        <v>117</v>
      </c>
      <c r="U206" s="2" t="s">
        <v>304</v>
      </c>
      <c r="V206" s="2" t="s">
        <v>118</v>
      </c>
      <c r="W206" s="2" t="s">
        <v>412</v>
      </c>
      <c r="X206" s="2" t="s">
        <v>412</v>
      </c>
      <c r="Y206" s="2" t="s">
        <v>429</v>
      </c>
      <c r="Z206" s="2" t="s">
        <v>412</v>
      </c>
      <c r="AA206" s="2" t="s">
        <v>39</v>
      </c>
      <c r="AB206" s="2" t="s">
        <v>441</v>
      </c>
    </row>
    <row r="207" spans="1:28" hidden="1" x14ac:dyDescent="0.2">
      <c r="A207" s="2" t="s">
        <v>470</v>
      </c>
      <c r="B207" s="3">
        <v>44048</v>
      </c>
      <c r="C207" s="2" t="s">
        <v>1297</v>
      </c>
      <c r="D207" s="2" t="s">
        <v>102</v>
      </c>
      <c r="E207" s="2" t="s">
        <v>333</v>
      </c>
      <c r="F207" s="2" t="s">
        <v>334</v>
      </c>
      <c r="G207" s="2" t="s">
        <v>1356</v>
      </c>
      <c r="H207" s="2" t="s">
        <v>1357</v>
      </c>
      <c r="I207" s="2" t="s">
        <v>336</v>
      </c>
      <c r="J207" s="2" t="s">
        <v>223</v>
      </c>
      <c r="K207" s="2" t="s">
        <v>1300</v>
      </c>
      <c r="L207" s="2" t="s">
        <v>113</v>
      </c>
      <c r="M207" s="3">
        <v>44063</v>
      </c>
      <c r="N207" s="3">
        <v>44093</v>
      </c>
      <c r="O207" s="4">
        <v>99.207999999999998</v>
      </c>
      <c r="P207" s="2" t="s">
        <v>303</v>
      </c>
      <c r="Q207" s="2" t="s">
        <v>182</v>
      </c>
      <c r="R207" s="2" t="s">
        <v>183</v>
      </c>
      <c r="S207" s="2" t="s">
        <v>439</v>
      </c>
      <c r="T207" s="2" t="s">
        <v>117</v>
      </c>
      <c r="U207" s="2" t="s">
        <v>304</v>
      </c>
      <c r="V207" s="2" t="s">
        <v>118</v>
      </c>
      <c r="W207" s="2" t="s">
        <v>412</v>
      </c>
      <c r="X207" s="2" t="s">
        <v>412</v>
      </c>
      <c r="Y207" s="2" t="s">
        <v>437</v>
      </c>
      <c r="Z207" s="2" t="s">
        <v>412</v>
      </c>
      <c r="AA207" s="2" t="s">
        <v>39</v>
      </c>
      <c r="AB207" s="2" t="s">
        <v>441</v>
      </c>
    </row>
    <row r="208" spans="1:28" hidden="1" x14ac:dyDescent="0.2">
      <c r="A208" s="2" t="s">
        <v>470</v>
      </c>
      <c r="B208" s="3">
        <v>44048</v>
      </c>
      <c r="C208" s="2" t="s">
        <v>1297</v>
      </c>
      <c r="D208" s="2" t="s">
        <v>102</v>
      </c>
      <c r="E208" s="2" t="s">
        <v>333</v>
      </c>
      <c r="F208" s="2" t="s">
        <v>334</v>
      </c>
      <c r="G208" s="2" t="s">
        <v>1358</v>
      </c>
      <c r="H208" s="2" t="s">
        <v>1359</v>
      </c>
      <c r="I208" s="2" t="s">
        <v>1360</v>
      </c>
      <c r="J208" s="2" t="s">
        <v>223</v>
      </c>
      <c r="K208" s="2" t="s">
        <v>1300</v>
      </c>
      <c r="L208" s="2" t="s">
        <v>113</v>
      </c>
      <c r="M208" s="3">
        <v>44063</v>
      </c>
      <c r="N208" s="3">
        <v>44093</v>
      </c>
      <c r="O208" s="4">
        <v>49.414000000000001</v>
      </c>
      <c r="P208" s="2" t="s">
        <v>303</v>
      </c>
      <c r="Q208" s="2" t="s">
        <v>182</v>
      </c>
      <c r="R208" s="2" t="s">
        <v>183</v>
      </c>
      <c r="S208" s="2" t="s">
        <v>439</v>
      </c>
      <c r="T208" s="2" t="s">
        <v>117</v>
      </c>
      <c r="U208" s="2" t="s">
        <v>304</v>
      </c>
      <c r="V208" s="2" t="s">
        <v>118</v>
      </c>
      <c r="W208" s="2" t="s">
        <v>412</v>
      </c>
      <c r="X208" s="2" t="s">
        <v>412</v>
      </c>
      <c r="Y208" s="2" t="s">
        <v>457</v>
      </c>
      <c r="Z208" s="2" t="s">
        <v>412</v>
      </c>
      <c r="AA208" s="2" t="s">
        <v>39</v>
      </c>
      <c r="AB208" s="2" t="s">
        <v>441</v>
      </c>
    </row>
    <row r="209" spans="1:28" hidden="1" x14ac:dyDescent="0.2">
      <c r="A209" s="2" t="s">
        <v>470</v>
      </c>
      <c r="B209" s="3">
        <v>44073</v>
      </c>
      <c r="C209" s="2" t="s">
        <v>1297</v>
      </c>
      <c r="D209" s="2" t="s">
        <v>28</v>
      </c>
      <c r="E209" s="2" t="s">
        <v>162</v>
      </c>
      <c r="F209" s="2" t="s">
        <v>1361</v>
      </c>
      <c r="G209" s="2" t="s">
        <v>1362</v>
      </c>
      <c r="H209" s="2" t="s">
        <v>1363</v>
      </c>
      <c r="I209" s="2" t="s">
        <v>112</v>
      </c>
      <c r="J209" s="2" t="s">
        <v>32</v>
      </c>
      <c r="K209" s="2" t="s">
        <v>1300</v>
      </c>
      <c r="L209" s="2" t="s">
        <v>113</v>
      </c>
      <c r="M209" s="3">
        <v>44063</v>
      </c>
      <c r="N209" s="3">
        <v>44090</v>
      </c>
      <c r="O209" s="4">
        <v>500</v>
      </c>
      <c r="P209" s="2" t="s">
        <v>303</v>
      </c>
      <c r="Q209" s="2" t="s">
        <v>85</v>
      </c>
      <c r="R209" s="2" t="s">
        <v>86</v>
      </c>
      <c r="S209" s="2" t="s">
        <v>439</v>
      </c>
      <c r="T209" s="2" t="s">
        <v>117</v>
      </c>
      <c r="U209" s="2" t="s">
        <v>290</v>
      </c>
      <c r="V209" s="2" t="s">
        <v>118</v>
      </c>
      <c r="W209" s="2" t="s">
        <v>412</v>
      </c>
      <c r="X209" s="2" t="s">
        <v>412</v>
      </c>
      <c r="Y209" s="2" t="s">
        <v>476</v>
      </c>
      <c r="Z209" s="2" t="s">
        <v>412</v>
      </c>
      <c r="AA209" s="2" t="s">
        <v>39</v>
      </c>
      <c r="AB209" s="2" t="s">
        <v>441</v>
      </c>
    </row>
    <row r="210" spans="1:28" hidden="1" x14ac:dyDescent="0.2">
      <c r="A210" s="2" t="s">
        <v>470</v>
      </c>
      <c r="B210" s="3">
        <v>44058</v>
      </c>
      <c r="C210" s="2" t="s">
        <v>1297</v>
      </c>
      <c r="D210" s="2" t="s">
        <v>54</v>
      </c>
      <c r="E210" s="2" t="s">
        <v>212</v>
      </c>
      <c r="F210" s="2" t="s">
        <v>213</v>
      </c>
      <c r="G210" s="2" t="s">
        <v>1364</v>
      </c>
      <c r="H210" s="2" t="s">
        <v>1365</v>
      </c>
      <c r="I210" s="2" t="s">
        <v>337</v>
      </c>
      <c r="J210" s="2" t="s">
        <v>58</v>
      </c>
      <c r="K210" s="2" t="s">
        <v>1300</v>
      </c>
      <c r="L210" s="2" t="s">
        <v>113</v>
      </c>
      <c r="M210" s="3">
        <v>44063</v>
      </c>
      <c r="N210" s="3">
        <v>44108</v>
      </c>
      <c r="O210" s="4">
        <v>150</v>
      </c>
      <c r="P210" s="2" t="s">
        <v>303</v>
      </c>
      <c r="Q210" s="2" t="s">
        <v>115</v>
      </c>
      <c r="R210" s="2" t="s">
        <v>338</v>
      </c>
      <c r="S210" s="2" t="s">
        <v>439</v>
      </c>
      <c r="T210" s="2" t="s">
        <v>117</v>
      </c>
      <c r="U210" s="2" t="s">
        <v>290</v>
      </c>
      <c r="V210" s="2" t="s">
        <v>118</v>
      </c>
      <c r="W210" s="2" t="s">
        <v>412</v>
      </c>
      <c r="X210" s="2" t="s">
        <v>412</v>
      </c>
      <c r="Y210" s="2" t="s">
        <v>1319</v>
      </c>
      <c r="Z210" s="2" t="s">
        <v>412</v>
      </c>
      <c r="AA210" s="2" t="s">
        <v>39</v>
      </c>
      <c r="AB210" s="2" t="s">
        <v>441</v>
      </c>
    </row>
    <row r="211" spans="1:28" hidden="1" x14ac:dyDescent="0.2">
      <c r="A211" s="2" t="s">
        <v>470</v>
      </c>
      <c r="B211" s="3">
        <v>44048</v>
      </c>
      <c r="C211" s="2" t="s">
        <v>1297</v>
      </c>
      <c r="D211" s="2" t="s">
        <v>102</v>
      </c>
      <c r="E211" s="2" t="s">
        <v>195</v>
      </c>
      <c r="F211" s="2" t="s">
        <v>355</v>
      </c>
      <c r="G211" s="2" t="s">
        <v>1366</v>
      </c>
      <c r="H211" s="2" t="s">
        <v>1367</v>
      </c>
      <c r="I211" s="2" t="s">
        <v>112</v>
      </c>
      <c r="J211" s="2" t="s">
        <v>32</v>
      </c>
      <c r="K211" s="2" t="s">
        <v>1300</v>
      </c>
      <c r="L211" s="2" t="s">
        <v>113</v>
      </c>
      <c r="M211" s="3">
        <v>44063</v>
      </c>
      <c r="N211" s="3">
        <v>44087</v>
      </c>
      <c r="O211" s="4">
        <v>247.26499999999999</v>
      </c>
      <c r="P211" s="2" t="s">
        <v>303</v>
      </c>
      <c r="Q211" s="2" t="s">
        <v>131</v>
      </c>
      <c r="R211" s="2" t="s">
        <v>185</v>
      </c>
      <c r="S211" s="2" t="s">
        <v>439</v>
      </c>
      <c r="T211" s="2" t="s">
        <v>117</v>
      </c>
      <c r="U211" s="2" t="s">
        <v>304</v>
      </c>
      <c r="V211" s="2" t="s">
        <v>118</v>
      </c>
      <c r="W211" s="2" t="s">
        <v>412</v>
      </c>
      <c r="X211" s="2" t="s">
        <v>412</v>
      </c>
      <c r="Y211" s="2" t="s">
        <v>481</v>
      </c>
      <c r="Z211" s="2" t="s">
        <v>412</v>
      </c>
      <c r="AA211" s="2" t="s">
        <v>39</v>
      </c>
      <c r="AB211" s="2" t="s">
        <v>441</v>
      </c>
    </row>
    <row r="212" spans="1:28" hidden="1" x14ac:dyDescent="0.2">
      <c r="A212" s="2" t="s">
        <v>470</v>
      </c>
      <c r="B212" s="3">
        <v>44048</v>
      </c>
      <c r="C212" s="2" t="s">
        <v>1297</v>
      </c>
      <c r="D212" s="2" t="s">
        <v>44</v>
      </c>
      <c r="E212" s="2" t="s">
        <v>341</v>
      </c>
      <c r="F212" s="2" t="s">
        <v>342</v>
      </c>
      <c r="G212" s="2" t="s">
        <v>1368</v>
      </c>
      <c r="H212" s="2" t="s">
        <v>1369</v>
      </c>
      <c r="I212" s="2" t="s">
        <v>343</v>
      </c>
      <c r="J212" s="2" t="s">
        <v>58</v>
      </c>
      <c r="K212" s="2" t="s">
        <v>1300</v>
      </c>
      <c r="L212" s="2" t="s">
        <v>113</v>
      </c>
      <c r="M212" s="3">
        <v>44063</v>
      </c>
      <c r="N212" s="3">
        <v>44087</v>
      </c>
      <c r="O212" s="4">
        <v>200</v>
      </c>
      <c r="P212" s="2" t="s">
        <v>303</v>
      </c>
      <c r="Q212" s="2" t="s">
        <v>131</v>
      </c>
      <c r="R212" s="2" t="s">
        <v>185</v>
      </c>
      <c r="S212" s="2" t="s">
        <v>439</v>
      </c>
      <c r="T212" s="2" t="s">
        <v>117</v>
      </c>
      <c r="U212" s="2" t="s">
        <v>290</v>
      </c>
      <c r="V212" s="2" t="s">
        <v>118</v>
      </c>
      <c r="W212" s="2" t="s">
        <v>412</v>
      </c>
      <c r="X212" s="2" t="s">
        <v>412</v>
      </c>
      <c r="Y212" s="2" t="s">
        <v>531</v>
      </c>
      <c r="Z212" s="2" t="s">
        <v>412</v>
      </c>
      <c r="AA212" s="2" t="s">
        <v>39</v>
      </c>
      <c r="AB212" s="2" t="s">
        <v>441</v>
      </c>
    </row>
    <row r="213" spans="1:28" hidden="1" x14ac:dyDescent="0.2">
      <c r="A213" s="2" t="s">
        <v>470</v>
      </c>
      <c r="B213" s="3">
        <v>44048</v>
      </c>
      <c r="C213" s="2" t="s">
        <v>1297</v>
      </c>
      <c r="D213" s="2" t="s">
        <v>44</v>
      </c>
      <c r="E213" s="2" t="s">
        <v>341</v>
      </c>
      <c r="F213" s="2" t="s">
        <v>342</v>
      </c>
      <c r="G213" s="2" t="s">
        <v>1370</v>
      </c>
      <c r="H213" s="2" t="s">
        <v>1371</v>
      </c>
      <c r="I213" s="2" t="s">
        <v>344</v>
      </c>
      <c r="J213" s="2" t="s">
        <v>58</v>
      </c>
      <c r="K213" s="2" t="s">
        <v>1300</v>
      </c>
      <c r="L213" s="2" t="s">
        <v>113</v>
      </c>
      <c r="M213" s="3">
        <v>44063</v>
      </c>
      <c r="N213" s="3">
        <v>44087</v>
      </c>
      <c r="O213" s="4">
        <v>250</v>
      </c>
      <c r="P213" s="2" t="s">
        <v>303</v>
      </c>
      <c r="Q213" s="2" t="s">
        <v>131</v>
      </c>
      <c r="R213" s="2" t="s">
        <v>185</v>
      </c>
      <c r="S213" s="2" t="s">
        <v>439</v>
      </c>
      <c r="T213" s="2" t="s">
        <v>117</v>
      </c>
      <c r="U213" s="2" t="s">
        <v>290</v>
      </c>
      <c r="V213" s="2" t="s">
        <v>118</v>
      </c>
      <c r="W213" s="2" t="s">
        <v>412</v>
      </c>
      <c r="X213" s="2" t="s">
        <v>412</v>
      </c>
      <c r="Y213" s="2" t="s">
        <v>1372</v>
      </c>
      <c r="Z213" s="2" t="s">
        <v>412</v>
      </c>
      <c r="AA213" s="2" t="s">
        <v>39</v>
      </c>
      <c r="AB213" s="2" t="s">
        <v>441</v>
      </c>
    </row>
    <row r="214" spans="1:28" hidden="1" x14ac:dyDescent="0.2">
      <c r="A214" s="2" t="s">
        <v>470</v>
      </c>
      <c r="B214" s="3">
        <v>44048</v>
      </c>
      <c r="C214" s="2" t="s">
        <v>1297</v>
      </c>
      <c r="D214" s="2" t="s">
        <v>44</v>
      </c>
      <c r="E214" s="2" t="s">
        <v>341</v>
      </c>
      <c r="F214" s="2" t="s">
        <v>342</v>
      </c>
      <c r="G214" s="2" t="s">
        <v>1373</v>
      </c>
      <c r="H214" s="2" t="s">
        <v>1374</v>
      </c>
      <c r="I214" s="2" t="s">
        <v>345</v>
      </c>
      <c r="J214" s="2" t="s">
        <v>223</v>
      </c>
      <c r="K214" s="2" t="s">
        <v>1300</v>
      </c>
      <c r="L214" s="2" t="s">
        <v>113</v>
      </c>
      <c r="M214" s="3">
        <v>44063</v>
      </c>
      <c r="N214" s="3">
        <v>44090</v>
      </c>
      <c r="O214" s="4">
        <v>74.275999999999996</v>
      </c>
      <c r="P214" s="2" t="s">
        <v>303</v>
      </c>
      <c r="Q214" s="2" t="s">
        <v>85</v>
      </c>
      <c r="R214" s="2" t="s">
        <v>194</v>
      </c>
      <c r="S214" s="2" t="s">
        <v>439</v>
      </c>
      <c r="T214" s="2" t="s">
        <v>117</v>
      </c>
      <c r="U214" s="2" t="s">
        <v>304</v>
      </c>
      <c r="V214" s="2" t="s">
        <v>118</v>
      </c>
      <c r="W214" s="2" t="s">
        <v>412</v>
      </c>
      <c r="X214" s="2" t="s">
        <v>412</v>
      </c>
      <c r="Y214" s="2" t="s">
        <v>471</v>
      </c>
      <c r="Z214" s="2" t="s">
        <v>412</v>
      </c>
      <c r="AA214" s="2" t="s">
        <v>39</v>
      </c>
      <c r="AB214" s="2" t="s">
        <v>441</v>
      </c>
    </row>
    <row r="215" spans="1:28" hidden="1" x14ac:dyDescent="0.2">
      <c r="A215" s="2" t="s">
        <v>470</v>
      </c>
      <c r="B215" s="3">
        <v>44058</v>
      </c>
      <c r="C215" s="2" t="s">
        <v>1297</v>
      </c>
      <c r="D215" s="2" t="s">
        <v>62</v>
      </c>
      <c r="E215" s="2" t="s">
        <v>212</v>
      </c>
      <c r="F215" s="2" t="s">
        <v>213</v>
      </c>
      <c r="G215" s="2" t="s">
        <v>1375</v>
      </c>
      <c r="H215" s="2" t="s">
        <v>1376</v>
      </c>
      <c r="I215" s="2" t="s">
        <v>337</v>
      </c>
      <c r="J215" s="2" t="s">
        <v>58</v>
      </c>
      <c r="K215" s="2" t="s">
        <v>1300</v>
      </c>
      <c r="L215" s="2" t="s">
        <v>113</v>
      </c>
      <c r="M215" s="3">
        <v>44063</v>
      </c>
      <c r="N215" s="3">
        <v>44108</v>
      </c>
      <c r="O215" s="4">
        <v>400</v>
      </c>
      <c r="P215" s="2" t="s">
        <v>303</v>
      </c>
      <c r="Q215" s="2" t="s">
        <v>115</v>
      </c>
      <c r="R215" s="2" t="s">
        <v>338</v>
      </c>
      <c r="S215" s="2" t="s">
        <v>439</v>
      </c>
      <c r="T215" s="2" t="s">
        <v>117</v>
      </c>
      <c r="U215" s="2" t="s">
        <v>290</v>
      </c>
      <c r="V215" s="2" t="s">
        <v>118</v>
      </c>
      <c r="W215" s="2" t="s">
        <v>412</v>
      </c>
      <c r="X215" s="2" t="s">
        <v>412</v>
      </c>
      <c r="Y215" s="2" t="s">
        <v>840</v>
      </c>
      <c r="Z215" s="2" t="s">
        <v>412</v>
      </c>
      <c r="AA215" s="2" t="s">
        <v>39</v>
      </c>
      <c r="AB215" s="2" t="s">
        <v>441</v>
      </c>
    </row>
    <row r="216" spans="1:28" hidden="1" x14ac:dyDescent="0.2">
      <c r="A216" s="2" t="s">
        <v>470</v>
      </c>
      <c r="B216" s="3">
        <v>44058</v>
      </c>
      <c r="C216" s="2" t="s">
        <v>1297</v>
      </c>
      <c r="D216" s="2" t="s">
        <v>62</v>
      </c>
      <c r="E216" s="2" t="s">
        <v>212</v>
      </c>
      <c r="F216" s="2" t="s">
        <v>213</v>
      </c>
      <c r="G216" s="2" t="s">
        <v>1377</v>
      </c>
      <c r="H216" s="2" t="s">
        <v>1378</v>
      </c>
      <c r="I216" s="2" t="s">
        <v>339</v>
      </c>
      <c r="J216" s="2" t="s">
        <v>58</v>
      </c>
      <c r="K216" s="2" t="s">
        <v>1300</v>
      </c>
      <c r="L216" s="2" t="s">
        <v>113</v>
      </c>
      <c r="M216" s="3">
        <v>44063</v>
      </c>
      <c r="N216" s="3">
        <v>44108</v>
      </c>
      <c r="O216" s="4">
        <v>60</v>
      </c>
      <c r="P216" s="2" t="s">
        <v>303</v>
      </c>
      <c r="Q216" s="2" t="s">
        <v>115</v>
      </c>
      <c r="R216" s="2" t="s">
        <v>338</v>
      </c>
      <c r="S216" s="2" t="s">
        <v>439</v>
      </c>
      <c r="T216" s="2" t="s">
        <v>117</v>
      </c>
      <c r="U216" s="2" t="s">
        <v>290</v>
      </c>
      <c r="V216" s="2" t="s">
        <v>118</v>
      </c>
      <c r="W216" s="2" t="s">
        <v>412</v>
      </c>
      <c r="X216" s="2" t="s">
        <v>412</v>
      </c>
      <c r="Y216" s="2" t="s">
        <v>432</v>
      </c>
      <c r="Z216" s="2" t="s">
        <v>412</v>
      </c>
      <c r="AA216" s="2" t="s">
        <v>39</v>
      </c>
      <c r="AB216" s="2" t="s">
        <v>441</v>
      </c>
    </row>
    <row r="217" spans="1:28" hidden="1" x14ac:dyDescent="0.2">
      <c r="A217" s="2" t="s">
        <v>470</v>
      </c>
      <c r="B217" s="3">
        <v>44058</v>
      </c>
      <c r="C217" s="2" t="s">
        <v>1297</v>
      </c>
      <c r="D217" s="2" t="s">
        <v>62</v>
      </c>
      <c r="E217" s="2" t="s">
        <v>212</v>
      </c>
      <c r="F217" s="2" t="s">
        <v>213</v>
      </c>
      <c r="G217" s="2" t="s">
        <v>1379</v>
      </c>
      <c r="H217" s="2" t="s">
        <v>1380</v>
      </c>
      <c r="I217" s="2" t="s">
        <v>340</v>
      </c>
      <c r="J217" s="2" t="s">
        <v>58</v>
      </c>
      <c r="K217" s="2" t="s">
        <v>1300</v>
      </c>
      <c r="L217" s="2" t="s">
        <v>113</v>
      </c>
      <c r="M217" s="3">
        <v>44063</v>
      </c>
      <c r="N217" s="3">
        <v>44108</v>
      </c>
      <c r="O217" s="4">
        <v>40</v>
      </c>
      <c r="P217" s="2" t="s">
        <v>303</v>
      </c>
      <c r="Q217" s="2" t="s">
        <v>115</v>
      </c>
      <c r="R217" s="2" t="s">
        <v>338</v>
      </c>
      <c r="S217" s="2" t="s">
        <v>439</v>
      </c>
      <c r="T217" s="2" t="s">
        <v>117</v>
      </c>
      <c r="U217" s="2" t="s">
        <v>290</v>
      </c>
      <c r="V217" s="2" t="s">
        <v>118</v>
      </c>
      <c r="W217" s="2" t="s">
        <v>412</v>
      </c>
      <c r="X217" s="2" t="s">
        <v>412</v>
      </c>
      <c r="Y217" s="2" t="s">
        <v>416</v>
      </c>
      <c r="Z217" s="2" t="s">
        <v>412</v>
      </c>
      <c r="AA217" s="2" t="s">
        <v>39</v>
      </c>
      <c r="AB217" s="2" t="s">
        <v>441</v>
      </c>
    </row>
    <row r="218" spans="1:28" hidden="1" x14ac:dyDescent="0.2">
      <c r="A218" s="2" t="s">
        <v>470</v>
      </c>
      <c r="B218" s="3">
        <v>44079</v>
      </c>
      <c r="C218" s="2" t="s">
        <v>1297</v>
      </c>
      <c r="D218" s="2" t="s">
        <v>152</v>
      </c>
      <c r="E218" s="2" t="s">
        <v>138</v>
      </c>
      <c r="F218" s="2" t="s">
        <v>265</v>
      </c>
      <c r="G218" s="2" t="s">
        <v>1381</v>
      </c>
      <c r="H218" s="2" t="s">
        <v>1382</v>
      </c>
      <c r="I218" s="2" t="s">
        <v>1383</v>
      </c>
      <c r="J218" s="2" t="s">
        <v>47</v>
      </c>
      <c r="K218" s="2" t="s">
        <v>1300</v>
      </c>
      <c r="L218" s="2" t="s">
        <v>113</v>
      </c>
      <c r="M218" s="3">
        <v>44063</v>
      </c>
      <c r="N218" s="3">
        <v>44101</v>
      </c>
      <c r="O218" s="4">
        <v>113.77200000000001</v>
      </c>
      <c r="P218" s="2" t="s">
        <v>303</v>
      </c>
      <c r="Q218" s="2" t="s">
        <v>206</v>
      </c>
      <c r="R218" s="2" t="s">
        <v>266</v>
      </c>
      <c r="S218" s="2" t="s">
        <v>439</v>
      </c>
      <c r="T218" s="2" t="s">
        <v>117</v>
      </c>
      <c r="U218" s="2" t="s">
        <v>290</v>
      </c>
      <c r="V218" s="2" t="s">
        <v>118</v>
      </c>
      <c r="W218" s="2" t="s">
        <v>412</v>
      </c>
      <c r="X218" s="2" t="s">
        <v>412</v>
      </c>
      <c r="Y218" s="2" t="s">
        <v>425</v>
      </c>
      <c r="Z218" s="2" t="s">
        <v>412</v>
      </c>
      <c r="AA218" s="2" t="s">
        <v>39</v>
      </c>
      <c r="AB218" s="2" t="s">
        <v>441</v>
      </c>
    </row>
    <row r="219" spans="1:28" hidden="1" x14ac:dyDescent="0.2">
      <c r="A219" s="2" t="s">
        <v>470</v>
      </c>
      <c r="B219" s="3">
        <v>44079</v>
      </c>
      <c r="C219" s="2" t="s">
        <v>1297</v>
      </c>
      <c r="D219" s="2" t="s">
        <v>152</v>
      </c>
      <c r="E219" s="2" t="s">
        <v>138</v>
      </c>
      <c r="F219" s="2" t="s">
        <v>265</v>
      </c>
      <c r="G219" s="2" t="s">
        <v>1384</v>
      </c>
      <c r="H219" s="2" t="s">
        <v>1385</v>
      </c>
      <c r="I219" s="2" t="s">
        <v>533</v>
      </c>
      <c r="J219" s="2" t="s">
        <v>47</v>
      </c>
      <c r="K219" s="2" t="s">
        <v>1300</v>
      </c>
      <c r="L219" s="2" t="s">
        <v>113</v>
      </c>
      <c r="M219" s="3">
        <v>44063</v>
      </c>
      <c r="N219" s="3">
        <v>44101</v>
      </c>
      <c r="O219" s="4">
        <v>199.12200000000001</v>
      </c>
      <c r="P219" s="2" t="s">
        <v>303</v>
      </c>
      <c r="Q219" s="2" t="s">
        <v>206</v>
      </c>
      <c r="R219" s="2" t="s">
        <v>266</v>
      </c>
      <c r="S219" s="2" t="s">
        <v>439</v>
      </c>
      <c r="T219" s="2" t="s">
        <v>117</v>
      </c>
      <c r="U219" s="2" t="s">
        <v>290</v>
      </c>
      <c r="V219" s="2" t="s">
        <v>118</v>
      </c>
      <c r="W219" s="2" t="s">
        <v>412</v>
      </c>
      <c r="X219" s="2" t="s">
        <v>412</v>
      </c>
      <c r="Y219" s="2" t="s">
        <v>435</v>
      </c>
      <c r="Z219" s="2" t="s">
        <v>412</v>
      </c>
      <c r="AA219" s="2" t="s">
        <v>39</v>
      </c>
      <c r="AB219" s="2" t="s">
        <v>441</v>
      </c>
    </row>
    <row r="220" spans="1:28" hidden="1" x14ac:dyDescent="0.2">
      <c r="A220" s="2" t="s">
        <v>470</v>
      </c>
      <c r="B220" s="3">
        <v>44048</v>
      </c>
      <c r="C220" s="2" t="s">
        <v>1297</v>
      </c>
      <c r="D220" s="2" t="s">
        <v>152</v>
      </c>
      <c r="E220" s="2" t="s">
        <v>138</v>
      </c>
      <c r="F220" s="2" t="s">
        <v>265</v>
      </c>
      <c r="G220" s="2" t="s">
        <v>1386</v>
      </c>
      <c r="H220" s="2" t="s">
        <v>1387</v>
      </c>
      <c r="I220" s="2" t="s">
        <v>1388</v>
      </c>
      <c r="J220" s="2" t="s">
        <v>47</v>
      </c>
      <c r="K220" s="2" t="s">
        <v>1300</v>
      </c>
      <c r="L220" s="2" t="s">
        <v>113</v>
      </c>
      <c r="M220" s="3">
        <v>44063</v>
      </c>
      <c r="N220" s="3">
        <v>44101</v>
      </c>
      <c r="O220" s="4">
        <v>50.77</v>
      </c>
      <c r="P220" s="2" t="s">
        <v>303</v>
      </c>
      <c r="Q220" s="2" t="s">
        <v>206</v>
      </c>
      <c r="R220" s="2" t="s">
        <v>266</v>
      </c>
      <c r="S220" s="2" t="s">
        <v>439</v>
      </c>
      <c r="T220" s="2" t="s">
        <v>117</v>
      </c>
      <c r="U220" s="2" t="s">
        <v>304</v>
      </c>
      <c r="V220" s="2" t="s">
        <v>118</v>
      </c>
      <c r="W220" s="2" t="s">
        <v>412</v>
      </c>
      <c r="X220" s="2" t="s">
        <v>412</v>
      </c>
      <c r="Y220" s="2" t="s">
        <v>415</v>
      </c>
      <c r="Z220" s="2" t="s">
        <v>412</v>
      </c>
      <c r="AA220" s="2" t="s">
        <v>39</v>
      </c>
      <c r="AB220" s="2" t="s">
        <v>441</v>
      </c>
    </row>
    <row r="221" spans="1:28" hidden="1" x14ac:dyDescent="0.2">
      <c r="A221" s="2" t="s">
        <v>431</v>
      </c>
      <c r="B221" s="3">
        <v>44073</v>
      </c>
      <c r="C221" s="2" t="s">
        <v>1389</v>
      </c>
      <c r="D221" s="2" t="s">
        <v>28</v>
      </c>
      <c r="E221" s="2" t="s">
        <v>29</v>
      </c>
      <c r="F221" s="2" t="s">
        <v>397</v>
      </c>
      <c r="G221" s="2" t="s">
        <v>1390</v>
      </c>
      <c r="H221" s="2" t="s">
        <v>1391</v>
      </c>
      <c r="I221" s="2" t="s">
        <v>31</v>
      </c>
      <c r="J221" s="2" t="s">
        <v>32</v>
      </c>
      <c r="K221" s="2" t="s">
        <v>1199</v>
      </c>
      <c r="L221" s="2" t="s">
        <v>740</v>
      </c>
      <c r="M221" s="3">
        <v>44064</v>
      </c>
      <c r="N221" s="3">
        <v>44082</v>
      </c>
      <c r="O221" s="4">
        <v>501.904</v>
      </c>
      <c r="P221" s="2" t="s">
        <v>33</v>
      </c>
      <c r="Q221" s="2" t="s">
        <v>153</v>
      </c>
      <c r="R221" s="2" t="s">
        <v>154</v>
      </c>
      <c r="S221" s="2" t="s">
        <v>477</v>
      </c>
      <c r="T221" s="2" t="s">
        <v>362</v>
      </c>
      <c r="U221" s="2" t="s">
        <v>290</v>
      </c>
      <c r="V221" s="2" t="s">
        <v>155</v>
      </c>
      <c r="W221" s="2" t="s">
        <v>1392</v>
      </c>
      <c r="X221" s="2" t="s">
        <v>412</v>
      </c>
      <c r="Y221" s="2" t="s">
        <v>448</v>
      </c>
      <c r="Z221" s="2" t="s">
        <v>412</v>
      </c>
      <c r="AA221" s="2" t="s">
        <v>39</v>
      </c>
      <c r="AB221" s="2" t="s">
        <v>414</v>
      </c>
    </row>
    <row r="222" spans="1:28" hidden="1" x14ac:dyDescent="0.2">
      <c r="A222" s="2" t="s">
        <v>410</v>
      </c>
      <c r="B222" s="3">
        <v>44073</v>
      </c>
      <c r="C222" s="2" t="s">
        <v>1393</v>
      </c>
      <c r="D222" s="2" t="s">
        <v>54</v>
      </c>
      <c r="E222" s="2" t="s">
        <v>879</v>
      </c>
      <c r="F222" s="2" t="s">
        <v>880</v>
      </c>
      <c r="G222" s="2" t="s">
        <v>1394</v>
      </c>
      <c r="H222" s="2" t="s">
        <v>1395</v>
      </c>
      <c r="I222" s="2" t="s">
        <v>883</v>
      </c>
      <c r="J222" s="2" t="s">
        <v>83</v>
      </c>
      <c r="K222" s="2" t="s">
        <v>209</v>
      </c>
      <c r="L222" s="2" t="s">
        <v>1396</v>
      </c>
      <c r="M222" s="3">
        <v>44069</v>
      </c>
      <c r="N222" s="3">
        <v>44079</v>
      </c>
      <c r="O222" s="4">
        <v>161.28</v>
      </c>
      <c r="P222" s="2" t="s">
        <v>492</v>
      </c>
      <c r="Q222" s="2" t="s">
        <v>105</v>
      </c>
      <c r="R222" s="2" t="s">
        <v>106</v>
      </c>
      <c r="S222" s="2" t="s">
        <v>466</v>
      </c>
      <c r="T222" s="2" t="s">
        <v>87</v>
      </c>
      <c r="U222" s="2" t="s">
        <v>290</v>
      </c>
      <c r="V222" s="2" t="s">
        <v>43</v>
      </c>
      <c r="W222" s="2" t="s">
        <v>1397</v>
      </c>
      <c r="X222" s="2" t="s">
        <v>412</v>
      </c>
      <c r="Y222" s="2" t="s">
        <v>1240</v>
      </c>
      <c r="Z222" s="2" t="s">
        <v>1398</v>
      </c>
      <c r="AA222" s="2" t="s">
        <v>39</v>
      </c>
      <c r="AB222" s="2" t="s">
        <v>414</v>
      </c>
    </row>
    <row r="223" spans="1:28" hidden="1" x14ac:dyDescent="0.2">
      <c r="A223" s="2" t="s">
        <v>427</v>
      </c>
      <c r="B223" s="3">
        <v>44073</v>
      </c>
      <c r="C223" s="2" t="s">
        <v>1399</v>
      </c>
      <c r="D223" s="2" t="s">
        <v>74</v>
      </c>
      <c r="E223" s="2" t="s">
        <v>75</v>
      </c>
      <c r="F223" s="2" t="s">
        <v>966</v>
      </c>
      <c r="G223" s="2" t="s">
        <v>1400</v>
      </c>
      <c r="H223" s="2" t="s">
        <v>1401</v>
      </c>
      <c r="I223" s="2" t="s">
        <v>77</v>
      </c>
      <c r="J223" s="2" t="s">
        <v>32</v>
      </c>
      <c r="K223" s="2" t="s">
        <v>1402</v>
      </c>
      <c r="L223" s="2" t="s">
        <v>1403</v>
      </c>
      <c r="M223" s="3">
        <v>44064</v>
      </c>
      <c r="N223" s="3">
        <v>44124</v>
      </c>
      <c r="O223" s="4">
        <v>496.8</v>
      </c>
      <c r="P223" s="2" t="s">
        <v>48</v>
      </c>
      <c r="Q223" s="2" t="s">
        <v>149</v>
      </c>
      <c r="R223" s="2" t="s">
        <v>150</v>
      </c>
      <c r="S223" s="2" t="s">
        <v>428</v>
      </c>
      <c r="T223" s="2" t="s">
        <v>36</v>
      </c>
      <c r="U223" s="2" t="s">
        <v>763</v>
      </c>
      <c r="V223" s="2" t="s">
        <v>73</v>
      </c>
      <c r="W223" s="2" t="s">
        <v>1404</v>
      </c>
      <c r="X223" s="2" t="s">
        <v>412</v>
      </c>
      <c r="Y223" s="2" t="s">
        <v>429</v>
      </c>
      <c r="Z223" s="2" t="s">
        <v>412</v>
      </c>
      <c r="AA223" s="2" t="s">
        <v>39</v>
      </c>
      <c r="AB223" s="2" t="s">
        <v>414</v>
      </c>
    </row>
    <row r="224" spans="1:28" hidden="1" x14ac:dyDescent="0.2">
      <c r="A224" s="2" t="s">
        <v>427</v>
      </c>
      <c r="B224" s="3">
        <v>44073</v>
      </c>
      <c r="C224" s="2" t="s">
        <v>1399</v>
      </c>
      <c r="D224" s="2" t="s">
        <v>74</v>
      </c>
      <c r="E224" s="2" t="s">
        <v>75</v>
      </c>
      <c r="F224" s="2" t="s">
        <v>966</v>
      </c>
      <c r="G224" s="2" t="s">
        <v>1405</v>
      </c>
      <c r="H224" s="2" t="s">
        <v>1406</v>
      </c>
      <c r="I224" s="2" t="s">
        <v>77</v>
      </c>
      <c r="J224" s="2" t="s">
        <v>32</v>
      </c>
      <c r="K224" s="2" t="s">
        <v>1402</v>
      </c>
      <c r="L224" s="2" t="s">
        <v>1403</v>
      </c>
      <c r="M224" s="3">
        <v>44064</v>
      </c>
      <c r="N224" s="3">
        <v>44124</v>
      </c>
      <c r="O224" s="4">
        <v>496.8</v>
      </c>
      <c r="P224" s="2" t="s">
        <v>48</v>
      </c>
      <c r="Q224" s="2" t="s">
        <v>149</v>
      </c>
      <c r="R224" s="2" t="s">
        <v>150</v>
      </c>
      <c r="S224" s="2" t="s">
        <v>428</v>
      </c>
      <c r="T224" s="2" t="s">
        <v>36</v>
      </c>
      <c r="U224" s="2" t="s">
        <v>763</v>
      </c>
      <c r="V224" s="2" t="s">
        <v>73</v>
      </c>
      <c r="W224" s="2" t="s">
        <v>1407</v>
      </c>
      <c r="X224" s="2" t="s">
        <v>412</v>
      </c>
      <c r="Y224" s="2" t="s">
        <v>429</v>
      </c>
      <c r="Z224" s="2" t="s">
        <v>412</v>
      </c>
      <c r="AA224" s="2" t="s">
        <v>39</v>
      </c>
      <c r="AB224" s="2" t="s">
        <v>414</v>
      </c>
    </row>
    <row r="225" spans="1:28" hidden="1" x14ac:dyDescent="0.2">
      <c r="A225" s="2" t="s">
        <v>431</v>
      </c>
      <c r="B225" s="3">
        <v>44048</v>
      </c>
      <c r="C225" s="2" t="s">
        <v>1408</v>
      </c>
      <c r="D225" s="2" t="s">
        <v>62</v>
      </c>
      <c r="E225" s="2" t="s">
        <v>324</v>
      </c>
      <c r="F225" s="2" t="s">
        <v>325</v>
      </c>
      <c r="G225" s="2" t="s">
        <v>1409</v>
      </c>
      <c r="H225" s="2" t="s">
        <v>1410</v>
      </c>
      <c r="I225" s="2" t="s">
        <v>31</v>
      </c>
      <c r="J225" s="2" t="s">
        <v>32</v>
      </c>
      <c r="K225" s="2" t="s">
        <v>500</v>
      </c>
      <c r="L225" s="2" t="s">
        <v>1081</v>
      </c>
      <c r="M225" s="3">
        <v>44064</v>
      </c>
      <c r="N225" s="3">
        <v>44074</v>
      </c>
      <c r="O225" s="4">
        <v>501.904</v>
      </c>
      <c r="P225" s="2" t="s">
        <v>33</v>
      </c>
      <c r="Q225" s="2" t="s">
        <v>34</v>
      </c>
      <c r="R225" s="2" t="s">
        <v>35</v>
      </c>
      <c r="S225" s="2" t="s">
        <v>447</v>
      </c>
      <c r="T225" s="2" t="s">
        <v>140</v>
      </c>
      <c r="U225" s="2" t="s">
        <v>290</v>
      </c>
      <c r="V225" s="2" t="s">
        <v>38</v>
      </c>
      <c r="W225" s="2" t="s">
        <v>1411</v>
      </c>
      <c r="X225" s="2" t="s">
        <v>412</v>
      </c>
      <c r="Y225" s="2" t="s">
        <v>448</v>
      </c>
      <c r="Z225" s="2" t="s">
        <v>412</v>
      </c>
      <c r="AA225" s="2" t="s">
        <v>39</v>
      </c>
      <c r="AB225" s="2" t="s">
        <v>414</v>
      </c>
    </row>
    <row r="226" spans="1:28" hidden="1" x14ac:dyDescent="0.2">
      <c r="A226" s="2" t="s">
        <v>484</v>
      </c>
      <c r="B226" s="3">
        <v>44063</v>
      </c>
      <c r="C226" s="2" t="s">
        <v>1412</v>
      </c>
      <c r="D226" s="2" t="s">
        <v>178</v>
      </c>
      <c r="E226" s="2" t="s">
        <v>186</v>
      </c>
      <c r="F226" s="2" t="s">
        <v>187</v>
      </c>
      <c r="G226" s="2" t="s">
        <v>1413</v>
      </c>
      <c r="H226" s="2" t="s">
        <v>1414</v>
      </c>
      <c r="I226" s="2" t="s">
        <v>188</v>
      </c>
      <c r="J226" s="2" t="s">
        <v>95</v>
      </c>
      <c r="K226" s="2" t="s">
        <v>1415</v>
      </c>
      <c r="L226" s="2" t="s">
        <v>1269</v>
      </c>
      <c r="M226" s="3">
        <v>44069</v>
      </c>
      <c r="N226" s="3">
        <v>44088</v>
      </c>
      <c r="O226" s="4">
        <v>167.43299999999999</v>
      </c>
      <c r="P226" s="2" t="s">
        <v>492</v>
      </c>
      <c r="Q226" s="2" t="s">
        <v>131</v>
      </c>
      <c r="R226" s="2" t="s">
        <v>189</v>
      </c>
      <c r="S226" s="2" t="s">
        <v>466</v>
      </c>
      <c r="T226" s="2" t="s">
        <v>87</v>
      </c>
      <c r="U226" s="2" t="s">
        <v>290</v>
      </c>
      <c r="V226" s="2" t="s">
        <v>65</v>
      </c>
      <c r="W226" s="2" t="s">
        <v>1416</v>
      </c>
      <c r="X226" s="2" t="s">
        <v>412</v>
      </c>
      <c r="Y226" s="2" t="s">
        <v>991</v>
      </c>
      <c r="Z226" s="2" t="s">
        <v>412</v>
      </c>
      <c r="AA226" s="2" t="s">
        <v>190</v>
      </c>
      <c r="AB226" s="2" t="s">
        <v>414</v>
      </c>
    </row>
    <row r="227" spans="1:28" hidden="1" x14ac:dyDescent="0.2">
      <c r="A227" s="2" t="s">
        <v>484</v>
      </c>
      <c r="B227" s="3">
        <v>44058</v>
      </c>
      <c r="C227" s="2" t="s">
        <v>1412</v>
      </c>
      <c r="D227" s="2" t="s">
        <v>178</v>
      </c>
      <c r="E227" s="2" t="s">
        <v>179</v>
      </c>
      <c r="F227" s="2" t="s">
        <v>180</v>
      </c>
      <c r="G227" s="2" t="s">
        <v>1417</v>
      </c>
      <c r="H227" s="2" t="s">
        <v>1418</v>
      </c>
      <c r="I227" s="2" t="s">
        <v>181</v>
      </c>
      <c r="J227" s="2" t="s">
        <v>95</v>
      </c>
      <c r="K227" s="2" t="s">
        <v>1415</v>
      </c>
      <c r="L227" s="2" t="s">
        <v>1269</v>
      </c>
      <c r="M227" s="3">
        <v>44069</v>
      </c>
      <c r="N227" s="3">
        <v>44090</v>
      </c>
      <c r="O227" s="4">
        <v>263.72500000000002</v>
      </c>
      <c r="P227" s="2" t="s">
        <v>492</v>
      </c>
      <c r="Q227" s="2" t="s">
        <v>182</v>
      </c>
      <c r="R227" s="2" t="s">
        <v>183</v>
      </c>
      <c r="S227" s="2" t="s">
        <v>456</v>
      </c>
      <c r="T227" s="2" t="s">
        <v>87</v>
      </c>
      <c r="U227" s="2" t="s">
        <v>290</v>
      </c>
      <c r="V227" s="2" t="s">
        <v>65</v>
      </c>
      <c r="W227" s="2" t="s">
        <v>1419</v>
      </c>
      <c r="X227" s="2" t="s">
        <v>412</v>
      </c>
      <c r="Y227" s="2" t="s">
        <v>485</v>
      </c>
      <c r="Z227" s="2" t="s">
        <v>412</v>
      </c>
      <c r="AA227" s="2" t="s">
        <v>184</v>
      </c>
      <c r="AB227" s="2" t="s">
        <v>414</v>
      </c>
    </row>
    <row r="228" spans="1:28" hidden="1" x14ac:dyDescent="0.2">
      <c r="A228" s="2" t="s">
        <v>484</v>
      </c>
      <c r="B228" s="3">
        <v>44058</v>
      </c>
      <c r="C228" s="2" t="s">
        <v>1412</v>
      </c>
      <c r="D228" s="2" t="s">
        <v>178</v>
      </c>
      <c r="E228" s="2" t="s">
        <v>179</v>
      </c>
      <c r="F228" s="2" t="s">
        <v>180</v>
      </c>
      <c r="G228" s="2" t="s">
        <v>1420</v>
      </c>
      <c r="H228" s="2" t="s">
        <v>1421</v>
      </c>
      <c r="I228" s="2" t="s">
        <v>181</v>
      </c>
      <c r="J228" s="2" t="s">
        <v>95</v>
      </c>
      <c r="K228" s="2" t="s">
        <v>1415</v>
      </c>
      <c r="L228" s="2" t="s">
        <v>1269</v>
      </c>
      <c r="M228" s="3">
        <v>44069</v>
      </c>
      <c r="N228" s="3">
        <v>44088</v>
      </c>
      <c r="O228" s="4">
        <v>119.875</v>
      </c>
      <c r="P228" s="2" t="s">
        <v>492</v>
      </c>
      <c r="Q228" s="2" t="s">
        <v>131</v>
      </c>
      <c r="R228" s="2" t="s">
        <v>185</v>
      </c>
      <c r="S228" s="2" t="s">
        <v>415</v>
      </c>
      <c r="T228" s="2" t="s">
        <v>87</v>
      </c>
      <c r="U228" s="2" t="s">
        <v>290</v>
      </c>
      <c r="V228" s="2" t="s">
        <v>65</v>
      </c>
      <c r="W228" s="2" t="s">
        <v>1422</v>
      </c>
      <c r="X228" s="2" t="s">
        <v>412</v>
      </c>
      <c r="Y228" s="2" t="s">
        <v>840</v>
      </c>
      <c r="Z228" s="2" t="s">
        <v>412</v>
      </c>
      <c r="AA228" s="2" t="s">
        <v>184</v>
      </c>
      <c r="AB228" s="2" t="s">
        <v>414</v>
      </c>
    </row>
    <row r="229" spans="1:28" hidden="1" x14ac:dyDescent="0.2">
      <c r="A229" s="2" t="s">
        <v>427</v>
      </c>
      <c r="B229" s="3">
        <v>44058</v>
      </c>
      <c r="C229" s="2" t="s">
        <v>1423</v>
      </c>
      <c r="D229" s="2" t="s">
        <v>28</v>
      </c>
      <c r="E229" s="2" t="s">
        <v>280</v>
      </c>
      <c r="F229" s="2" t="s">
        <v>352</v>
      </c>
      <c r="G229" s="2" t="s">
        <v>1424</v>
      </c>
      <c r="H229" s="2" t="s">
        <v>1425</v>
      </c>
      <c r="I229" s="2" t="s">
        <v>77</v>
      </c>
      <c r="J229" s="2" t="s">
        <v>32</v>
      </c>
      <c r="K229" s="2" t="s">
        <v>1426</v>
      </c>
      <c r="L229" s="2" t="s">
        <v>1269</v>
      </c>
      <c r="M229" s="3">
        <v>44065</v>
      </c>
      <c r="N229" s="3">
        <v>44097</v>
      </c>
      <c r="O229" s="4">
        <v>496.8</v>
      </c>
      <c r="P229" s="2" t="s">
        <v>48</v>
      </c>
      <c r="Q229" s="2" t="s">
        <v>353</v>
      </c>
      <c r="R229" s="2" t="s">
        <v>354</v>
      </c>
      <c r="S229" s="2" t="s">
        <v>428</v>
      </c>
      <c r="T229" s="2" t="s">
        <v>36</v>
      </c>
      <c r="U229" s="2" t="s">
        <v>290</v>
      </c>
      <c r="V229" s="2" t="s">
        <v>43</v>
      </c>
      <c r="W229" s="2" t="s">
        <v>1427</v>
      </c>
      <c r="X229" s="2" t="s">
        <v>412</v>
      </c>
      <c r="Y229" s="2" t="s">
        <v>429</v>
      </c>
      <c r="Z229" s="2" t="s">
        <v>412</v>
      </c>
      <c r="AA229" s="2" t="s">
        <v>39</v>
      </c>
      <c r="AB229" s="2" t="s">
        <v>414</v>
      </c>
    </row>
    <row r="230" spans="1:28" hidden="1" x14ac:dyDescent="0.2">
      <c r="A230" s="2" t="s">
        <v>427</v>
      </c>
      <c r="B230" s="3">
        <v>44058</v>
      </c>
      <c r="C230" s="2" t="s">
        <v>1423</v>
      </c>
      <c r="D230" s="2" t="s">
        <v>28</v>
      </c>
      <c r="E230" s="2" t="s">
        <v>280</v>
      </c>
      <c r="F230" s="2" t="s">
        <v>352</v>
      </c>
      <c r="G230" s="2" t="s">
        <v>1428</v>
      </c>
      <c r="H230" s="2" t="s">
        <v>1429</v>
      </c>
      <c r="I230" s="2" t="s">
        <v>77</v>
      </c>
      <c r="J230" s="2" t="s">
        <v>32</v>
      </c>
      <c r="K230" s="2" t="s">
        <v>1426</v>
      </c>
      <c r="L230" s="2" t="s">
        <v>1269</v>
      </c>
      <c r="M230" s="3">
        <v>44065</v>
      </c>
      <c r="N230" s="3">
        <v>44097</v>
      </c>
      <c r="O230" s="4">
        <v>496.8</v>
      </c>
      <c r="P230" s="2" t="s">
        <v>48</v>
      </c>
      <c r="Q230" s="2" t="s">
        <v>353</v>
      </c>
      <c r="R230" s="2" t="s">
        <v>354</v>
      </c>
      <c r="S230" s="2" t="s">
        <v>428</v>
      </c>
      <c r="T230" s="2" t="s">
        <v>36</v>
      </c>
      <c r="U230" s="2" t="s">
        <v>290</v>
      </c>
      <c r="V230" s="2" t="s">
        <v>43</v>
      </c>
      <c r="W230" s="2" t="s">
        <v>1430</v>
      </c>
      <c r="X230" s="2" t="s">
        <v>412</v>
      </c>
      <c r="Y230" s="2" t="s">
        <v>429</v>
      </c>
      <c r="Z230" s="2" t="s">
        <v>412</v>
      </c>
      <c r="AA230" s="2" t="s">
        <v>39</v>
      </c>
      <c r="AB230" s="2" t="s">
        <v>414</v>
      </c>
    </row>
    <row r="231" spans="1:28" hidden="1" x14ac:dyDescent="0.2">
      <c r="A231" s="2" t="s">
        <v>427</v>
      </c>
      <c r="B231" s="3">
        <v>44063</v>
      </c>
      <c r="C231" s="2" t="s">
        <v>1431</v>
      </c>
      <c r="D231" s="2" t="s">
        <v>62</v>
      </c>
      <c r="E231" s="2" t="s">
        <v>217</v>
      </c>
      <c r="F231" s="2" t="s">
        <v>218</v>
      </c>
      <c r="G231" s="2" t="s">
        <v>1432</v>
      </c>
      <c r="H231" s="2" t="s">
        <v>1433</v>
      </c>
      <c r="I231" s="2" t="s">
        <v>77</v>
      </c>
      <c r="J231" s="2" t="s">
        <v>32</v>
      </c>
      <c r="K231" s="2" t="s">
        <v>430</v>
      </c>
      <c r="L231" s="2" t="s">
        <v>1434</v>
      </c>
      <c r="M231" s="3">
        <v>44065</v>
      </c>
      <c r="N231" s="3">
        <v>44097</v>
      </c>
      <c r="O231" s="4">
        <v>496.8</v>
      </c>
      <c r="P231" s="2" t="s">
        <v>48</v>
      </c>
      <c r="Q231" s="2" t="s">
        <v>34</v>
      </c>
      <c r="R231" s="2" t="s">
        <v>35</v>
      </c>
      <c r="S231" s="2" t="s">
        <v>428</v>
      </c>
      <c r="T231" s="2" t="s">
        <v>36</v>
      </c>
      <c r="U231" s="2" t="s">
        <v>290</v>
      </c>
      <c r="V231" s="2" t="s">
        <v>52</v>
      </c>
      <c r="W231" s="2" t="s">
        <v>1435</v>
      </c>
      <c r="X231" s="2" t="s">
        <v>412</v>
      </c>
      <c r="Y231" s="2" t="s">
        <v>429</v>
      </c>
      <c r="Z231" s="2" t="s">
        <v>412</v>
      </c>
      <c r="AA231" s="2" t="s">
        <v>39</v>
      </c>
      <c r="AB231" s="2" t="s">
        <v>414</v>
      </c>
    </row>
    <row r="232" spans="1:28" hidden="1" x14ac:dyDescent="0.2">
      <c r="A232" s="2" t="s">
        <v>427</v>
      </c>
      <c r="B232" s="3">
        <v>44063</v>
      </c>
      <c r="C232" s="2" t="s">
        <v>1431</v>
      </c>
      <c r="D232" s="2" t="s">
        <v>62</v>
      </c>
      <c r="E232" s="2" t="s">
        <v>217</v>
      </c>
      <c r="F232" s="2" t="s">
        <v>218</v>
      </c>
      <c r="G232" s="2" t="s">
        <v>1436</v>
      </c>
      <c r="H232" s="2" t="s">
        <v>1437</v>
      </c>
      <c r="I232" s="2" t="s">
        <v>77</v>
      </c>
      <c r="J232" s="2" t="s">
        <v>32</v>
      </c>
      <c r="K232" s="2" t="s">
        <v>430</v>
      </c>
      <c r="L232" s="2" t="s">
        <v>1434</v>
      </c>
      <c r="M232" s="3">
        <v>44065</v>
      </c>
      <c r="N232" s="3">
        <v>44097</v>
      </c>
      <c r="O232" s="4">
        <v>496.8</v>
      </c>
      <c r="P232" s="2" t="s">
        <v>48</v>
      </c>
      <c r="Q232" s="2" t="s">
        <v>34</v>
      </c>
      <c r="R232" s="2" t="s">
        <v>35</v>
      </c>
      <c r="S232" s="2" t="s">
        <v>428</v>
      </c>
      <c r="T232" s="2" t="s">
        <v>36</v>
      </c>
      <c r="U232" s="2" t="s">
        <v>290</v>
      </c>
      <c r="V232" s="2" t="s">
        <v>52</v>
      </c>
      <c r="W232" s="2" t="s">
        <v>1438</v>
      </c>
      <c r="X232" s="2" t="s">
        <v>412</v>
      </c>
      <c r="Y232" s="2" t="s">
        <v>429</v>
      </c>
      <c r="Z232" s="2" t="s">
        <v>412</v>
      </c>
      <c r="AA232" s="2" t="s">
        <v>39</v>
      </c>
      <c r="AB232" s="2" t="s">
        <v>414</v>
      </c>
    </row>
    <row r="233" spans="1:28" hidden="1" x14ac:dyDescent="0.2">
      <c r="A233" s="2" t="s">
        <v>427</v>
      </c>
      <c r="B233" s="3">
        <v>44048</v>
      </c>
      <c r="C233" s="2" t="s">
        <v>1431</v>
      </c>
      <c r="D233" s="2" t="s">
        <v>44</v>
      </c>
      <c r="E233" s="2" t="s">
        <v>45</v>
      </c>
      <c r="F233" s="2" t="s">
        <v>299</v>
      </c>
      <c r="G233" s="2" t="s">
        <v>1439</v>
      </c>
      <c r="H233" s="2" t="s">
        <v>1440</v>
      </c>
      <c r="I233" s="2" t="s">
        <v>567</v>
      </c>
      <c r="J233" s="2" t="s">
        <v>58</v>
      </c>
      <c r="K233" s="2" t="s">
        <v>430</v>
      </c>
      <c r="L233" s="2" t="s">
        <v>1434</v>
      </c>
      <c r="M233" s="3">
        <v>44065</v>
      </c>
      <c r="N233" s="3">
        <v>44096</v>
      </c>
      <c r="O233" s="4">
        <v>80.72</v>
      </c>
      <c r="P233" s="2" t="s">
        <v>48</v>
      </c>
      <c r="Q233" s="2" t="s">
        <v>85</v>
      </c>
      <c r="R233" s="2" t="s">
        <v>301</v>
      </c>
      <c r="S233" s="2" t="s">
        <v>419</v>
      </c>
      <c r="T233" s="2" t="s">
        <v>42</v>
      </c>
      <c r="U233" s="2" t="s">
        <v>290</v>
      </c>
      <c r="V233" s="2" t="s">
        <v>52</v>
      </c>
      <c r="W233" s="2" t="s">
        <v>1441</v>
      </c>
      <c r="X233" s="2" t="s">
        <v>412</v>
      </c>
      <c r="Y233" s="2" t="s">
        <v>433</v>
      </c>
      <c r="Z233" s="2" t="s">
        <v>53</v>
      </c>
      <c r="AA233" s="2" t="s">
        <v>39</v>
      </c>
      <c r="AB233" s="2" t="s">
        <v>414</v>
      </c>
    </row>
    <row r="234" spans="1:28" hidden="1" x14ac:dyDescent="0.2">
      <c r="A234" s="2" t="s">
        <v>427</v>
      </c>
      <c r="B234" s="3">
        <v>44074</v>
      </c>
      <c r="C234" s="2" t="s">
        <v>1442</v>
      </c>
      <c r="D234" s="2" t="s">
        <v>91</v>
      </c>
      <c r="E234" s="2" t="s">
        <v>569</v>
      </c>
      <c r="F234" s="2" t="s">
        <v>570</v>
      </c>
      <c r="G234" s="2" t="s">
        <v>1443</v>
      </c>
      <c r="H234" s="2" t="s">
        <v>1444</v>
      </c>
      <c r="I234" s="2" t="s">
        <v>571</v>
      </c>
      <c r="J234" s="2" t="s">
        <v>58</v>
      </c>
      <c r="K234" s="2" t="s">
        <v>515</v>
      </c>
      <c r="L234" s="2" t="s">
        <v>753</v>
      </c>
      <c r="M234" s="3">
        <v>44065</v>
      </c>
      <c r="N234" s="3">
        <v>44079</v>
      </c>
      <c r="O234" s="4">
        <v>122.4</v>
      </c>
      <c r="P234" s="2" t="s">
        <v>48</v>
      </c>
      <c r="Q234" s="2" t="s">
        <v>131</v>
      </c>
      <c r="R234" s="2" t="s">
        <v>132</v>
      </c>
      <c r="S234" s="2" t="s">
        <v>415</v>
      </c>
      <c r="T234" s="2" t="s">
        <v>36</v>
      </c>
      <c r="U234" s="2" t="s">
        <v>290</v>
      </c>
      <c r="V234" s="2" t="s">
        <v>155</v>
      </c>
      <c r="W234" s="2" t="s">
        <v>1445</v>
      </c>
      <c r="X234" s="2" t="s">
        <v>412</v>
      </c>
      <c r="Y234" s="2" t="s">
        <v>529</v>
      </c>
      <c r="Z234" s="2" t="s">
        <v>53</v>
      </c>
      <c r="AA234" s="2" t="s">
        <v>39</v>
      </c>
      <c r="AB234" s="2" t="s">
        <v>414</v>
      </c>
    </row>
    <row r="235" spans="1:28" hidden="1" x14ac:dyDescent="0.2">
      <c r="A235" s="2" t="s">
        <v>486</v>
      </c>
      <c r="B235" s="3">
        <v>44063</v>
      </c>
      <c r="C235" s="2" t="s">
        <v>1442</v>
      </c>
      <c r="D235" s="2" t="s">
        <v>178</v>
      </c>
      <c r="E235" s="2" t="s">
        <v>186</v>
      </c>
      <c r="F235" s="2" t="s">
        <v>187</v>
      </c>
      <c r="G235" s="2" t="s">
        <v>1446</v>
      </c>
      <c r="H235" s="2" t="s">
        <v>1447</v>
      </c>
      <c r="I235" s="2" t="s">
        <v>389</v>
      </c>
      <c r="J235" s="2" t="s">
        <v>47</v>
      </c>
      <c r="K235" s="2" t="s">
        <v>515</v>
      </c>
      <c r="L235" s="2" t="s">
        <v>753</v>
      </c>
      <c r="M235" s="3">
        <v>44065</v>
      </c>
      <c r="N235" s="3">
        <v>44081</v>
      </c>
      <c r="O235" s="4">
        <v>147.24</v>
      </c>
      <c r="P235" s="2" t="s">
        <v>48</v>
      </c>
      <c r="Q235" s="2" t="s">
        <v>182</v>
      </c>
      <c r="R235" s="2" t="s">
        <v>391</v>
      </c>
      <c r="S235" s="2" t="s">
        <v>465</v>
      </c>
      <c r="T235" s="2" t="s">
        <v>36</v>
      </c>
      <c r="U235" s="2" t="s">
        <v>290</v>
      </c>
      <c r="V235" s="2" t="s">
        <v>155</v>
      </c>
      <c r="W235" s="2" t="s">
        <v>1448</v>
      </c>
      <c r="X235" s="2" t="s">
        <v>412</v>
      </c>
      <c r="Y235" s="2" t="s">
        <v>469</v>
      </c>
      <c r="Z235" s="2" t="s">
        <v>53</v>
      </c>
      <c r="AA235" s="2" t="s">
        <v>190</v>
      </c>
      <c r="AB235" s="2" t="s">
        <v>414</v>
      </c>
    </row>
    <row r="236" spans="1:28" hidden="1" x14ac:dyDescent="0.2">
      <c r="A236" s="2" t="s">
        <v>427</v>
      </c>
      <c r="B236" s="3">
        <v>44073</v>
      </c>
      <c r="C236" s="2" t="s">
        <v>1449</v>
      </c>
      <c r="D236" s="2" t="s">
        <v>91</v>
      </c>
      <c r="E236" s="2" t="s">
        <v>347</v>
      </c>
      <c r="F236" s="2" t="s">
        <v>348</v>
      </c>
      <c r="G236" s="2" t="s">
        <v>1450</v>
      </c>
      <c r="H236" s="2" t="s">
        <v>1451</v>
      </c>
      <c r="I236" s="2" t="s">
        <v>349</v>
      </c>
      <c r="J236" s="2" t="s">
        <v>58</v>
      </c>
      <c r="K236" s="2" t="s">
        <v>430</v>
      </c>
      <c r="L236" s="2" t="s">
        <v>1434</v>
      </c>
      <c r="M236" s="3">
        <v>44065</v>
      </c>
      <c r="N236" s="3">
        <v>44085</v>
      </c>
      <c r="O236" s="4">
        <v>102.124</v>
      </c>
      <c r="P236" s="2" t="s">
        <v>48</v>
      </c>
      <c r="Q236" s="2" t="s">
        <v>100</v>
      </c>
      <c r="R236" s="2" t="s">
        <v>101</v>
      </c>
      <c r="S236" s="2" t="s">
        <v>419</v>
      </c>
      <c r="T236" s="2" t="s">
        <v>72</v>
      </c>
      <c r="U236" s="2" t="s">
        <v>290</v>
      </c>
      <c r="V236" s="2" t="s">
        <v>155</v>
      </c>
      <c r="W236" s="2" t="s">
        <v>1452</v>
      </c>
      <c r="X236" s="2" t="s">
        <v>412</v>
      </c>
      <c r="Y236" s="2" t="s">
        <v>454</v>
      </c>
      <c r="Z236" s="2" t="s">
        <v>1453</v>
      </c>
      <c r="AA236" s="2" t="s">
        <v>39</v>
      </c>
      <c r="AB236" s="2" t="s">
        <v>414</v>
      </c>
    </row>
    <row r="237" spans="1:28" hidden="1" x14ac:dyDescent="0.2">
      <c r="A237" s="2" t="s">
        <v>427</v>
      </c>
      <c r="B237" s="3">
        <v>44063</v>
      </c>
      <c r="C237" s="2" t="s">
        <v>1449</v>
      </c>
      <c r="D237" s="2" t="s">
        <v>102</v>
      </c>
      <c r="E237" s="2" t="s">
        <v>398</v>
      </c>
      <c r="F237" s="2" t="s">
        <v>399</v>
      </c>
      <c r="G237" s="2" t="s">
        <v>1454</v>
      </c>
      <c r="H237" s="2" t="s">
        <v>1455</v>
      </c>
      <c r="I237" s="2" t="s">
        <v>400</v>
      </c>
      <c r="J237" s="2" t="s">
        <v>58</v>
      </c>
      <c r="K237" s="2" t="s">
        <v>430</v>
      </c>
      <c r="L237" s="2" t="s">
        <v>1434</v>
      </c>
      <c r="M237" s="3">
        <v>44065</v>
      </c>
      <c r="N237" s="3">
        <v>44087</v>
      </c>
      <c r="O237" s="4">
        <v>76.88</v>
      </c>
      <c r="P237" s="2" t="s">
        <v>48</v>
      </c>
      <c r="Q237" s="2" t="s">
        <v>401</v>
      </c>
      <c r="R237" s="2" t="s">
        <v>402</v>
      </c>
      <c r="S237" s="2" t="s">
        <v>419</v>
      </c>
      <c r="T237" s="2" t="s">
        <v>140</v>
      </c>
      <c r="U237" s="2" t="s">
        <v>290</v>
      </c>
      <c r="V237" s="2" t="s">
        <v>155</v>
      </c>
      <c r="W237" s="2" t="s">
        <v>1456</v>
      </c>
      <c r="X237" s="2" t="s">
        <v>412</v>
      </c>
      <c r="Y237" s="2" t="s">
        <v>433</v>
      </c>
      <c r="Z237" s="2" t="s">
        <v>1457</v>
      </c>
      <c r="AA237" s="2" t="s">
        <v>39</v>
      </c>
      <c r="AB237" s="2" t="s">
        <v>414</v>
      </c>
    </row>
    <row r="238" spans="1:28" hidden="1" x14ac:dyDescent="0.2">
      <c r="A238" s="2" t="s">
        <v>431</v>
      </c>
      <c r="B238" s="3">
        <v>44073</v>
      </c>
      <c r="C238" s="2" t="s">
        <v>1458</v>
      </c>
      <c r="D238" s="2" t="s">
        <v>91</v>
      </c>
      <c r="E238" s="2" t="s">
        <v>107</v>
      </c>
      <c r="F238" s="2" t="s">
        <v>537</v>
      </c>
      <c r="G238" s="2" t="s">
        <v>1459</v>
      </c>
      <c r="H238" s="2" t="s">
        <v>1460</v>
      </c>
      <c r="I238" s="2" t="s">
        <v>580</v>
      </c>
      <c r="J238" s="2" t="s">
        <v>58</v>
      </c>
      <c r="K238" s="2" t="s">
        <v>727</v>
      </c>
      <c r="L238" s="2" t="s">
        <v>1269</v>
      </c>
      <c r="M238" s="3">
        <v>44066</v>
      </c>
      <c r="N238" s="3">
        <v>44089</v>
      </c>
      <c r="O238" s="4">
        <v>104.985</v>
      </c>
      <c r="P238" s="2" t="s">
        <v>33</v>
      </c>
      <c r="Q238" s="2" t="s">
        <v>105</v>
      </c>
      <c r="R238" s="2" t="s">
        <v>106</v>
      </c>
      <c r="S238" s="2" t="s">
        <v>415</v>
      </c>
      <c r="T238" s="2" t="s">
        <v>42</v>
      </c>
      <c r="U238" s="2" t="s">
        <v>290</v>
      </c>
      <c r="V238" s="2" t="s">
        <v>43</v>
      </c>
      <c r="W238" s="2" t="s">
        <v>1461</v>
      </c>
      <c r="X238" s="2" t="s">
        <v>412</v>
      </c>
      <c r="Y238" s="2" t="s">
        <v>582</v>
      </c>
      <c r="Z238" s="2" t="s">
        <v>996</v>
      </c>
      <c r="AA238" s="2" t="s">
        <v>109</v>
      </c>
      <c r="AB238" s="2" t="s">
        <v>414</v>
      </c>
    </row>
    <row r="239" spans="1:28" hidden="1" x14ac:dyDescent="0.2">
      <c r="A239" s="2" t="s">
        <v>431</v>
      </c>
      <c r="B239" s="3">
        <v>44073</v>
      </c>
      <c r="C239" s="2" t="s">
        <v>1462</v>
      </c>
      <c r="D239" s="2" t="s">
        <v>74</v>
      </c>
      <c r="E239" s="2" t="s">
        <v>207</v>
      </c>
      <c r="F239" s="2" t="s">
        <v>208</v>
      </c>
      <c r="G239" s="2" t="s">
        <v>1463</v>
      </c>
      <c r="H239" s="2" t="s">
        <v>1464</v>
      </c>
      <c r="I239" s="2" t="s">
        <v>211</v>
      </c>
      <c r="J239" s="2" t="s">
        <v>58</v>
      </c>
      <c r="K239" s="2" t="s">
        <v>727</v>
      </c>
      <c r="L239" s="2" t="s">
        <v>1269</v>
      </c>
      <c r="M239" s="3">
        <v>44066</v>
      </c>
      <c r="N239" s="3">
        <v>44118</v>
      </c>
      <c r="O239" s="4">
        <v>51.326000000000001</v>
      </c>
      <c r="P239" s="2" t="s">
        <v>33</v>
      </c>
      <c r="Q239" s="2" t="s">
        <v>210</v>
      </c>
      <c r="R239" s="2" t="s">
        <v>364</v>
      </c>
      <c r="S239" s="2" t="s">
        <v>449</v>
      </c>
      <c r="T239" s="2" t="s">
        <v>72</v>
      </c>
      <c r="U239" s="2" t="s">
        <v>290</v>
      </c>
      <c r="V239" s="2" t="s">
        <v>65</v>
      </c>
      <c r="W239" s="2" t="s">
        <v>1465</v>
      </c>
      <c r="X239" s="2" t="s">
        <v>412</v>
      </c>
      <c r="Y239" s="2" t="s">
        <v>443</v>
      </c>
      <c r="Z239" s="2" t="s">
        <v>1466</v>
      </c>
      <c r="AA239" s="2" t="s">
        <v>39</v>
      </c>
      <c r="AB239" s="2" t="s">
        <v>414</v>
      </c>
    </row>
    <row r="240" spans="1:28" hidden="1" x14ac:dyDescent="0.2">
      <c r="A240" s="2" t="s">
        <v>431</v>
      </c>
      <c r="B240" s="3">
        <v>44073</v>
      </c>
      <c r="C240" s="2" t="s">
        <v>1462</v>
      </c>
      <c r="D240" s="2" t="s">
        <v>74</v>
      </c>
      <c r="E240" s="2" t="s">
        <v>207</v>
      </c>
      <c r="F240" s="2" t="s">
        <v>208</v>
      </c>
      <c r="G240" s="2" t="s">
        <v>1467</v>
      </c>
      <c r="H240" s="2" t="s">
        <v>1468</v>
      </c>
      <c r="I240" s="2" t="s">
        <v>1469</v>
      </c>
      <c r="J240" s="2" t="s">
        <v>58</v>
      </c>
      <c r="K240" s="2" t="s">
        <v>727</v>
      </c>
      <c r="L240" s="2" t="s">
        <v>1269</v>
      </c>
      <c r="M240" s="3">
        <v>44066</v>
      </c>
      <c r="N240" s="3">
        <v>44118</v>
      </c>
      <c r="O240" s="4">
        <v>51.34</v>
      </c>
      <c r="P240" s="2" t="s">
        <v>33</v>
      </c>
      <c r="Q240" s="2" t="s">
        <v>210</v>
      </c>
      <c r="R240" s="2" t="s">
        <v>364</v>
      </c>
      <c r="S240" s="2" t="s">
        <v>449</v>
      </c>
      <c r="T240" s="2" t="s">
        <v>72</v>
      </c>
      <c r="U240" s="2" t="s">
        <v>290</v>
      </c>
      <c r="V240" s="2" t="s">
        <v>65</v>
      </c>
      <c r="W240" s="2" t="s">
        <v>1470</v>
      </c>
      <c r="X240" s="2" t="s">
        <v>412</v>
      </c>
      <c r="Y240" s="2" t="s">
        <v>428</v>
      </c>
      <c r="Z240" s="2" t="s">
        <v>1471</v>
      </c>
      <c r="AA240" s="2" t="s">
        <v>39</v>
      </c>
      <c r="AB240" s="2" t="s">
        <v>414</v>
      </c>
    </row>
    <row r="241" spans="1:28" hidden="1" x14ac:dyDescent="0.2">
      <c r="A241" s="2" t="s">
        <v>431</v>
      </c>
      <c r="B241" s="3">
        <v>44048</v>
      </c>
      <c r="C241" s="2" t="s">
        <v>1472</v>
      </c>
      <c r="D241" s="2" t="s">
        <v>62</v>
      </c>
      <c r="E241" s="2" t="s">
        <v>324</v>
      </c>
      <c r="F241" s="2" t="s">
        <v>325</v>
      </c>
      <c r="G241" s="2" t="s">
        <v>1473</v>
      </c>
      <c r="H241" s="2" t="s">
        <v>1474</v>
      </c>
      <c r="I241" s="2" t="s">
        <v>31</v>
      </c>
      <c r="J241" s="2" t="s">
        <v>32</v>
      </c>
      <c r="K241" s="2" t="s">
        <v>494</v>
      </c>
      <c r="L241" s="2" t="s">
        <v>1152</v>
      </c>
      <c r="M241" s="3">
        <v>44066</v>
      </c>
      <c r="N241" s="3">
        <v>44085</v>
      </c>
      <c r="O241" s="4">
        <v>501.904</v>
      </c>
      <c r="P241" s="2" t="s">
        <v>33</v>
      </c>
      <c r="Q241" s="2" t="s">
        <v>34</v>
      </c>
      <c r="R241" s="2" t="s">
        <v>35</v>
      </c>
      <c r="S241" s="2" t="s">
        <v>447</v>
      </c>
      <c r="T241" s="2" t="s">
        <v>140</v>
      </c>
      <c r="U241" s="2" t="s">
        <v>290</v>
      </c>
      <c r="V241" s="2" t="s">
        <v>65</v>
      </c>
      <c r="W241" s="2" t="s">
        <v>1475</v>
      </c>
      <c r="X241" s="2" t="s">
        <v>412</v>
      </c>
      <c r="Y241" s="2" t="s">
        <v>448</v>
      </c>
      <c r="Z241" s="2" t="s">
        <v>412</v>
      </c>
      <c r="AA241" s="2" t="s">
        <v>39</v>
      </c>
      <c r="AB241" s="2" t="s">
        <v>414</v>
      </c>
    </row>
    <row r="242" spans="1:28" hidden="1" x14ac:dyDescent="0.2">
      <c r="A242" s="2" t="s">
        <v>431</v>
      </c>
      <c r="B242" s="3">
        <v>44060</v>
      </c>
      <c r="C242" s="2" t="s">
        <v>1472</v>
      </c>
      <c r="D242" s="2" t="s">
        <v>28</v>
      </c>
      <c r="E242" s="2" t="s">
        <v>40</v>
      </c>
      <c r="F242" s="2" t="s">
        <v>41</v>
      </c>
      <c r="G242" s="2" t="s">
        <v>1476</v>
      </c>
      <c r="H242" s="2" t="s">
        <v>1477</v>
      </c>
      <c r="I242" s="2" t="s">
        <v>31</v>
      </c>
      <c r="J242" s="2" t="s">
        <v>32</v>
      </c>
      <c r="K242" s="2" t="s">
        <v>494</v>
      </c>
      <c r="L242" s="2" t="s">
        <v>1152</v>
      </c>
      <c r="M242" s="3">
        <v>44066</v>
      </c>
      <c r="N242" s="3">
        <v>44085</v>
      </c>
      <c r="O242" s="4">
        <v>304.8</v>
      </c>
      <c r="P242" s="2" t="s">
        <v>33</v>
      </c>
      <c r="Q242" s="2" t="s">
        <v>34</v>
      </c>
      <c r="R242" s="2" t="s">
        <v>35</v>
      </c>
      <c r="S242" s="2" t="s">
        <v>417</v>
      </c>
      <c r="T242" s="2" t="s">
        <v>42</v>
      </c>
      <c r="U242" s="2" t="s">
        <v>290</v>
      </c>
      <c r="V242" s="2" t="s">
        <v>65</v>
      </c>
      <c r="W242" s="2" t="s">
        <v>1478</v>
      </c>
      <c r="X242" s="2" t="s">
        <v>412</v>
      </c>
      <c r="Y242" s="2" t="s">
        <v>458</v>
      </c>
      <c r="Z242" s="2" t="s">
        <v>412</v>
      </c>
      <c r="AA242" s="2" t="s">
        <v>39</v>
      </c>
      <c r="AB242" s="2" t="s">
        <v>414</v>
      </c>
    </row>
    <row r="243" spans="1:28" hidden="1" x14ac:dyDescent="0.2">
      <c r="A243" s="2" t="s">
        <v>431</v>
      </c>
      <c r="B243" s="3">
        <v>44068</v>
      </c>
      <c r="C243" s="2" t="s">
        <v>1472</v>
      </c>
      <c r="D243" s="2" t="s">
        <v>62</v>
      </c>
      <c r="E243" s="2" t="s">
        <v>217</v>
      </c>
      <c r="F243" s="2" t="s">
        <v>218</v>
      </c>
      <c r="G243" s="2" t="s">
        <v>1479</v>
      </c>
      <c r="H243" s="2" t="s">
        <v>1480</v>
      </c>
      <c r="I243" s="2" t="s">
        <v>31</v>
      </c>
      <c r="J243" s="2" t="s">
        <v>32</v>
      </c>
      <c r="K243" s="2" t="s">
        <v>494</v>
      </c>
      <c r="L243" s="2" t="s">
        <v>1152</v>
      </c>
      <c r="M243" s="3">
        <v>44066</v>
      </c>
      <c r="N243" s="3">
        <v>44085</v>
      </c>
      <c r="O243" s="4">
        <v>487.68</v>
      </c>
      <c r="P243" s="2" t="s">
        <v>33</v>
      </c>
      <c r="Q243" s="2" t="s">
        <v>34</v>
      </c>
      <c r="R243" s="2" t="s">
        <v>35</v>
      </c>
      <c r="S243" s="2" t="s">
        <v>428</v>
      </c>
      <c r="T243" s="2" t="s">
        <v>36</v>
      </c>
      <c r="U243" s="2" t="s">
        <v>290</v>
      </c>
      <c r="V243" s="2" t="s">
        <v>65</v>
      </c>
      <c r="W243" s="2" t="s">
        <v>1481</v>
      </c>
      <c r="X243" s="2" t="s">
        <v>412</v>
      </c>
      <c r="Y243" s="2" t="s">
        <v>429</v>
      </c>
      <c r="Z243" s="2" t="s">
        <v>412</v>
      </c>
      <c r="AA243" s="2" t="s">
        <v>39</v>
      </c>
      <c r="AB243" s="2" t="s">
        <v>414</v>
      </c>
    </row>
    <row r="244" spans="1:28" hidden="1" x14ac:dyDescent="0.2">
      <c r="A244" s="2" t="s">
        <v>431</v>
      </c>
      <c r="B244" s="3">
        <v>44074</v>
      </c>
      <c r="C244" s="2" t="s">
        <v>1482</v>
      </c>
      <c r="D244" s="2" t="s">
        <v>365</v>
      </c>
      <c r="E244" s="2" t="s">
        <v>366</v>
      </c>
      <c r="F244" s="2" t="s">
        <v>367</v>
      </c>
      <c r="G244" s="2" t="s">
        <v>1483</v>
      </c>
      <c r="H244" s="2" t="s">
        <v>1484</v>
      </c>
      <c r="I244" s="2" t="s">
        <v>520</v>
      </c>
      <c r="J244" s="2" t="s">
        <v>58</v>
      </c>
      <c r="K244" s="2" t="s">
        <v>247</v>
      </c>
      <c r="L244" s="2" t="s">
        <v>1485</v>
      </c>
      <c r="M244" s="3">
        <v>44066</v>
      </c>
      <c r="N244" s="3">
        <v>44083</v>
      </c>
      <c r="O244" s="4">
        <v>95.48</v>
      </c>
      <c r="P244" s="2" t="s">
        <v>33</v>
      </c>
      <c r="Q244" s="2" t="s">
        <v>59</v>
      </c>
      <c r="R244" s="2" t="s">
        <v>368</v>
      </c>
      <c r="S244" s="2" t="s">
        <v>419</v>
      </c>
      <c r="T244" s="2" t="s">
        <v>61</v>
      </c>
      <c r="U244" s="2" t="s">
        <v>290</v>
      </c>
      <c r="V244" s="2" t="s">
        <v>52</v>
      </c>
      <c r="W244" s="2" t="s">
        <v>1486</v>
      </c>
      <c r="X244" s="2" t="s">
        <v>412</v>
      </c>
      <c r="Y244" s="2" t="s">
        <v>433</v>
      </c>
      <c r="Z244" s="2" t="s">
        <v>1487</v>
      </c>
      <c r="AA244" s="2" t="s">
        <v>39</v>
      </c>
      <c r="AB244" s="2" t="s">
        <v>414</v>
      </c>
    </row>
    <row r="245" spans="1:28" hidden="1" x14ac:dyDescent="0.2">
      <c r="A245" s="2" t="s">
        <v>431</v>
      </c>
      <c r="B245" s="3">
        <v>44074</v>
      </c>
      <c r="C245" s="2" t="s">
        <v>1482</v>
      </c>
      <c r="D245" s="2" t="s">
        <v>54</v>
      </c>
      <c r="E245" s="2" t="s">
        <v>55</v>
      </c>
      <c r="F245" s="2" t="s">
        <v>56</v>
      </c>
      <c r="G245" s="2" t="s">
        <v>1488</v>
      </c>
      <c r="H245" s="2" t="s">
        <v>1489</v>
      </c>
      <c r="I245" s="2" t="s">
        <v>57</v>
      </c>
      <c r="J245" s="2" t="s">
        <v>58</v>
      </c>
      <c r="K245" s="2" t="s">
        <v>247</v>
      </c>
      <c r="L245" s="2" t="s">
        <v>1485</v>
      </c>
      <c r="M245" s="3">
        <v>44066</v>
      </c>
      <c r="N245" s="3">
        <v>44083</v>
      </c>
      <c r="O245" s="4">
        <v>186.8</v>
      </c>
      <c r="P245" s="2" t="s">
        <v>33</v>
      </c>
      <c r="Q245" s="2" t="s">
        <v>59</v>
      </c>
      <c r="R245" s="2" t="s">
        <v>60</v>
      </c>
      <c r="S245" s="2" t="s">
        <v>420</v>
      </c>
      <c r="T245" s="2" t="s">
        <v>61</v>
      </c>
      <c r="U245" s="2" t="s">
        <v>290</v>
      </c>
      <c r="V245" s="2" t="s">
        <v>52</v>
      </c>
      <c r="W245" s="2" t="s">
        <v>1490</v>
      </c>
      <c r="X245" s="2" t="s">
        <v>412</v>
      </c>
      <c r="Y245" s="2" t="s">
        <v>1491</v>
      </c>
      <c r="Z245" s="2" t="s">
        <v>1492</v>
      </c>
      <c r="AA245" s="2" t="s">
        <v>39</v>
      </c>
      <c r="AB245" s="2" t="s">
        <v>414</v>
      </c>
    </row>
    <row r="246" spans="1:28" hidden="1" x14ac:dyDescent="0.2">
      <c r="A246" s="2" t="s">
        <v>427</v>
      </c>
      <c r="B246" s="3">
        <v>44058</v>
      </c>
      <c r="C246" s="2" t="s">
        <v>1493</v>
      </c>
      <c r="D246" s="2" t="s">
        <v>66</v>
      </c>
      <c r="E246" s="2" t="s">
        <v>67</v>
      </c>
      <c r="F246" s="2" t="s">
        <v>68</v>
      </c>
      <c r="G246" s="2" t="s">
        <v>1494</v>
      </c>
      <c r="H246" s="2" t="s">
        <v>1495</v>
      </c>
      <c r="I246" s="2" t="s">
        <v>69</v>
      </c>
      <c r="J246" s="2" t="s">
        <v>58</v>
      </c>
      <c r="K246" s="2" t="s">
        <v>1496</v>
      </c>
      <c r="L246" s="2" t="s">
        <v>1497</v>
      </c>
      <c r="M246" s="3">
        <v>44066</v>
      </c>
      <c r="N246" s="3">
        <v>44113</v>
      </c>
      <c r="O246" s="4">
        <v>52</v>
      </c>
      <c r="P246" s="2" t="s">
        <v>48</v>
      </c>
      <c r="Q246" s="2" t="s">
        <v>70</v>
      </c>
      <c r="R246" s="2" t="s">
        <v>71</v>
      </c>
      <c r="S246" s="2" t="s">
        <v>449</v>
      </c>
      <c r="T246" s="2" t="s">
        <v>72</v>
      </c>
      <c r="U246" s="2" t="s">
        <v>290</v>
      </c>
      <c r="V246" s="2" t="s">
        <v>73</v>
      </c>
      <c r="W246" s="2" t="s">
        <v>1498</v>
      </c>
      <c r="X246" s="2" t="s">
        <v>412</v>
      </c>
      <c r="Y246" s="2" t="s">
        <v>532</v>
      </c>
      <c r="Z246" s="2" t="s">
        <v>53</v>
      </c>
      <c r="AA246" s="2" t="s">
        <v>39</v>
      </c>
      <c r="AB246" s="2" t="s">
        <v>414</v>
      </c>
    </row>
    <row r="247" spans="1:28" hidden="1" x14ac:dyDescent="0.2">
      <c r="A247" s="2" t="s">
        <v>427</v>
      </c>
      <c r="B247" s="3">
        <v>44068</v>
      </c>
      <c r="C247" s="2" t="s">
        <v>1499</v>
      </c>
      <c r="D247" s="2" t="s">
        <v>91</v>
      </c>
      <c r="E247" s="2" t="s">
        <v>350</v>
      </c>
      <c r="F247" s="2" t="s">
        <v>351</v>
      </c>
      <c r="G247" s="2" t="s">
        <v>1500</v>
      </c>
      <c r="H247" s="2" t="s">
        <v>1501</v>
      </c>
      <c r="I247" s="2" t="s">
        <v>1502</v>
      </c>
      <c r="J247" s="2" t="s">
        <v>58</v>
      </c>
      <c r="K247" s="2" t="s">
        <v>1415</v>
      </c>
      <c r="L247" s="2" t="s">
        <v>1269</v>
      </c>
      <c r="M247" s="3">
        <v>44066</v>
      </c>
      <c r="N247" s="3">
        <v>44096</v>
      </c>
      <c r="O247" s="4">
        <v>50.74</v>
      </c>
      <c r="P247" s="2" t="s">
        <v>48</v>
      </c>
      <c r="Q247" s="2" t="s">
        <v>100</v>
      </c>
      <c r="R247" s="2" t="s">
        <v>101</v>
      </c>
      <c r="S247" s="2" t="s">
        <v>449</v>
      </c>
      <c r="T247" s="2" t="s">
        <v>72</v>
      </c>
      <c r="U247" s="2" t="s">
        <v>290</v>
      </c>
      <c r="V247" s="2" t="s">
        <v>65</v>
      </c>
      <c r="W247" s="2" t="s">
        <v>1503</v>
      </c>
      <c r="X247" s="2" t="s">
        <v>412</v>
      </c>
      <c r="Y247" s="2" t="s">
        <v>428</v>
      </c>
      <c r="Z247" s="2" t="s">
        <v>53</v>
      </c>
      <c r="AA247" s="2" t="s">
        <v>39</v>
      </c>
      <c r="AB247" s="2" t="s">
        <v>414</v>
      </c>
    </row>
    <row r="248" spans="1:28" hidden="1" x14ac:dyDescent="0.2">
      <c r="A248" s="2" t="s">
        <v>427</v>
      </c>
      <c r="B248" s="3">
        <v>44068</v>
      </c>
      <c r="C248" s="2" t="s">
        <v>1499</v>
      </c>
      <c r="D248" s="2" t="s">
        <v>91</v>
      </c>
      <c r="E248" s="2" t="s">
        <v>350</v>
      </c>
      <c r="F248" s="2" t="s">
        <v>351</v>
      </c>
      <c r="G248" s="2" t="s">
        <v>1504</v>
      </c>
      <c r="H248" s="2" t="s">
        <v>1505</v>
      </c>
      <c r="I248" s="2" t="s">
        <v>1506</v>
      </c>
      <c r="J248" s="2" t="s">
        <v>58</v>
      </c>
      <c r="K248" s="2" t="s">
        <v>1415</v>
      </c>
      <c r="L248" s="2" t="s">
        <v>1269</v>
      </c>
      <c r="M248" s="3">
        <v>44066</v>
      </c>
      <c r="N248" s="3">
        <v>44096</v>
      </c>
      <c r="O248" s="4">
        <v>51.061999999999998</v>
      </c>
      <c r="P248" s="2" t="s">
        <v>48</v>
      </c>
      <c r="Q248" s="2" t="s">
        <v>100</v>
      </c>
      <c r="R248" s="2" t="s">
        <v>101</v>
      </c>
      <c r="S248" s="2" t="s">
        <v>449</v>
      </c>
      <c r="T248" s="2" t="s">
        <v>72</v>
      </c>
      <c r="U248" s="2" t="s">
        <v>290</v>
      </c>
      <c r="V248" s="2" t="s">
        <v>65</v>
      </c>
      <c r="W248" s="2" t="s">
        <v>1507</v>
      </c>
      <c r="X248" s="2" t="s">
        <v>412</v>
      </c>
      <c r="Y248" s="2" t="s">
        <v>443</v>
      </c>
      <c r="Z248" s="2" t="s">
        <v>53</v>
      </c>
      <c r="AA248" s="2" t="s">
        <v>39</v>
      </c>
      <c r="AB248" s="2" t="s">
        <v>414</v>
      </c>
    </row>
    <row r="249" spans="1:28" hidden="1" x14ac:dyDescent="0.2">
      <c r="A249" s="2" t="s">
        <v>410</v>
      </c>
      <c r="B249" s="3">
        <v>44073</v>
      </c>
      <c r="C249" s="2" t="s">
        <v>1508</v>
      </c>
      <c r="D249" s="2" t="s">
        <v>54</v>
      </c>
      <c r="E249" s="2" t="s">
        <v>879</v>
      </c>
      <c r="F249" s="2" t="s">
        <v>880</v>
      </c>
      <c r="G249" s="2" t="s">
        <v>1509</v>
      </c>
      <c r="H249" s="2" t="s">
        <v>1510</v>
      </c>
      <c r="I249" s="2" t="s">
        <v>883</v>
      </c>
      <c r="J249" s="2" t="s">
        <v>83</v>
      </c>
      <c r="K249" s="2" t="s">
        <v>727</v>
      </c>
      <c r="L249" s="2" t="s">
        <v>1269</v>
      </c>
      <c r="M249" s="3">
        <v>44072</v>
      </c>
      <c r="N249" s="3">
        <v>44089</v>
      </c>
      <c r="O249" s="4">
        <v>161.28</v>
      </c>
      <c r="P249" s="2" t="s">
        <v>492</v>
      </c>
      <c r="Q249" s="2" t="s">
        <v>105</v>
      </c>
      <c r="R249" s="2" t="s">
        <v>106</v>
      </c>
      <c r="S249" s="2" t="s">
        <v>466</v>
      </c>
      <c r="T249" s="2" t="s">
        <v>87</v>
      </c>
      <c r="U249" s="2" t="s">
        <v>290</v>
      </c>
      <c r="V249" s="2" t="s">
        <v>43</v>
      </c>
      <c r="W249" s="2" t="s">
        <v>1511</v>
      </c>
      <c r="X249" s="2" t="s">
        <v>412</v>
      </c>
      <c r="Y249" s="2" t="s">
        <v>1240</v>
      </c>
      <c r="Z249" s="2" t="s">
        <v>1512</v>
      </c>
      <c r="AA249" s="2" t="s">
        <v>39</v>
      </c>
      <c r="AB249" s="2" t="s">
        <v>414</v>
      </c>
    </row>
    <row r="250" spans="1:28" hidden="1" x14ac:dyDescent="0.2">
      <c r="A250" s="2" t="s">
        <v>427</v>
      </c>
      <c r="B250" s="3">
        <v>44068</v>
      </c>
      <c r="C250" s="2" t="s">
        <v>1513</v>
      </c>
      <c r="D250" s="2" t="s">
        <v>62</v>
      </c>
      <c r="E250" s="2" t="s">
        <v>217</v>
      </c>
      <c r="F250" s="2" t="s">
        <v>218</v>
      </c>
      <c r="G250" s="2" t="s">
        <v>1514</v>
      </c>
      <c r="H250" s="2" t="s">
        <v>1515</v>
      </c>
      <c r="I250" s="2" t="s">
        <v>77</v>
      </c>
      <c r="J250" s="2" t="s">
        <v>32</v>
      </c>
      <c r="K250" s="2" t="s">
        <v>574</v>
      </c>
      <c r="L250" s="2" t="s">
        <v>1516</v>
      </c>
      <c r="M250" s="3">
        <v>44067</v>
      </c>
      <c r="N250" s="3">
        <v>44101</v>
      </c>
      <c r="O250" s="4">
        <v>496.8</v>
      </c>
      <c r="P250" s="2" t="s">
        <v>48</v>
      </c>
      <c r="Q250" s="2" t="s">
        <v>34</v>
      </c>
      <c r="R250" s="2" t="s">
        <v>35</v>
      </c>
      <c r="S250" s="2" t="s">
        <v>428</v>
      </c>
      <c r="T250" s="2" t="s">
        <v>36</v>
      </c>
      <c r="U250" s="2" t="s">
        <v>290</v>
      </c>
      <c r="V250" s="2" t="s">
        <v>52</v>
      </c>
      <c r="W250" s="2" t="s">
        <v>1517</v>
      </c>
      <c r="X250" s="2" t="s">
        <v>412</v>
      </c>
      <c r="Y250" s="2" t="s">
        <v>429</v>
      </c>
      <c r="Z250" s="2" t="s">
        <v>412</v>
      </c>
      <c r="AA250" s="2" t="s">
        <v>39</v>
      </c>
      <c r="AB250" s="2" t="s">
        <v>414</v>
      </c>
    </row>
    <row r="251" spans="1:28" hidden="1" x14ac:dyDescent="0.2">
      <c r="A251" s="2" t="s">
        <v>431</v>
      </c>
      <c r="B251" s="3">
        <v>44063</v>
      </c>
      <c r="C251" s="2" t="s">
        <v>1518</v>
      </c>
      <c r="D251" s="2" t="s">
        <v>62</v>
      </c>
      <c r="E251" s="2" t="s">
        <v>217</v>
      </c>
      <c r="F251" s="2" t="s">
        <v>218</v>
      </c>
      <c r="G251" s="2" t="s">
        <v>1519</v>
      </c>
      <c r="H251" s="2" t="s">
        <v>1520</v>
      </c>
      <c r="I251" s="2" t="s">
        <v>31</v>
      </c>
      <c r="J251" s="2" t="s">
        <v>32</v>
      </c>
      <c r="K251" s="2" t="s">
        <v>1521</v>
      </c>
      <c r="L251" s="2" t="s">
        <v>1522</v>
      </c>
      <c r="M251" s="3">
        <v>44068</v>
      </c>
      <c r="N251" s="3">
        <v>44081</v>
      </c>
      <c r="O251" s="4">
        <v>487.68</v>
      </c>
      <c r="P251" s="2" t="s">
        <v>33</v>
      </c>
      <c r="Q251" s="2" t="s">
        <v>34</v>
      </c>
      <c r="R251" s="2" t="s">
        <v>35</v>
      </c>
      <c r="S251" s="2" t="s">
        <v>428</v>
      </c>
      <c r="T251" s="2" t="s">
        <v>36</v>
      </c>
      <c r="U251" s="2" t="s">
        <v>290</v>
      </c>
      <c r="V251" s="2" t="s">
        <v>43</v>
      </c>
      <c r="W251" s="2" t="s">
        <v>1523</v>
      </c>
      <c r="X251" s="2" t="s">
        <v>412</v>
      </c>
      <c r="Y251" s="2" t="s">
        <v>429</v>
      </c>
      <c r="Z251" s="2" t="s">
        <v>412</v>
      </c>
      <c r="AA251" s="2" t="s">
        <v>39</v>
      </c>
      <c r="AB251" s="2" t="s">
        <v>414</v>
      </c>
    </row>
    <row r="252" spans="1:28" hidden="1" x14ac:dyDescent="0.2">
      <c r="A252" s="2" t="s">
        <v>410</v>
      </c>
      <c r="B252" s="3">
        <v>44073</v>
      </c>
      <c r="C252" s="2" t="s">
        <v>1524</v>
      </c>
      <c r="D252" s="2" t="s">
        <v>91</v>
      </c>
      <c r="E252" s="2" t="s">
        <v>107</v>
      </c>
      <c r="F252" s="2" t="s">
        <v>108</v>
      </c>
      <c r="G252" s="2" t="s">
        <v>1525</v>
      </c>
      <c r="H252" s="2" t="s">
        <v>1526</v>
      </c>
      <c r="I252" s="2" t="s">
        <v>31</v>
      </c>
      <c r="J252" s="2" t="s">
        <v>32</v>
      </c>
      <c r="K252" s="2" t="s">
        <v>177</v>
      </c>
      <c r="L252" s="2" t="s">
        <v>1527</v>
      </c>
      <c r="M252" s="3">
        <v>44068</v>
      </c>
      <c r="N252" s="3">
        <v>44098</v>
      </c>
      <c r="O252" s="4">
        <v>202.86</v>
      </c>
      <c r="P252" s="2" t="s">
        <v>84</v>
      </c>
      <c r="Q252" s="2" t="s">
        <v>105</v>
      </c>
      <c r="R252" s="2" t="s">
        <v>106</v>
      </c>
      <c r="S252" s="2" t="s">
        <v>422</v>
      </c>
      <c r="T252" s="2" t="s">
        <v>87</v>
      </c>
      <c r="U252" s="2" t="s">
        <v>290</v>
      </c>
      <c r="V252" s="2" t="s">
        <v>88</v>
      </c>
      <c r="W252" s="2" t="s">
        <v>1528</v>
      </c>
      <c r="X252" s="2" t="s">
        <v>412</v>
      </c>
      <c r="Y252" s="2" t="s">
        <v>424</v>
      </c>
      <c r="Z252" s="2" t="s">
        <v>1529</v>
      </c>
      <c r="AA252" s="2" t="s">
        <v>109</v>
      </c>
      <c r="AB252" s="2" t="s">
        <v>414</v>
      </c>
    </row>
    <row r="253" spans="1:28" hidden="1" x14ac:dyDescent="0.2">
      <c r="A253" s="2" t="s">
        <v>410</v>
      </c>
      <c r="B253" s="3">
        <v>44073</v>
      </c>
      <c r="C253" s="2" t="s">
        <v>1524</v>
      </c>
      <c r="D253" s="2" t="s">
        <v>28</v>
      </c>
      <c r="E253" s="2" t="s">
        <v>98</v>
      </c>
      <c r="F253" s="2" t="s">
        <v>205</v>
      </c>
      <c r="G253" s="2" t="s">
        <v>1530</v>
      </c>
      <c r="H253" s="2" t="s">
        <v>1531</v>
      </c>
      <c r="I253" s="2" t="s">
        <v>99</v>
      </c>
      <c r="J253" s="2" t="s">
        <v>32</v>
      </c>
      <c r="K253" s="2" t="s">
        <v>177</v>
      </c>
      <c r="L253" s="2" t="s">
        <v>1527</v>
      </c>
      <c r="M253" s="3">
        <v>44068</v>
      </c>
      <c r="N253" s="3">
        <v>44091</v>
      </c>
      <c r="O253" s="4">
        <v>502.12799999999999</v>
      </c>
      <c r="P253" s="2" t="s">
        <v>84</v>
      </c>
      <c r="Q253" s="2" t="s">
        <v>34</v>
      </c>
      <c r="R253" s="2" t="s">
        <v>35</v>
      </c>
      <c r="S253" s="2" t="s">
        <v>443</v>
      </c>
      <c r="T253" s="2" t="s">
        <v>87</v>
      </c>
      <c r="U253" s="2" t="s">
        <v>290</v>
      </c>
      <c r="V253" s="2" t="s">
        <v>88</v>
      </c>
      <c r="W253" s="2" t="s">
        <v>1532</v>
      </c>
      <c r="X253" s="2" t="s">
        <v>412</v>
      </c>
      <c r="Y253" s="2" t="s">
        <v>463</v>
      </c>
      <c r="Z253" s="2" t="s">
        <v>412</v>
      </c>
      <c r="AA253" s="2" t="s">
        <v>39</v>
      </c>
      <c r="AB253" s="2" t="s">
        <v>414</v>
      </c>
    </row>
    <row r="254" spans="1:28" hidden="1" x14ac:dyDescent="0.2">
      <c r="A254" s="2" t="s">
        <v>410</v>
      </c>
      <c r="B254" s="3">
        <v>44073</v>
      </c>
      <c r="C254" s="2" t="s">
        <v>1524</v>
      </c>
      <c r="D254" s="2" t="s">
        <v>28</v>
      </c>
      <c r="E254" s="2" t="s">
        <v>29</v>
      </c>
      <c r="F254" s="2" t="s">
        <v>41</v>
      </c>
      <c r="G254" s="2" t="s">
        <v>1533</v>
      </c>
      <c r="H254" s="2" t="s">
        <v>1534</v>
      </c>
      <c r="I254" s="2" t="s">
        <v>31</v>
      </c>
      <c r="J254" s="2" t="s">
        <v>32</v>
      </c>
      <c r="K254" s="2" t="s">
        <v>177</v>
      </c>
      <c r="L254" s="2" t="s">
        <v>1527</v>
      </c>
      <c r="M254" s="3">
        <v>44068</v>
      </c>
      <c r="N254" s="3">
        <v>44091</v>
      </c>
      <c r="O254" s="4">
        <v>493.92</v>
      </c>
      <c r="P254" s="2" t="s">
        <v>84</v>
      </c>
      <c r="Q254" s="2" t="s">
        <v>34</v>
      </c>
      <c r="R254" s="2" t="s">
        <v>35</v>
      </c>
      <c r="S254" s="2" t="s">
        <v>435</v>
      </c>
      <c r="T254" s="2" t="s">
        <v>87</v>
      </c>
      <c r="U254" s="2" t="s">
        <v>290</v>
      </c>
      <c r="V254" s="2" t="s">
        <v>88</v>
      </c>
      <c r="W254" s="2" t="s">
        <v>1535</v>
      </c>
      <c r="X254" s="2" t="s">
        <v>412</v>
      </c>
      <c r="Y254" s="2" t="s">
        <v>436</v>
      </c>
      <c r="Z254" s="2" t="s">
        <v>412</v>
      </c>
      <c r="AA254" s="2" t="s">
        <v>39</v>
      </c>
      <c r="AB254" s="2" t="s">
        <v>414</v>
      </c>
    </row>
    <row r="255" spans="1:28" hidden="1" x14ac:dyDescent="0.2">
      <c r="A255" s="2" t="s">
        <v>410</v>
      </c>
      <c r="B255" s="3">
        <v>44073</v>
      </c>
      <c r="C255" s="2" t="s">
        <v>1524</v>
      </c>
      <c r="D255" s="2" t="s">
        <v>152</v>
      </c>
      <c r="E255" s="2" t="s">
        <v>508</v>
      </c>
      <c r="F255" s="2" t="s">
        <v>509</v>
      </c>
      <c r="G255" s="2" t="s">
        <v>1536</v>
      </c>
      <c r="H255" s="2" t="s">
        <v>1537</v>
      </c>
      <c r="I255" s="2" t="s">
        <v>94</v>
      </c>
      <c r="J255" s="2" t="s">
        <v>95</v>
      </c>
      <c r="K255" s="2" t="s">
        <v>177</v>
      </c>
      <c r="L255" s="2" t="s">
        <v>1527</v>
      </c>
      <c r="M255" s="3">
        <v>44068</v>
      </c>
      <c r="N255" s="3">
        <v>44098</v>
      </c>
      <c r="O255" s="4">
        <v>191.21600000000001</v>
      </c>
      <c r="P255" s="2" t="s">
        <v>84</v>
      </c>
      <c r="Q255" s="2" t="s">
        <v>49</v>
      </c>
      <c r="R255" s="2" t="s">
        <v>50</v>
      </c>
      <c r="S255" s="2" t="s">
        <v>420</v>
      </c>
      <c r="T255" s="2" t="s">
        <v>87</v>
      </c>
      <c r="U255" s="2" t="s">
        <v>290</v>
      </c>
      <c r="V255" s="2" t="s">
        <v>88</v>
      </c>
      <c r="W255" s="2" t="s">
        <v>1538</v>
      </c>
      <c r="X255" s="2" t="s">
        <v>412</v>
      </c>
      <c r="Y255" s="2" t="s">
        <v>464</v>
      </c>
      <c r="Z255" s="2" t="s">
        <v>996</v>
      </c>
      <c r="AA255" s="2" t="s">
        <v>39</v>
      </c>
      <c r="AB255" s="2" t="s">
        <v>414</v>
      </c>
    </row>
    <row r="256" spans="1:28" hidden="1" x14ac:dyDescent="0.2">
      <c r="A256" s="2" t="s">
        <v>410</v>
      </c>
      <c r="B256" s="3">
        <v>44073</v>
      </c>
      <c r="C256" s="2" t="s">
        <v>1524</v>
      </c>
      <c r="D256" s="2" t="s">
        <v>91</v>
      </c>
      <c r="E256" s="2" t="s">
        <v>92</v>
      </c>
      <c r="F256" s="2" t="s">
        <v>93</v>
      </c>
      <c r="G256" s="2" t="s">
        <v>1539</v>
      </c>
      <c r="H256" s="2" t="s">
        <v>1540</v>
      </c>
      <c r="I256" s="2" t="s">
        <v>714</v>
      </c>
      <c r="J256" s="2" t="s">
        <v>95</v>
      </c>
      <c r="K256" s="2" t="s">
        <v>177</v>
      </c>
      <c r="L256" s="2" t="s">
        <v>1527</v>
      </c>
      <c r="M256" s="3">
        <v>44068</v>
      </c>
      <c r="N256" s="3">
        <v>44096</v>
      </c>
      <c r="O256" s="4">
        <v>196</v>
      </c>
      <c r="P256" s="2" t="s">
        <v>84</v>
      </c>
      <c r="Q256" s="2" t="s">
        <v>96</v>
      </c>
      <c r="R256" s="2" t="s">
        <v>97</v>
      </c>
      <c r="S256" s="2" t="s">
        <v>420</v>
      </c>
      <c r="T256" s="2" t="s">
        <v>87</v>
      </c>
      <c r="U256" s="2" t="s">
        <v>290</v>
      </c>
      <c r="V256" s="2" t="s">
        <v>88</v>
      </c>
      <c r="W256" s="2" t="s">
        <v>1541</v>
      </c>
      <c r="X256" s="2" t="s">
        <v>412</v>
      </c>
      <c r="Y256" s="2" t="s">
        <v>479</v>
      </c>
      <c r="Z256" s="2" t="s">
        <v>412</v>
      </c>
      <c r="AA256" s="2" t="s">
        <v>39</v>
      </c>
      <c r="AB256" s="2" t="s">
        <v>414</v>
      </c>
    </row>
    <row r="257" spans="1:28" hidden="1" x14ac:dyDescent="0.2">
      <c r="A257" s="2" t="s">
        <v>410</v>
      </c>
      <c r="B257" s="3">
        <v>44073</v>
      </c>
      <c r="C257" s="2" t="s">
        <v>1524</v>
      </c>
      <c r="D257" s="2" t="s">
        <v>91</v>
      </c>
      <c r="E257" s="2" t="s">
        <v>92</v>
      </c>
      <c r="F257" s="2" t="s">
        <v>93</v>
      </c>
      <c r="G257" s="2" t="s">
        <v>1542</v>
      </c>
      <c r="H257" s="2" t="s">
        <v>1543</v>
      </c>
      <c r="I257" s="2" t="s">
        <v>714</v>
      </c>
      <c r="J257" s="2" t="s">
        <v>95</v>
      </c>
      <c r="K257" s="2" t="s">
        <v>177</v>
      </c>
      <c r="L257" s="2" t="s">
        <v>1527</v>
      </c>
      <c r="M257" s="3">
        <v>44068</v>
      </c>
      <c r="N257" s="3">
        <v>44096</v>
      </c>
      <c r="O257" s="4">
        <v>196</v>
      </c>
      <c r="P257" s="2" t="s">
        <v>84</v>
      </c>
      <c r="Q257" s="2" t="s">
        <v>96</v>
      </c>
      <c r="R257" s="2" t="s">
        <v>97</v>
      </c>
      <c r="S257" s="2" t="s">
        <v>420</v>
      </c>
      <c r="T257" s="2" t="s">
        <v>87</v>
      </c>
      <c r="U257" s="2" t="s">
        <v>290</v>
      </c>
      <c r="V257" s="2" t="s">
        <v>88</v>
      </c>
      <c r="W257" s="2" t="s">
        <v>1544</v>
      </c>
      <c r="X257" s="2" t="s">
        <v>412</v>
      </c>
      <c r="Y257" s="2" t="s">
        <v>479</v>
      </c>
      <c r="Z257" s="2" t="s">
        <v>412</v>
      </c>
      <c r="AA257" s="2" t="s">
        <v>39</v>
      </c>
      <c r="AB257" s="2" t="s">
        <v>414</v>
      </c>
    </row>
    <row r="258" spans="1:28" hidden="1" x14ac:dyDescent="0.2">
      <c r="A258" s="2" t="s">
        <v>427</v>
      </c>
      <c r="B258" s="3">
        <v>44073</v>
      </c>
      <c r="C258" s="2" t="s">
        <v>1545</v>
      </c>
      <c r="D258" s="2" t="s">
        <v>91</v>
      </c>
      <c r="E258" s="2" t="s">
        <v>728</v>
      </c>
      <c r="F258" s="2" t="s">
        <v>729</v>
      </c>
      <c r="G258" s="2" t="s">
        <v>1546</v>
      </c>
      <c r="H258" s="2" t="s">
        <v>1547</v>
      </c>
      <c r="I258" s="2" t="s">
        <v>730</v>
      </c>
      <c r="J258" s="2" t="s">
        <v>58</v>
      </c>
      <c r="K258" s="2" t="s">
        <v>133</v>
      </c>
      <c r="L258" s="2" t="s">
        <v>954</v>
      </c>
      <c r="M258" s="3">
        <v>44068</v>
      </c>
      <c r="N258" s="3">
        <v>44117</v>
      </c>
      <c r="O258" s="4">
        <v>257.18</v>
      </c>
      <c r="P258" s="2" t="s">
        <v>48</v>
      </c>
      <c r="Q258" s="2" t="s">
        <v>731</v>
      </c>
      <c r="R258" s="2" t="s">
        <v>732</v>
      </c>
      <c r="S258" s="2" t="s">
        <v>416</v>
      </c>
      <c r="T258" s="2" t="s">
        <v>72</v>
      </c>
      <c r="U258" s="2" t="s">
        <v>290</v>
      </c>
      <c r="V258" s="2" t="s">
        <v>65</v>
      </c>
      <c r="W258" s="2" t="s">
        <v>1548</v>
      </c>
      <c r="X258" s="2" t="s">
        <v>412</v>
      </c>
      <c r="Y258" s="2" t="s">
        <v>595</v>
      </c>
      <c r="Z258" s="2" t="s">
        <v>412</v>
      </c>
      <c r="AA258" s="2" t="s">
        <v>733</v>
      </c>
      <c r="AB258" s="2" t="s">
        <v>414</v>
      </c>
    </row>
    <row r="259" spans="1:28" hidden="1" x14ac:dyDescent="0.2">
      <c r="A259" s="2" t="s">
        <v>427</v>
      </c>
      <c r="B259" s="3">
        <v>44073</v>
      </c>
      <c r="C259" s="2" t="s">
        <v>1545</v>
      </c>
      <c r="D259" s="2" t="s">
        <v>91</v>
      </c>
      <c r="E259" s="2" t="s">
        <v>728</v>
      </c>
      <c r="F259" s="2" t="s">
        <v>729</v>
      </c>
      <c r="G259" s="2" t="s">
        <v>1549</v>
      </c>
      <c r="H259" s="2" t="s">
        <v>1550</v>
      </c>
      <c r="I259" s="2" t="s">
        <v>1551</v>
      </c>
      <c r="J259" s="2" t="s">
        <v>58</v>
      </c>
      <c r="K259" s="2" t="s">
        <v>133</v>
      </c>
      <c r="L259" s="2" t="s">
        <v>954</v>
      </c>
      <c r="M259" s="3">
        <v>44068</v>
      </c>
      <c r="N259" s="3">
        <v>44117</v>
      </c>
      <c r="O259" s="4">
        <v>152.22</v>
      </c>
      <c r="P259" s="2" t="s">
        <v>48</v>
      </c>
      <c r="Q259" s="2" t="s">
        <v>731</v>
      </c>
      <c r="R259" s="2" t="s">
        <v>732</v>
      </c>
      <c r="S259" s="2" t="s">
        <v>465</v>
      </c>
      <c r="T259" s="2" t="s">
        <v>72</v>
      </c>
      <c r="U259" s="2" t="s">
        <v>290</v>
      </c>
      <c r="V259" s="2" t="s">
        <v>65</v>
      </c>
      <c r="W259" s="2" t="s">
        <v>1552</v>
      </c>
      <c r="X259" s="2" t="s">
        <v>412</v>
      </c>
      <c r="Y259" s="2" t="s">
        <v>529</v>
      </c>
      <c r="Z259" s="2" t="s">
        <v>412</v>
      </c>
      <c r="AA259" s="2" t="s">
        <v>733</v>
      </c>
      <c r="AB259" s="2" t="s">
        <v>414</v>
      </c>
    </row>
    <row r="260" spans="1:28" hidden="1" x14ac:dyDescent="0.2">
      <c r="A260" s="2" t="s">
        <v>431</v>
      </c>
      <c r="B260" s="3">
        <v>44073</v>
      </c>
      <c r="C260" s="2" t="s">
        <v>1553</v>
      </c>
      <c r="D260" s="2" t="s">
        <v>28</v>
      </c>
      <c r="E260" s="2" t="s">
        <v>129</v>
      </c>
      <c r="F260" s="2" t="s">
        <v>358</v>
      </c>
      <c r="G260" s="2" t="s">
        <v>1554</v>
      </c>
      <c r="H260" s="2" t="s">
        <v>1555</v>
      </c>
      <c r="I260" s="2" t="s">
        <v>359</v>
      </c>
      <c r="J260" s="2" t="s">
        <v>58</v>
      </c>
      <c r="K260" s="2" t="s">
        <v>1556</v>
      </c>
      <c r="L260" s="2" t="s">
        <v>1557</v>
      </c>
      <c r="M260" s="3">
        <v>44068</v>
      </c>
      <c r="N260" s="3">
        <v>44098</v>
      </c>
      <c r="O260" s="4">
        <v>153.714</v>
      </c>
      <c r="P260" s="2" t="s">
        <v>33</v>
      </c>
      <c r="Q260" s="2" t="s">
        <v>263</v>
      </c>
      <c r="R260" s="2" t="s">
        <v>360</v>
      </c>
      <c r="S260" s="2" t="s">
        <v>465</v>
      </c>
      <c r="T260" s="2" t="s">
        <v>72</v>
      </c>
      <c r="U260" s="2" t="s">
        <v>290</v>
      </c>
      <c r="V260" s="2" t="s">
        <v>88</v>
      </c>
      <c r="W260" s="2" t="s">
        <v>1558</v>
      </c>
      <c r="X260" s="2" t="s">
        <v>412</v>
      </c>
      <c r="Y260" s="2" t="s">
        <v>475</v>
      </c>
      <c r="Z260" s="2" t="s">
        <v>1559</v>
      </c>
      <c r="AA260" s="2" t="s">
        <v>39</v>
      </c>
      <c r="AB260" s="2" t="s">
        <v>414</v>
      </c>
    </row>
    <row r="261" spans="1:28" hidden="1" x14ac:dyDescent="0.2">
      <c r="A261" s="2" t="s">
        <v>431</v>
      </c>
      <c r="B261" s="3">
        <v>44073</v>
      </c>
      <c r="C261" s="2" t="s">
        <v>1553</v>
      </c>
      <c r="D261" s="2" t="s">
        <v>28</v>
      </c>
      <c r="E261" s="2" t="s">
        <v>129</v>
      </c>
      <c r="F261" s="2" t="s">
        <v>358</v>
      </c>
      <c r="G261" s="2" t="s">
        <v>1560</v>
      </c>
      <c r="H261" s="2" t="s">
        <v>1561</v>
      </c>
      <c r="I261" s="2" t="s">
        <v>361</v>
      </c>
      <c r="J261" s="2" t="s">
        <v>58</v>
      </c>
      <c r="K261" s="2" t="s">
        <v>1556</v>
      </c>
      <c r="L261" s="2" t="s">
        <v>1557</v>
      </c>
      <c r="M261" s="3">
        <v>44068</v>
      </c>
      <c r="N261" s="3">
        <v>44098</v>
      </c>
      <c r="O261" s="4">
        <v>104.72</v>
      </c>
      <c r="P261" s="2" t="s">
        <v>33</v>
      </c>
      <c r="Q261" s="2" t="s">
        <v>263</v>
      </c>
      <c r="R261" s="2" t="s">
        <v>360</v>
      </c>
      <c r="S261" s="2" t="s">
        <v>419</v>
      </c>
      <c r="T261" s="2" t="s">
        <v>362</v>
      </c>
      <c r="U261" s="2" t="s">
        <v>290</v>
      </c>
      <c r="V261" s="2" t="s">
        <v>88</v>
      </c>
      <c r="W261" s="2" t="s">
        <v>1562</v>
      </c>
      <c r="X261" s="2" t="s">
        <v>412</v>
      </c>
      <c r="Y261" s="2" t="s">
        <v>454</v>
      </c>
      <c r="Z261" s="2" t="s">
        <v>1559</v>
      </c>
      <c r="AA261" s="2" t="s">
        <v>39</v>
      </c>
      <c r="AB261" s="2" t="s">
        <v>414</v>
      </c>
    </row>
    <row r="262" spans="1:28" hidden="1" x14ac:dyDescent="0.2">
      <c r="A262" s="2" t="s">
        <v>431</v>
      </c>
      <c r="B262" s="3">
        <v>44073</v>
      </c>
      <c r="C262" s="2" t="s">
        <v>1553</v>
      </c>
      <c r="D262" s="2" t="s">
        <v>66</v>
      </c>
      <c r="E262" s="2" t="s">
        <v>261</v>
      </c>
      <c r="F262" s="2" t="s">
        <v>262</v>
      </c>
      <c r="G262" s="2" t="s">
        <v>1563</v>
      </c>
      <c r="H262" s="2" t="s">
        <v>1564</v>
      </c>
      <c r="I262" s="2" t="s">
        <v>520</v>
      </c>
      <c r="J262" s="2" t="s">
        <v>58</v>
      </c>
      <c r="K262" s="2" t="s">
        <v>1556</v>
      </c>
      <c r="L262" s="2" t="s">
        <v>1557</v>
      </c>
      <c r="M262" s="3">
        <v>44068</v>
      </c>
      <c r="N262" s="3">
        <v>44098</v>
      </c>
      <c r="O262" s="4">
        <v>52.514000000000003</v>
      </c>
      <c r="P262" s="2" t="s">
        <v>33</v>
      </c>
      <c r="Q262" s="2" t="s">
        <v>263</v>
      </c>
      <c r="R262" s="2" t="s">
        <v>264</v>
      </c>
      <c r="S262" s="2" t="s">
        <v>449</v>
      </c>
      <c r="T262" s="2" t="s">
        <v>362</v>
      </c>
      <c r="U262" s="2" t="s">
        <v>290</v>
      </c>
      <c r="V262" s="2" t="s">
        <v>88</v>
      </c>
      <c r="W262" s="2" t="s">
        <v>1565</v>
      </c>
      <c r="X262" s="2" t="s">
        <v>412</v>
      </c>
      <c r="Y262" s="2" t="s">
        <v>443</v>
      </c>
      <c r="Z262" s="2" t="s">
        <v>1566</v>
      </c>
      <c r="AA262" s="2" t="s">
        <v>39</v>
      </c>
      <c r="AB262" s="2" t="s">
        <v>414</v>
      </c>
    </row>
    <row r="263" spans="1:28" hidden="1" x14ac:dyDescent="0.2">
      <c r="A263" s="2" t="s">
        <v>470</v>
      </c>
      <c r="B263" s="3">
        <v>44073</v>
      </c>
      <c r="C263" s="2" t="s">
        <v>1567</v>
      </c>
      <c r="D263" s="2" t="s">
        <v>137</v>
      </c>
      <c r="E263" s="2" t="s">
        <v>138</v>
      </c>
      <c r="F263" s="2" t="s">
        <v>139</v>
      </c>
      <c r="G263" s="2" t="s">
        <v>1568</v>
      </c>
      <c r="H263" s="2" t="s">
        <v>1569</v>
      </c>
      <c r="I263" s="2" t="s">
        <v>846</v>
      </c>
      <c r="J263" s="2" t="s">
        <v>32</v>
      </c>
      <c r="K263" s="2" t="s">
        <v>409</v>
      </c>
      <c r="L263" s="2" t="s">
        <v>1570</v>
      </c>
      <c r="M263" s="3">
        <v>44069</v>
      </c>
      <c r="N263" s="3">
        <v>44100</v>
      </c>
      <c r="O263" s="4">
        <v>489.25</v>
      </c>
      <c r="P263" s="2" t="s">
        <v>224</v>
      </c>
      <c r="Q263" s="2" t="s">
        <v>34</v>
      </c>
      <c r="R263" s="2" t="s">
        <v>35</v>
      </c>
      <c r="S263" s="2" t="s">
        <v>432</v>
      </c>
      <c r="T263" s="2" t="s">
        <v>87</v>
      </c>
      <c r="U263" s="2" t="s">
        <v>290</v>
      </c>
      <c r="V263" s="2" t="s">
        <v>88</v>
      </c>
      <c r="W263" s="2" t="s">
        <v>1571</v>
      </c>
      <c r="X263" s="2" t="s">
        <v>412</v>
      </c>
      <c r="Y263" s="2" t="s">
        <v>478</v>
      </c>
      <c r="Z263" s="2" t="s">
        <v>412</v>
      </c>
      <c r="AA263" s="2" t="s">
        <v>39</v>
      </c>
      <c r="AB263" s="2" t="s">
        <v>414</v>
      </c>
    </row>
    <row r="264" spans="1:28" hidden="1" x14ac:dyDescent="0.2">
      <c r="A264" s="2" t="s">
        <v>470</v>
      </c>
      <c r="B264" s="3">
        <v>44073</v>
      </c>
      <c r="C264" s="2" t="s">
        <v>1567</v>
      </c>
      <c r="D264" s="2" t="s">
        <v>137</v>
      </c>
      <c r="E264" s="2" t="s">
        <v>138</v>
      </c>
      <c r="F264" s="2" t="s">
        <v>139</v>
      </c>
      <c r="G264" s="2" t="s">
        <v>1572</v>
      </c>
      <c r="H264" s="2" t="s">
        <v>1573</v>
      </c>
      <c r="I264" s="2" t="s">
        <v>846</v>
      </c>
      <c r="J264" s="2" t="s">
        <v>32</v>
      </c>
      <c r="K264" s="2" t="s">
        <v>409</v>
      </c>
      <c r="L264" s="2" t="s">
        <v>1570</v>
      </c>
      <c r="M264" s="3">
        <v>44069</v>
      </c>
      <c r="N264" s="3">
        <v>44100</v>
      </c>
      <c r="O264" s="4">
        <v>508.82</v>
      </c>
      <c r="P264" s="2" t="s">
        <v>224</v>
      </c>
      <c r="Q264" s="2" t="s">
        <v>34</v>
      </c>
      <c r="R264" s="2" t="s">
        <v>35</v>
      </c>
      <c r="S264" s="2" t="s">
        <v>447</v>
      </c>
      <c r="T264" s="2" t="s">
        <v>87</v>
      </c>
      <c r="U264" s="2" t="s">
        <v>290</v>
      </c>
      <c r="V264" s="2" t="s">
        <v>88</v>
      </c>
      <c r="W264" s="2" t="s">
        <v>1574</v>
      </c>
      <c r="X264" s="2" t="s">
        <v>412</v>
      </c>
      <c r="Y264" s="2" t="s">
        <v>448</v>
      </c>
      <c r="Z264" s="2" t="s">
        <v>412</v>
      </c>
      <c r="AA264" s="2" t="s">
        <v>39</v>
      </c>
      <c r="AB264" s="2" t="s">
        <v>414</v>
      </c>
    </row>
    <row r="265" spans="1:28" hidden="1" x14ac:dyDescent="0.2">
      <c r="A265" s="2" t="s">
        <v>470</v>
      </c>
      <c r="B265" s="3">
        <v>44079</v>
      </c>
      <c r="C265" s="2" t="s">
        <v>1567</v>
      </c>
      <c r="D265" s="2" t="s">
        <v>152</v>
      </c>
      <c r="E265" s="2" t="s">
        <v>138</v>
      </c>
      <c r="F265" s="2" t="s">
        <v>265</v>
      </c>
      <c r="G265" s="2" t="s">
        <v>1575</v>
      </c>
      <c r="H265" s="2" t="s">
        <v>1576</v>
      </c>
      <c r="I265" s="2" t="s">
        <v>501</v>
      </c>
      <c r="J265" s="2" t="s">
        <v>47</v>
      </c>
      <c r="K265" s="2" t="s">
        <v>409</v>
      </c>
      <c r="L265" s="2" t="s">
        <v>1570</v>
      </c>
      <c r="M265" s="3">
        <v>44069</v>
      </c>
      <c r="N265" s="3">
        <v>44100</v>
      </c>
      <c r="O265" s="4">
        <v>113.712</v>
      </c>
      <c r="P265" s="2" t="s">
        <v>224</v>
      </c>
      <c r="Q265" s="2" t="s">
        <v>34</v>
      </c>
      <c r="R265" s="2" t="s">
        <v>266</v>
      </c>
      <c r="S265" s="2" t="s">
        <v>465</v>
      </c>
      <c r="T265" s="2" t="s">
        <v>87</v>
      </c>
      <c r="U265" s="2" t="s">
        <v>290</v>
      </c>
      <c r="V265" s="2" t="s">
        <v>88</v>
      </c>
      <c r="W265" s="2" t="s">
        <v>1577</v>
      </c>
      <c r="X265" s="2" t="s">
        <v>412</v>
      </c>
      <c r="Y265" s="2" t="s">
        <v>425</v>
      </c>
      <c r="Z265" s="2" t="s">
        <v>412</v>
      </c>
      <c r="AA265" s="2" t="s">
        <v>39</v>
      </c>
      <c r="AB265" s="2" t="s">
        <v>414</v>
      </c>
    </row>
    <row r="266" spans="1:28" hidden="1" x14ac:dyDescent="0.2">
      <c r="A266" s="2" t="s">
        <v>470</v>
      </c>
      <c r="B266" s="3">
        <v>44073</v>
      </c>
      <c r="C266" s="2" t="s">
        <v>1567</v>
      </c>
      <c r="D266" s="2" t="s">
        <v>28</v>
      </c>
      <c r="E266" s="2" t="s">
        <v>110</v>
      </c>
      <c r="F266" s="2" t="s">
        <v>111</v>
      </c>
      <c r="G266" s="2" t="s">
        <v>1578</v>
      </c>
      <c r="H266" s="2" t="s">
        <v>1579</v>
      </c>
      <c r="I266" s="2" t="s">
        <v>31</v>
      </c>
      <c r="J266" s="2" t="s">
        <v>32</v>
      </c>
      <c r="K266" s="2" t="s">
        <v>409</v>
      </c>
      <c r="L266" s="2" t="s">
        <v>1570</v>
      </c>
      <c r="M266" s="3">
        <v>44069</v>
      </c>
      <c r="N266" s="3">
        <v>44100</v>
      </c>
      <c r="O266" s="4">
        <v>508.82</v>
      </c>
      <c r="P266" s="2" t="s">
        <v>224</v>
      </c>
      <c r="Q266" s="2" t="s">
        <v>34</v>
      </c>
      <c r="R266" s="2" t="s">
        <v>35</v>
      </c>
      <c r="S266" s="2" t="s">
        <v>447</v>
      </c>
      <c r="T266" s="2" t="s">
        <v>87</v>
      </c>
      <c r="U266" s="2" t="s">
        <v>290</v>
      </c>
      <c r="V266" s="2" t="s">
        <v>88</v>
      </c>
      <c r="W266" s="2" t="s">
        <v>1580</v>
      </c>
      <c r="X266" s="2" t="s">
        <v>412</v>
      </c>
      <c r="Y266" s="2" t="s">
        <v>448</v>
      </c>
      <c r="Z266" s="2" t="s">
        <v>996</v>
      </c>
      <c r="AA266" s="2" t="s">
        <v>39</v>
      </c>
      <c r="AB266" s="2" t="s">
        <v>414</v>
      </c>
    </row>
    <row r="267" spans="1:28" hidden="1" x14ac:dyDescent="0.2">
      <c r="A267" s="2" t="s">
        <v>470</v>
      </c>
      <c r="B267" s="3">
        <v>44073</v>
      </c>
      <c r="C267" s="2" t="s">
        <v>1567</v>
      </c>
      <c r="D267" s="2" t="s">
        <v>28</v>
      </c>
      <c r="E267" s="2" t="s">
        <v>110</v>
      </c>
      <c r="F267" s="2" t="s">
        <v>111</v>
      </c>
      <c r="G267" s="2" t="s">
        <v>1581</v>
      </c>
      <c r="H267" s="2" t="s">
        <v>1582</v>
      </c>
      <c r="I267" s="2" t="s">
        <v>31</v>
      </c>
      <c r="J267" s="2" t="s">
        <v>32</v>
      </c>
      <c r="K267" s="2" t="s">
        <v>409</v>
      </c>
      <c r="L267" s="2" t="s">
        <v>1570</v>
      </c>
      <c r="M267" s="3">
        <v>44069</v>
      </c>
      <c r="N267" s="3">
        <v>44100</v>
      </c>
      <c r="O267" s="4">
        <v>508.82</v>
      </c>
      <c r="P267" s="2" t="s">
        <v>224</v>
      </c>
      <c r="Q267" s="2" t="s">
        <v>34</v>
      </c>
      <c r="R267" s="2" t="s">
        <v>35</v>
      </c>
      <c r="S267" s="2" t="s">
        <v>447</v>
      </c>
      <c r="T267" s="2" t="s">
        <v>87</v>
      </c>
      <c r="U267" s="2" t="s">
        <v>290</v>
      </c>
      <c r="V267" s="2" t="s">
        <v>88</v>
      </c>
      <c r="W267" s="2" t="s">
        <v>1583</v>
      </c>
      <c r="X267" s="2" t="s">
        <v>412</v>
      </c>
      <c r="Y267" s="2" t="s">
        <v>448</v>
      </c>
      <c r="Z267" s="2" t="s">
        <v>996</v>
      </c>
      <c r="AA267" s="2" t="s">
        <v>39</v>
      </c>
      <c r="AB267" s="2" t="s">
        <v>414</v>
      </c>
    </row>
    <row r="268" spans="1:28" hidden="1" x14ac:dyDescent="0.2">
      <c r="A268" s="2" t="s">
        <v>427</v>
      </c>
      <c r="B268" s="3">
        <v>44073</v>
      </c>
      <c r="C268" s="2" t="s">
        <v>1584</v>
      </c>
      <c r="D268" s="2" t="s">
        <v>74</v>
      </c>
      <c r="E268" s="2" t="s">
        <v>75</v>
      </c>
      <c r="F268" s="2" t="s">
        <v>966</v>
      </c>
      <c r="G268" s="2" t="s">
        <v>1585</v>
      </c>
      <c r="H268" s="2" t="s">
        <v>1586</v>
      </c>
      <c r="I268" s="2" t="s">
        <v>77</v>
      </c>
      <c r="J268" s="2" t="s">
        <v>32</v>
      </c>
      <c r="K268" s="2" t="s">
        <v>1587</v>
      </c>
      <c r="L268" s="2" t="s">
        <v>1588</v>
      </c>
      <c r="M268" s="3">
        <v>44069</v>
      </c>
      <c r="N268" s="3">
        <v>44116</v>
      </c>
      <c r="O268" s="4">
        <v>496.8</v>
      </c>
      <c r="P268" s="2" t="s">
        <v>48</v>
      </c>
      <c r="Q268" s="2" t="s">
        <v>149</v>
      </c>
      <c r="R268" s="2" t="s">
        <v>150</v>
      </c>
      <c r="S268" s="2" t="s">
        <v>428</v>
      </c>
      <c r="T268" s="2" t="s">
        <v>36</v>
      </c>
      <c r="U268" s="2" t="s">
        <v>290</v>
      </c>
      <c r="V268" s="2" t="s">
        <v>88</v>
      </c>
      <c r="W268" s="2" t="s">
        <v>1589</v>
      </c>
      <c r="X268" s="2" t="s">
        <v>412</v>
      </c>
      <c r="Y268" s="2" t="s">
        <v>429</v>
      </c>
      <c r="Z268" s="2" t="s">
        <v>412</v>
      </c>
      <c r="AA268" s="2" t="s">
        <v>39</v>
      </c>
      <c r="AB268" s="2" t="s">
        <v>414</v>
      </c>
    </row>
    <row r="269" spans="1:28" hidden="1" x14ac:dyDescent="0.2">
      <c r="A269" s="2" t="s">
        <v>427</v>
      </c>
      <c r="B269" s="3">
        <v>44073</v>
      </c>
      <c r="C269" s="2" t="s">
        <v>1584</v>
      </c>
      <c r="D269" s="2" t="s">
        <v>74</v>
      </c>
      <c r="E269" s="2" t="s">
        <v>75</v>
      </c>
      <c r="F269" s="2" t="s">
        <v>966</v>
      </c>
      <c r="G269" s="2" t="s">
        <v>1590</v>
      </c>
      <c r="H269" s="2" t="s">
        <v>1591</v>
      </c>
      <c r="I269" s="2" t="s">
        <v>77</v>
      </c>
      <c r="J269" s="2" t="s">
        <v>32</v>
      </c>
      <c r="K269" s="2" t="s">
        <v>1587</v>
      </c>
      <c r="L269" s="2" t="s">
        <v>1588</v>
      </c>
      <c r="M269" s="3">
        <v>44069</v>
      </c>
      <c r="N269" s="3">
        <v>44116</v>
      </c>
      <c r="O269" s="4">
        <v>496.8</v>
      </c>
      <c r="P269" s="2" t="s">
        <v>48</v>
      </c>
      <c r="Q269" s="2" t="s">
        <v>149</v>
      </c>
      <c r="R269" s="2" t="s">
        <v>150</v>
      </c>
      <c r="S269" s="2" t="s">
        <v>428</v>
      </c>
      <c r="T269" s="2" t="s">
        <v>36</v>
      </c>
      <c r="U269" s="2" t="s">
        <v>290</v>
      </c>
      <c r="V269" s="2" t="s">
        <v>88</v>
      </c>
      <c r="W269" s="2" t="s">
        <v>1592</v>
      </c>
      <c r="X269" s="2" t="s">
        <v>412</v>
      </c>
      <c r="Y269" s="2" t="s">
        <v>429</v>
      </c>
      <c r="Z269" s="2" t="s">
        <v>412</v>
      </c>
      <c r="AA269" s="2" t="s">
        <v>39</v>
      </c>
      <c r="AB269" s="2" t="s">
        <v>414</v>
      </c>
    </row>
    <row r="270" spans="1:28" hidden="1" x14ac:dyDescent="0.2">
      <c r="A270" s="2" t="s">
        <v>431</v>
      </c>
      <c r="B270" s="3">
        <v>44073</v>
      </c>
      <c r="C270" s="2" t="s">
        <v>1593</v>
      </c>
      <c r="D270" s="2" t="s">
        <v>28</v>
      </c>
      <c r="E270" s="2" t="s">
        <v>29</v>
      </c>
      <c r="F270" s="2" t="s">
        <v>41</v>
      </c>
      <c r="G270" s="2" t="s">
        <v>1594</v>
      </c>
      <c r="H270" s="2" t="s">
        <v>1595</v>
      </c>
      <c r="I270" s="2" t="s">
        <v>112</v>
      </c>
      <c r="J270" s="2" t="s">
        <v>32</v>
      </c>
      <c r="K270" s="2" t="s">
        <v>1300</v>
      </c>
      <c r="L270" s="2" t="s">
        <v>113</v>
      </c>
      <c r="M270" s="3">
        <v>44071</v>
      </c>
      <c r="N270" s="3">
        <v>44108</v>
      </c>
      <c r="O270" s="4">
        <v>500</v>
      </c>
      <c r="P270" s="2" t="s">
        <v>114</v>
      </c>
      <c r="Q270" s="2" t="s">
        <v>115</v>
      </c>
      <c r="R270" s="2" t="s">
        <v>116</v>
      </c>
      <c r="S270" s="2" t="s">
        <v>439</v>
      </c>
      <c r="T270" s="2" t="s">
        <v>117</v>
      </c>
      <c r="U270" s="2" t="s">
        <v>290</v>
      </c>
      <c r="V270" s="2" t="s">
        <v>118</v>
      </c>
      <c r="W270" s="2" t="s">
        <v>412</v>
      </c>
      <c r="X270" s="2" t="s">
        <v>412</v>
      </c>
      <c r="Y270" s="2" t="s">
        <v>440</v>
      </c>
      <c r="Z270" s="2" t="s">
        <v>412</v>
      </c>
      <c r="AA270" s="2" t="s">
        <v>39</v>
      </c>
      <c r="AB270" s="2" t="s">
        <v>441</v>
      </c>
    </row>
    <row r="271" spans="1:28" hidden="1" x14ac:dyDescent="0.2">
      <c r="A271" s="2" t="s">
        <v>431</v>
      </c>
      <c r="B271" s="3">
        <v>44048</v>
      </c>
      <c r="C271" s="2" t="s">
        <v>1593</v>
      </c>
      <c r="D271" s="2" t="s">
        <v>91</v>
      </c>
      <c r="E271" s="2" t="s">
        <v>191</v>
      </c>
      <c r="F271" s="2" t="s">
        <v>192</v>
      </c>
      <c r="G271" s="2" t="s">
        <v>1596</v>
      </c>
      <c r="H271" s="2" t="s">
        <v>1597</v>
      </c>
      <c r="I271" s="2" t="s">
        <v>112</v>
      </c>
      <c r="J271" s="2" t="s">
        <v>32</v>
      </c>
      <c r="K271" s="2" t="s">
        <v>1300</v>
      </c>
      <c r="L271" s="2" t="s">
        <v>113</v>
      </c>
      <c r="M271" s="3">
        <v>44071</v>
      </c>
      <c r="N271" s="3">
        <v>44093</v>
      </c>
      <c r="O271" s="4">
        <v>250</v>
      </c>
      <c r="P271" s="2" t="s">
        <v>114</v>
      </c>
      <c r="Q271" s="2" t="s">
        <v>182</v>
      </c>
      <c r="R271" s="2" t="s">
        <v>183</v>
      </c>
      <c r="S271" s="2" t="s">
        <v>439</v>
      </c>
      <c r="T271" s="2" t="s">
        <v>117</v>
      </c>
      <c r="U271" s="2" t="s">
        <v>290</v>
      </c>
      <c r="V271" s="2" t="s">
        <v>118</v>
      </c>
      <c r="W271" s="2" t="s">
        <v>412</v>
      </c>
      <c r="X271" s="2" t="s">
        <v>412</v>
      </c>
      <c r="Y271" s="2" t="s">
        <v>676</v>
      </c>
      <c r="Z271" s="2" t="s">
        <v>412</v>
      </c>
      <c r="AA271" s="2" t="s">
        <v>39</v>
      </c>
      <c r="AB271" s="2" t="s">
        <v>441</v>
      </c>
    </row>
    <row r="272" spans="1:28" hidden="1" x14ac:dyDescent="0.2">
      <c r="A272" s="2" t="s">
        <v>431</v>
      </c>
      <c r="B272" s="3">
        <v>44073</v>
      </c>
      <c r="C272" s="2" t="s">
        <v>1593</v>
      </c>
      <c r="D272" s="2" t="s">
        <v>28</v>
      </c>
      <c r="E272" s="2" t="s">
        <v>129</v>
      </c>
      <c r="F272" s="2" t="s">
        <v>346</v>
      </c>
      <c r="G272" s="2" t="s">
        <v>1598</v>
      </c>
      <c r="H272" s="2" t="s">
        <v>1599</v>
      </c>
      <c r="I272" s="2" t="s">
        <v>112</v>
      </c>
      <c r="J272" s="2" t="s">
        <v>32</v>
      </c>
      <c r="K272" s="2" t="s">
        <v>1300</v>
      </c>
      <c r="L272" s="2" t="s">
        <v>113</v>
      </c>
      <c r="M272" s="3">
        <v>44071</v>
      </c>
      <c r="N272" s="3">
        <v>44090</v>
      </c>
      <c r="O272" s="4">
        <v>500</v>
      </c>
      <c r="P272" s="2" t="s">
        <v>114</v>
      </c>
      <c r="Q272" s="2" t="s">
        <v>85</v>
      </c>
      <c r="R272" s="2" t="s">
        <v>86</v>
      </c>
      <c r="S272" s="2" t="s">
        <v>439</v>
      </c>
      <c r="T272" s="2" t="s">
        <v>117</v>
      </c>
      <c r="U272" s="2" t="s">
        <v>290</v>
      </c>
      <c r="V272" s="2" t="s">
        <v>118</v>
      </c>
      <c r="W272" s="2" t="s">
        <v>412</v>
      </c>
      <c r="X272" s="2" t="s">
        <v>412</v>
      </c>
      <c r="Y272" s="2" t="s">
        <v>440</v>
      </c>
      <c r="Z272" s="2" t="s">
        <v>412</v>
      </c>
      <c r="AA272" s="2" t="s">
        <v>39</v>
      </c>
      <c r="AB272" s="2" t="s">
        <v>441</v>
      </c>
    </row>
    <row r="273" spans="1:28" hidden="1" x14ac:dyDescent="0.2">
      <c r="A273" s="2" t="s">
        <v>431</v>
      </c>
      <c r="B273" s="3">
        <v>44073</v>
      </c>
      <c r="C273" s="2" t="s">
        <v>1593</v>
      </c>
      <c r="D273" s="2" t="s">
        <v>28</v>
      </c>
      <c r="E273" s="2" t="s">
        <v>129</v>
      </c>
      <c r="F273" s="2" t="s">
        <v>346</v>
      </c>
      <c r="G273" s="2" t="s">
        <v>1600</v>
      </c>
      <c r="H273" s="2" t="s">
        <v>1601</v>
      </c>
      <c r="I273" s="2" t="s">
        <v>112</v>
      </c>
      <c r="J273" s="2" t="s">
        <v>32</v>
      </c>
      <c r="K273" s="2" t="s">
        <v>1300</v>
      </c>
      <c r="L273" s="2" t="s">
        <v>113</v>
      </c>
      <c r="M273" s="3">
        <v>44071</v>
      </c>
      <c r="N273" s="3">
        <v>44090</v>
      </c>
      <c r="O273" s="4">
        <v>500</v>
      </c>
      <c r="P273" s="2" t="s">
        <v>114</v>
      </c>
      <c r="Q273" s="2" t="s">
        <v>85</v>
      </c>
      <c r="R273" s="2" t="s">
        <v>86</v>
      </c>
      <c r="S273" s="2" t="s">
        <v>439</v>
      </c>
      <c r="T273" s="2" t="s">
        <v>117</v>
      </c>
      <c r="U273" s="2" t="s">
        <v>290</v>
      </c>
      <c r="V273" s="2" t="s">
        <v>118</v>
      </c>
      <c r="W273" s="2" t="s">
        <v>412</v>
      </c>
      <c r="X273" s="2" t="s">
        <v>412</v>
      </c>
      <c r="Y273" s="2" t="s">
        <v>440</v>
      </c>
      <c r="Z273" s="2" t="s">
        <v>412</v>
      </c>
      <c r="AA273" s="2" t="s">
        <v>39</v>
      </c>
      <c r="AB273" s="2" t="s">
        <v>441</v>
      </c>
    </row>
    <row r="274" spans="1:28" hidden="1" x14ac:dyDescent="0.2">
      <c r="A274" s="2" t="s">
        <v>431</v>
      </c>
      <c r="B274" s="3">
        <v>44073</v>
      </c>
      <c r="C274" s="2" t="s">
        <v>1593</v>
      </c>
      <c r="D274" s="2" t="s">
        <v>28</v>
      </c>
      <c r="E274" s="2" t="s">
        <v>129</v>
      </c>
      <c r="F274" s="2" t="s">
        <v>346</v>
      </c>
      <c r="G274" s="2" t="s">
        <v>1602</v>
      </c>
      <c r="H274" s="2" t="s">
        <v>1603</v>
      </c>
      <c r="I274" s="2" t="s">
        <v>112</v>
      </c>
      <c r="J274" s="2" t="s">
        <v>32</v>
      </c>
      <c r="K274" s="2" t="s">
        <v>1300</v>
      </c>
      <c r="L274" s="2" t="s">
        <v>113</v>
      </c>
      <c r="M274" s="3">
        <v>44071</v>
      </c>
      <c r="N274" s="3">
        <v>44090</v>
      </c>
      <c r="O274" s="4">
        <v>500</v>
      </c>
      <c r="P274" s="2" t="s">
        <v>114</v>
      </c>
      <c r="Q274" s="2" t="s">
        <v>85</v>
      </c>
      <c r="R274" s="2" t="s">
        <v>86</v>
      </c>
      <c r="S274" s="2" t="s">
        <v>439</v>
      </c>
      <c r="T274" s="2" t="s">
        <v>117</v>
      </c>
      <c r="U274" s="2" t="s">
        <v>290</v>
      </c>
      <c r="V274" s="2" t="s">
        <v>118</v>
      </c>
      <c r="W274" s="2" t="s">
        <v>412</v>
      </c>
      <c r="X274" s="2" t="s">
        <v>412</v>
      </c>
      <c r="Y274" s="2" t="s">
        <v>440</v>
      </c>
      <c r="Z274" s="2" t="s">
        <v>412</v>
      </c>
      <c r="AA274" s="2" t="s">
        <v>39</v>
      </c>
      <c r="AB274" s="2" t="s">
        <v>441</v>
      </c>
    </row>
    <row r="275" spans="1:28" hidden="1" x14ac:dyDescent="0.2">
      <c r="A275" s="2" t="s">
        <v>431</v>
      </c>
      <c r="B275" s="3">
        <v>44073</v>
      </c>
      <c r="C275" s="2" t="s">
        <v>1593</v>
      </c>
      <c r="D275" s="2" t="s">
        <v>28</v>
      </c>
      <c r="E275" s="2" t="s">
        <v>129</v>
      </c>
      <c r="F275" s="2" t="s">
        <v>130</v>
      </c>
      <c r="G275" s="2" t="s">
        <v>1604</v>
      </c>
      <c r="H275" s="2" t="s">
        <v>1605</v>
      </c>
      <c r="I275" s="2" t="s">
        <v>112</v>
      </c>
      <c r="J275" s="2" t="s">
        <v>32</v>
      </c>
      <c r="K275" s="2" t="s">
        <v>1300</v>
      </c>
      <c r="L275" s="2" t="s">
        <v>113</v>
      </c>
      <c r="M275" s="3">
        <v>44071</v>
      </c>
      <c r="N275" s="3">
        <v>44090</v>
      </c>
      <c r="O275" s="4">
        <v>500</v>
      </c>
      <c r="P275" s="2" t="s">
        <v>114</v>
      </c>
      <c r="Q275" s="2" t="s">
        <v>85</v>
      </c>
      <c r="R275" s="2" t="s">
        <v>86</v>
      </c>
      <c r="S275" s="2" t="s">
        <v>439</v>
      </c>
      <c r="T275" s="2" t="s">
        <v>117</v>
      </c>
      <c r="U275" s="2" t="s">
        <v>290</v>
      </c>
      <c r="V275" s="2" t="s">
        <v>118</v>
      </c>
      <c r="W275" s="2" t="s">
        <v>412</v>
      </c>
      <c r="X275" s="2" t="s">
        <v>412</v>
      </c>
      <c r="Y275" s="2" t="s">
        <v>440</v>
      </c>
      <c r="Z275" s="2" t="s">
        <v>412</v>
      </c>
      <c r="AA275" s="2" t="s">
        <v>39</v>
      </c>
      <c r="AB275" s="2" t="s">
        <v>441</v>
      </c>
    </row>
    <row r="276" spans="1:28" hidden="1" x14ac:dyDescent="0.2">
      <c r="A276" s="2" t="s">
        <v>431</v>
      </c>
      <c r="B276" s="3">
        <v>44073</v>
      </c>
      <c r="C276" s="2" t="s">
        <v>1593</v>
      </c>
      <c r="D276" s="2" t="s">
        <v>28</v>
      </c>
      <c r="E276" s="2" t="s">
        <v>129</v>
      </c>
      <c r="F276" s="2" t="s">
        <v>130</v>
      </c>
      <c r="G276" s="2" t="s">
        <v>1606</v>
      </c>
      <c r="H276" s="2" t="s">
        <v>1607</v>
      </c>
      <c r="I276" s="2" t="s">
        <v>112</v>
      </c>
      <c r="J276" s="2" t="s">
        <v>32</v>
      </c>
      <c r="K276" s="2" t="s">
        <v>1300</v>
      </c>
      <c r="L276" s="2" t="s">
        <v>113</v>
      </c>
      <c r="M276" s="3">
        <v>44071</v>
      </c>
      <c r="N276" s="3">
        <v>44090</v>
      </c>
      <c r="O276" s="4">
        <v>500</v>
      </c>
      <c r="P276" s="2" t="s">
        <v>114</v>
      </c>
      <c r="Q276" s="2" t="s">
        <v>85</v>
      </c>
      <c r="R276" s="2" t="s">
        <v>86</v>
      </c>
      <c r="S276" s="2" t="s">
        <v>439</v>
      </c>
      <c r="T276" s="2" t="s">
        <v>117</v>
      </c>
      <c r="U276" s="2" t="s">
        <v>290</v>
      </c>
      <c r="V276" s="2" t="s">
        <v>118</v>
      </c>
      <c r="W276" s="2" t="s">
        <v>412</v>
      </c>
      <c r="X276" s="2" t="s">
        <v>412</v>
      </c>
      <c r="Y276" s="2" t="s">
        <v>440</v>
      </c>
      <c r="Z276" s="2" t="s">
        <v>412</v>
      </c>
      <c r="AA276" s="2" t="s">
        <v>39</v>
      </c>
      <c r="AB276" s="2" t="s">
        <v>441</v>
      </c>
    </row>
    <row r="277" spans="1:28" hidden="1" x14ac:dyDescent="0.2">
      <c r="A277" s="2" t="s">
        <v>431</v>
      </c>
      <c r="B277" s="3">
        <v>44073</v>
      </c>
      <c r="C277" s="2" t="s">
        <v>1593</v>
      </c>
      <c r="D277" s="2" t="s">
        <v>28</v>
      </c>
      <c r="E277" s="2" t="s">
        <v>129</v>
      </c>
      <c r="F277" s="2" t="s">
        <v>130</v>
      </c>
      <c r="G277" s="2" t="s">
        <v>1608</v>
      </c>
      <c r="H277" s="2" t="s">
        <v>1609</v>
      </c>
      <c r="I277" s="2" t="s">
        <v>112</v>
      </c>
      <c r="J277" s="2" t="s">
        <v>32</v>
      </c>
      <c r="K277" s="2" t="s">
        <v>1300</v>
      </c>
      <c r="L277" s="2" t="s">
        <v>113</v>
      </c>
      <c r="M277" s="3">
        <v>44071</v>
      </c>
      <c r="N277" s="3">
        <v>44087</v>
      </c>
      <c r="O277" s="4">
        <v>500</v>
      </c>
      <c r="P277" s="2" t="s">
        <v>114</v>
      </c>
      <c r="Q277" s="2" t="s">
        <v>131</v>
      </c>
      <c r="R277" s="2" t="s">
        <v>132</v>
      </c>
      <c r="S277" s="2" t="s">
        <v>439</v>
      </c>
      <c r="T277" s="2" t="s">
        <v>117</v>
      </c>
      <c r="U277" s="2" t="s">
        <v>290</v>
      </c>
      <c r="V277" s="2" t="s">
        <v>118</v>
      </c>
      <c r="W277" s="2" t="s">
        <v>412</v>
      </c>
      <c r="X277" s="2" t="s">
        <v>412</v>
      </c>
      <c r="Y277" s="2" t="s">
        <v>440</v>
      </c>
      <c r="Z277" s="2" t="s">
        <v>412</v>
      </c>
      <c r="AA277" s="2" t="s">
        <v>39</v>
      </c>
      <c r="AB277" s="2" t="s">
        <v>441</v>
      </c>
    </row>
    <row r="278" spans="1:28" hidden="1" x14ac:dyDescent="0.2">
      <c r="A278" s="2" t="s">
        <v>431</v>
      </c>
      <c r="B278" s="3">
        <v>44073</v>
      </c>
      <c r="C278" s="2" t="s">
        <v>1593</v>
      </c>
      <c r="D278" s="2" t="s">
        <v>28</v>
      </c>
      <c r="E278" s="2" t="s">
        <v>129</v>
      </c>
      <c r="F278" s="2" t="s">
        <v>130</v>
      </c>
      <c r="G278" s="2" t="s">
        <v>1610</v>
      </c>
      <c r="H278" s="2" t="s">
        <v>1611</v>
      </c>
      <c r="I278" s="2" t="s">
        <v>112</v>
      </c>
      <c r="J278" s="2" t="s">
        <v>32</v>
      </c>
      <c r="K278" s="2" t="s">
        <v>1300</v>
      </c>
      <c r="L278" s="2" t="s">
        <v>113</v>
      </c>
      <c r="M278" s="3">
        <v>44071</v>
      </c>
      <c r="N278" s="3">
        <v>44087</v>
      </c>
      <c r="O278" s="4">
        <v>500</v>
      </c>
      <c r="P278" s="2" t="s">
        <v>114</v>
      </c>
      <c r="Q278" s="2" t="s">
        <v>131</v>
      </c>
      <c r="R278" s="2" t="s">
        <v>132</v>
      </c>
      <c r="S278" s="2" t="s">
        <v>439</v>
      </c>
      <c r="T278" s="2" t="s">
        <v>117</v>
      </c>
      <c r="U278" s="2" t="s">
        <v>290</v>
      </c>
      <c r="V278" s="2" t="s">
        <v>118</v>
      </c>
      <c r="W278" s="2" t="s">
        <v>412</v>
      </c>
      <c r="X278" s="2" t="s">
        <v>412</v>
      </c>
      <c r="Y278" s="2" t="s">
        <v>440</v>
      </c>
      <c r="Z278" s="2" t="s">
        <v>412</v>
      </c>
      <c r="AA278" s="2" t="s">
        <v>39</v>
      </c>
      <c r="AB278" s="2" t="s">
        <v>441</v>
      </c>
    </row>
    <row r="279" spans="1:28" hidden="1" x14ac:dyDescent="0.2">
      <c r="A279" s="2" t="s">
        <v>431</v>
      </c>
      <c r="B279" s="3">
        <v>44073</v>
      </c>
      <c r="C279" s="2" t="s">
        <v>1593</v>
      </c>
      <c r="D279" s="2" t="s">
        <v>28</v>
      </c>
      <c r="E279" s="2" t="s">
        <v>129</v>
      </c>
      <c r="F279" s="2" t="s">
        <v>130</v>
      </c>
      <c r="G279" s="2" t="s">
        <v>1612</v>
      </c>
      <c r="H279" s="2" t="s">
        <v>1613</v>
      </c>
      <c r="I279" s="2" t="s">
        <v>112</v>
      </c>
      <c r="J279" s="2" t="s">
        <v>32</v>
      </c>
      <c r="K279" s="2" t="s">
        <v>1300</v>
      </c>
      <c r="L279" s="2" t="s">
        <v>113</v>
      </c>
      <c r="M279" s="3">
        <v>44071</v>
      </c>
      <c r="N279" s="3">
        <v>44087</v>
      </c>
      <c r="O279" s="4">
        <v>500</v>
      </c>
      <c r="P279" s="2" t="s">
        <v>114</v>
      </c>
      <c r="Q279" s="2" t="s">
        <v>131</v>
      </c>
      <c r="R279" s="2" t="s">
        <v>132</v>
      </c>
      <c r="S279" s="2" t="s">
        <v>439</v>
      </c>
      <c r="T279" s="2" t="s">
        <v>117</v>
      </c>
      <c r="U279" s="2" t="s">
        <v>290</v>
      </c>
      <c r="V279" s="2" t="s">
        <v>118</v>
      </c>
      <c r="W279" s="2" t="s">
        <v>412</v>
      </c>
      <c r="X279" s="2" t="s">
        <v>412</v>
      </c>
      <c r="Y279" s="2" t="s">
        <v>440</v>
      </c>
      <c r="Z279" s="2" t="s">
        <v>412</v>
      </c>
      <c r="AA279" s="2" t="s">
        <v>39</v>
      </c>
      <c r="AB279" s="2" t="s">
        <v>441</v>
      </c>
    </row>
    <row r="280" spans="1:28" hidden="1" x14ac:dyDescent="0.2">
      <c r="A280" s="2" t="s">
        <v>431</v>
      </c>
      <c r="B280" s="3">
        <v>44073</v>
      </c>
      <c r="C280" s="2" t="s">
        <v>1593</v>
      </c>
      <c r="D280" s="2" t="s">
        <v>28</v>
      </c>
      <c r="E280" s="2" t="s">
        <v>129</v>
      </c>
      <c r="F280" s="2" t="s">
        <v>130</v>
      </c>
      <c r="G280" s="2" t="s">
        <v>1614</v>
      </c>
      <c r="H280" s="2" t="s">
        <v>1615</v>
      </c>
      <c r="I280" s="2" t="s">
        <v>112</v>
      </c>
      <c r="J280" s="2" t="s">
        <v>32</v>
      </c>
      <c r="K280" s="2" t="s">
        <v>1300</v>
      </c>
      <c r="L280" s="2" t="s">
        <v>113</v>
      </c>
      <c r="M280" s="3">
        <v>44071</v>
      </c>
      <c r="N280" s="3">
        <v>44087</v>
      </c>
      <c r="O280" s="4">
        <v>500</v>
      </c>
      <c r="P280" s="2" t="s">
        <v>114</v>
      </c>
      <c r="Q280" s="2" t="s">
        <v>131</v>
      </c>
      <c r="R280" s="2" t="s">
        <v>132</v>
      </c>
      <c r="S280" s="2" t="s">
        <v>439</v>
      </c>
      <c r="T280" s="2" t="s">
        <v>117</v>
      </c>
      <c r="U280" s="2" t="s">
        <v>290</v>
      </c>
      <c r="V280" s="2" t="s">
        <v>118</v>
      </c>
      <c r="W280" s="2" t="s">
        <v>412</v>
      </c>
      <c r="X280" s="2" t="s">
        <v>412</v>
      </c>
      <c r="Y280" s="2" t="s">
        <v>440</v>
      </c>
      <c r="Z280" s="2" t="s">
        <v>412</v>
      </c>
      <c r="AA280" s="2" t="s">
        <v>39</v>
      </c>
      <c r="AB280" s="2" t="s">
        <v>441</v>
      </c>
    </row>
    <row r="281" spans="1:28" hidden="1" x14ac:dyDescent="0.2">
      <c r="A281" s="2" t="s">
        <v>431</v>
      </c>
      <c r="B281" s="3">
        <v>44073</v>
      </c>
      <c r="C281" s="2" t="s">
        <v>1593</v>
      </c>
      <c r="D281" s="2" t="s">
        <v>28</v>
      </c>
      <c r="E281" s="2" t="s">
        <v>129</v>
      </c>
      <c r="F281" s="2" t="s">
        <v>130</v>
      </c>
      <c r="G281" s="2" t="s">
        <v>1616</v>
      </c>
      <c r="H281" s="2" t="s">
        <v>1617</v>
      </c>
      <c r="I281" s="2" t="s">
        <v>112</v>
      </c>
      <c r="J281" s="2" t="s">
        <v>32</v>
      </c>
      <c r="K281" s="2" t="s">
        <v>1300</v>
      </c>
      <c r="L281" s="2" t="s">
        <v>113</v>
      </c>
      <c r="M281" s="3">
        <v>44071</v>
      </c>
      <c r="N281" s="3">
        <v>44087</v>
      </c>
      <c r="O281" s="4">
        <v>500</v>
      </c>
      <c r="P281" s="2" t="s">
        <v>114</v>
      </c>
      <c r="Q281" s="2" t="s">
        <v>131</v>
      </c>
      <c r="R281" s="2" t="s">
        <v>132</v>
      </c>
      <c r="S281" s="2" t="s">
        <v>439</v>
      </c>
      <c r="T281" s="2" t="s">
        <v>117</v>
      </c>
      <c r="U281" s="2" t="s">
        <v>290</v>
      </c>
      <c r="V281" s="2" t="s">
        <v>118</v>
      </c>
      <c r="W281" s="2" t="s">
        <v>412</v>
      </c>
      <c r="X281" s="2" t="s">
        <v>412</v>
      </c>
      <c r="Y281" s="2" t="s">
        <v>440</v>
      </c>
      <c r="Z281" s="2" t="s">
        <v>412</v>
      </c>
      <c r="AA281" s="2" t="s">
        <v>39</v>
      </c>
      <c r="AB281" s="2" t="s">
        <v>441</v>
      </c>
    </row>
    <row r="282" spans="1:28" hidden="1" x14ac:dyDescent="0.2">
      <c r="A282" s="2" t="s">
        <v>431</v>
      </c>
      <c r="B282" s="3">
        <v>44073</v>
      </c>
      <c r="C282" s="2" t="s">
        <v>1618</v>
      </c>
      <c r="D282" s="2" t="s">
        <v>28</v>
      </c>
      <c r="E282" s="2" t="s">
        <v>29</v>
      </c>
      <c r="F282" s="2" t="s">
        <v>397</v>
      </c>
      <c r="G282" s="2" t="s">
        <v>1619</v>
      </c>
      <c r="H282" s="2" t="s">
        <v>1620</v>
      </c>
      <c r="I282" s="2" t="s">
        <v>31</v>
      </c>
      <c r="J282" s="2" t="s">
        <v>32</v>
      </c>
      <c r="K282" s="2" t="s">
        <v>133</v>
      </c>
      <c r="L282" s="2" t="s">
        <v>954</v>
      </c>
      <c r="M282" s="3">
        <v>44071</v>
      </c>
      <c r="N282" s="3">
        <v>44089</v>
      </c>
      <c r="O282" s="4">
        <v>501.904</v>
      </c>
      <c r="P282" s="2" t="s">
        <v>33</v>
      </c>
      <c r="Q282" s="2" t="s">
        <v>153</v>
      </c>
      <c r="R282" s="2" t="s">
        <v>154</v>
      </c>
      <c r="S282" s="2" t="s">
        <v>477</v>
      </c>
      <c r="T282" s="2" t="s">
        <v>362</v>
      </c>
      <c r="U282" s="2" t="s">
        <v>290</v>
      </c>
      <c r="V282" s="2" t="s">
        <v>155</v>
      </c>
      <c r="W282" s="2" t="s">
        <v>1621</v>
      </c>
      <c r="X282" s="2" t="s">
        <v>412</v>
      </c>
      <c r="Y282" s="2" t="s">
        <v>448</v>
      </c>
      <c r="Z282" s="2" t="s">
        <v>412</v>
      </c>
      <c r="AA282" s="2" t="s">
        <v>39</v>
      </c>
      <c r="AB282" s="2" t="s">
        <v>414</v>
      </c>
    </row>
    <row r="283" spans="1:28" hidden="1" x14ac:dyDescent="0.2">
      <c r="A283" s="2" t="s">
        <v>427</v>
      </c>
      <c r="B283" s="3">
        <v>44074</v>
      </c>
      <c r="C283" s="2" t="s">
        <v>1622</v>
      </c>
      <c r="D283" s="2" t="s">
        <v>62</v>
      </c>
      <c r="E283" s="2" t="s">
        <v>296</v>
      </c>
      <c r="F283" s="2" t="s">
        <v>297</v>
      </c>
      <c r="G283" s="2" t="s">
        <v>1623</v>
      </c>
      <c r="H283" s="2" t="s">
        <v>1624</v>
      </c>
      <c r="I283" s="2" t="s">
        <v>298</v>
      </c>
      <c r="J283" s="2" t="s">
        <v>58</v>
      </c>
      <c r="K283" s="2" t="s">
        <v>1625</v>
      </c>
      <c r="L283" s="2" t="s">
        <v>547</v>
      </c>
      <c r="M283" s="3">
        <v>44071</v>
      </c>
      <c r="N283" s="3">
        <v>44093</v>
      </c>
      <c r="O283" s="4">
        <v>70.334999999999994</v>
      </c>
      <c r="P283" s="2" t="s">
        <v>48</v>
      </c>
      <c r="Q283" s="2" t="s">
        <v>59</v>
      </c>
      <c r="R283" s="2" t="s">
        <v>60</v>
      </c>
      <c r="S283" s="2" t="s">
        <v>446</v>
      </c>
      <c r="T283" s="2" t="s">
        <v>61</v>
      </c>
      <c r="U283" s="2" t="s">
        <v>290</v>
      </c>
      <c r="V283" s="2" t="s">
        <v>52</v>
      </c>
      <c r="W283" s="2" t="s">
        <v>1626</v>
      </c>
      <c r="X283" s="2" t="s">
        <v>412</v>
      </c>
      <c r="Y283" s="2" t="s">
        <v>502</v>
      </c>
      <c r="Z283" s="2" t="s">
        <v>1627</v>
      </c>
      <c r="AA283" s="2" t="s">
        <v>39</v>
      </c>
      <c r="AB283" s="2" t="s">
        <v>414</v>
      </c>
    </row>
    <row r="284" spans="1:28" hidden="1" x14ac:dyDescent="0.2">
      <c r="A284" s="2" t="s">
        <v>427</v>
      </c>
      <c r="B284" s="3">
        <v>44074</v>
      </c>
      <c r="C284" s="2" t="s">
        <v>1622</v>
      </c>
      <c r="D284" s="2" t="s">
        <v>62</v>
      </c>
      <c r="E284" s="2" t="s">
        <v>294</v>
      </c>
      <c r="F284" s="2" t="s">
        <v>295</v>
      </c>
      <c r="G284" s="2" t="s">
        <v>1628</v>
      </c>
      <c r="H284" s="2" t="s">
        <v>1629</v>
      </c>
      <c r="I284" s="2" t="s">
        <v>77</v>
      </c>
      <c r="J284" s="2" t="s">
        <v>32</v>
      </c>
      <c r="K284" s="2" t="s">
        <v>1625</v>
      </c>
      <c r="L284" s="2" t="s">
        <v>547</v>
      </c>
      <c r="M284" s="3">
        <v>44071</v>
      </c>
      <c r="N284" s="3">
        <v>44093</v>
      </c>
      <c r="O284" s="4">
        <v>99.36</v>
      </c>
      <c r="P284" s="2" t="s">
        <v>48</v>
      </c>
      <c r="Q284" s="2" t="s">
        <v>59</v>
      </c>
      <c r="R284" s="2" t="s">
        <v>60</v>
      </c>
      <c r="S284" s="2" t="s">
        <v>419</v>
      </c>
      <c r="T284" s="2" t="s">
        <v>36</v>
      </c>
      <c r="U284" s="2" t="s">
        <v>290</v>
      </c>
      <c r="V284" s="2" t="s">
        <v>52</v>
      </c>
      <c r="W284" s="2" t="s">
        <v>1630</v>
      </c>
      <c r="X284" s="2" t="s">
        <v>412</v>
      </c>
      <c r="Y284" s="2" t="s">
        <v>437</v>
      </c>
      <c r="Z284" s="2" t="s">
        <v>1492</v>
      </c>
      <c r="AA284" s="2" t="s">
        <v>39</v>
      </c>
      <c r="AB284" s="2" t="s">
        <v>414</v>
      </c>
    </row>
    <row r="285" spans="1:28" hidden="1" x14ac:dyDescent="0.2">
      <c r="A285" s="2" t="s">
        <v>427</v>
      </c>
      <c r="B285" s="3">
        <v>44068</v>
      </c>
      <c r="C285" s="2" t="s">
        <v>1631</v>
      </c>
      <c r="D285" s="2" t="s">
        <v>91</v>
      </c>
      <c r="E285" s="2" t="s">
        <v>258</v>
      </c>
      <c r="F285" s="2" t="s">
        <v>259</v>
      </c>
      <c r="G285" s="2" t="s">
        <v>1632</v>
      </c>
      <c r="H285" s="2" t="s">
        <v>1633</v>
      </c>
      <c r="I285" s="2" t="s">
        <v>77</v>
      </c>
      <c r="J285" s="2" t="s">
        <v>32</v>
      </c>
      <c r="K285" s="2" t="s">
        <v>581</v>
      </c>
      <c r="L285" s="2" t="s">
        <v>1634</v>
      </c>
      <c r="M285" s="3">
        <v>44071</v>
      </c>
      <c r="N285" s="3">
        <v>44094</v>
      </c>
      <c r="O285" s="4">
        <v>198.72</v>
      </c>
      <c r="P285" s="2" t="s">
        <v>48</v>
      </c>
      <c r="Q285" s="2" t="s">
        <v>134</v>
      </c>
      <c r="R285" s="2" t="s">
        <v>135</v>
      </c>
      <c r="S285" s="2" t="s">
        <v>420</v>
      </c>
      <c r="T285" s="2" t="s">
        <v>36</v>
      </c>
      <c r="U285" s="2" t="s">
        <v>290</v>
      </c>
      <c r="V285" s="2" t="s">
        <v>52</v>
      </c>
      <c r="W285" s="2" t="s">
        <v>1635</v>
      </c>
      <c r="X285" s="2" t="s">
        <v>412</v>
      </c>
      <c r="Y285" s="2" t="s">
        <v>421</v>
      </c>
      <c r="Z285" s="2" t="s">
        <v>412</v>
      </c>
      <c r="AA285" s="2" t="s">
        <v>39</v>
      </c>
      <c r="AB285" s="2" t="s">
        <v>414</v>
      </c>
    </row>
    <row r="286" spans="1:28" hidden="1" x14ac:dyDescent="0.2">
      <c r="A286" s="2" t="s">
        <v>427</v>
      </c>
      <c r="B286" s="3">
        <v>44073</v>
      </c>
      <c r="C286" s="2" t="s">
        <v>1636</v>
      </c>
      <c r="D286" s="2" t="s">
        <v>74</v>
      </c>
      <c r="E286" s="2" t="s">
        <v>75</v>
      </c>
      <c r="F286" s="2" t="s">
        <v>966</v>
      </c>
      <c r="G286" s="2" t="s">
        <v>1637</v>
      </c>
      <c r="H286" s="2" t="s">
        <v>1638</v>
      </c>
      <c r="I286" s="2" t="s">
        <v>77</v>
      </c>
      <c r="J286" s="2" t="s">
        <v>32</v>
      </c>
      <c r="K286" s="2" t="s">
        <v>1639</v>
      </c>
      <c r="L286" s="2" t="s">
        <v>1640</v>
      </c>
      <c r="M286" s="3">
        <v>44071</v>
      </c>
      <c r="N286" s="3">
        <v>44131</v>
      </c>
      <c r="O286" s="4">
        <v>496.8</v>
      </c>
      <c r="P286" s="2" t="s">
        <v>48</v>
      </c>
      <c r="Q286" s="2" t="s">
        <v>149</v>
      </c>
      <c r="R286" s="2" t="s">
        <v>150</v>
      </c>
      <c r="S286" s="2" t="s">
        <v>428</v>
      </c>
      <c r="T286" s="2" t="s">
        <v>36</v>
      </c>
      <c r="U286" s="2" t="s">
        <v>290</v>
      </c>
      <c r="V286" s="2" t="s">
        <v>73</v>
      </c>
      <c r="W286" s="2" t="s">
        <v>1641</v>
      </c>
      <c r="X286" s="2" t="s">
        <v>412</v>
      </c>
      <c r="Y286" s="2" t="s">
        <v>429</v>
      </c>
      <c r="Z286" s="2" t="s">
        <v>412</v>
      </c>
      <c r="AA286" s="2" t="s">
        <v>39</v>
      </c>
      <c r="AB286" s="2" t="s">
        <v>414</v>
      </c>
    </row>
    <row r="287" spans="1:28" hidden="1" x14ac:dyDescent="0.2">
      <c r="A287" s="2" t="s">
        <v>427</v>
      </c>
      <c r="B287" s="3">
        <v>44074</v>
      </c>
      <c r="C287" s="2" t="s">
        <v>1642</v>
      </c>
      <c r="D287" s="2" t="s">
        <v>137</v>
      </c>
      <c r="E287" s="2" t="s">
        <v>392</v>
      </c>
      <c r="F287" s="2" t="s">
        <v>393</v>
      </c>
      <c r="G287" s="2" t="s">
        <v>1643</v>
      </c>
      <c r="H287" s="2" t="s">
        <v>1644</v>
      </c>
      <c r="I287" s="2" t="s">
        <v>394</v>
      </c>
      <c r="J287" s="2" t="s">
        <v>58</v>
      </c>
      <c r="K287" s="2" t="s">
        <v>245</v>
      </c>
      <c r="L287" s="2" t="s">
        <v>1645</v>
      </c>
      <c r="M287" s="3">
        <v>44072</v>
      </c>
      <c r="N287" s="3">
        <v>44102</v>
      </c>
      <c r="O287" s="4">
        <v>145.29599999999999</v>
      </c>
      <c r="P287" s="2" t="s">
        <v>48</v>
      </c>
      <c r="Q287" s="2" t="s">
        <v>166</v>
      </c>
      <c r="R287" s="2" t="s">
        <v>395</v>
      </c>
      <c r="S287" s="2" t="s">
        <v>465</v>
      </c>
      <c r="T287" s="2" t="s">
        <v>36</v>
      </c>
      <c r="U287" s="2" t="s">
        <v>290</v>
      </c>
      <c r="V287" s="2" t="s">
        <v>52</v>
      </c>
      <c r="W287" s="2" t="s">
        <v>1646</v>
      </c>
      <c r="X287" s="2" t="s">
        <v>412</v>
      </c>
      <c r="Y287" s="2" t="s">
        <v>471</v>
      </c>
      <c r="Z287" s="2" t="s">
        <v>1647</v>
      </c>
      <c r="AA287" s="2" t="s">
        <v>39</v>
      </c>
      <c r="AB287" s="2" t="s">
        <v>414</v>
      </c>
    </row>
    <row r="288" spans="1:28" hidden="1" x14ac:dyDescent="0.2">
      <c r="A288" s="2" t="s">
        <v>431</v>
      </c>
      <c r="B288" s="3">
        <v>44073</v>
      </c>
      <c r="C288" s="2" t="s">
        <v>1648</v>
      </c>
      <c r="D288" s="2" t="s">
        <v>74</v>
      </c>
      <c r="E288" s="2" t="s">
        <v>207</v>
      </c>
      <c r="F288" s="2" t="s">
        <v>208</v>
      </c>
      <c r="G288" s="2" t="s">
        <v>1649</v>
      </c>
      <c r="H288" s="2" t="s">
        <v>1650</v>
      </c>
      <c r="I288" s="2" t="s">
        <v>291</v>
      </c>
      <c r="J288" s="2" t="s">
        <v>58</v>
      </c>
      <c r="K288" s="2" t="s">
        <v>573</v>
      </c>
      <c r="L288" s="2" t="s">
        <v>1588</v>
      </c>
      <c r="M288" s="3">
        <v>44073</v>
      </c>
      <c r="N288" s="3">
        <v>44125</v>
      </c>
      <c r="O288" s="4">
        <v>51.28</v>
      </c>
      <c r="P288" s="2" t="s">
        <v>33</v>
      </c>
      <c r="Q288" s="2" t="s">
        <v>210</v>
      </c>
      <c r="R288" s="2" t="s">
        <v>364</v>
      </c>
      <c r="S288" s="2" t="s">
        <v>449</v>
      </c>
      <c r="T288" s="2" t="s">
        <v>72</v>
      </c>
      <c r="U288" s="2" t="s">
        <v>290</v>
      </c>
      <c r="V288" s="2" t="s">
        <v>65</v>
      </c>
      <c r="W288" s="2" t="s">
        <v>1651</v>
      </c>
      <c r="X288" s="2" t="s">
        <v>412</v>
      </c>
      <c r="Y288" s="2" t="s">
        <v>428</v>
      </c>
      <c r="Z288" s="2" t="s">
        <v>1466</v>
      </c>
      <c r="AA288" s="2" t="s">
        <v>39</v>
      </c>
      <c r="AB288" s="2" t="s">
        <v>414</v>
      </c>
    </row>
    <row r="289" spans="1:28" hidden="1" x14ac:dyDescent="0.2">
      <c r="A289" s="2" t="s">
        <v>431</v>
      </c>
      <c r="B289" s="3">
        <v>44073</v>
      </c>
      <c r="C289" s="2" t="s">
        <v>1652</v>
      </c>
      <c r="D289" s="2" t="s">
        <v>28</v>
      </c>
      <c r="E289" s="2" t="s">
        <v>29</v>
      </c>
      <c r="F289" s="2" t="s">
        <v>41</v>
      </c>
      <c r="G289" s="2" t="s">
        <v>1653</v>
      </c>
      <c r="H289" s="2" t="s">
        <v>1654</v>
      </c>
      <c r="I289" s="2" t="s">
        <v>31</v>
      </c>
      <c r="J289" s="2" t="s">
        <v>32</v>
      </c>
      <c r="K289" s="2" t="s">
        <v>574</v>
      </c>
      <c r="L289" s="2" t="s">
        <v>1516</v>
      </c>
      <c r="M289" s="3">
        <v>44074</v>
      </c>
      <c r="N289" s="3">
        <v>44090</v>
      </c>
      <c r="O289" s="4">
        <v>501.904</v>
      </c>
      <c r="P289" s="2" t="s">
        <v>33</v>
      </c>
      <c r="Q289" s="2" t="s">
        <v>115</v>
      </c>
      <c r="R289" s="2" t="s">
        <v>116</v>
      </c>
      <c r="S289" s="2" t="s">
        <v>447</v>
      </c>
      <c r="T289" s="2" t="s">
        <v>140</v>
      </c>
      <c r="U289" s="2" t="s">
        <v>290</v>
      </c>
      <c r="V289" s="2" t="s">
        <v>52</v>
      </c>
      <c r="W289" s="2" t="s">
        <v>1655</v>
      </c>
      <c r="X289" s="2" t="s">
        <v>412</v>
      </c>
      <c r="Y289" s="2" t="s">
        <v>448</v>
      </c>
      <c r="Z289" s="2" t="s">
        <v>412</v>
      </c>
      <c r="AA289" s="2" t="s">
        <v>39</v>
      </c>
      <c r="AB289" s="2" t="s">
        <v>414</v>
      </c>
    </row>
    <row r="290" spans="1:28" hidden="1" x14ac:dyDescent="0.2">
      <c r="A290" s="2" t="s">
        <v>431</v>
      </c>
      <c r="B290" s="3">
        <v>44073</v>
      </c>
      <c r="C290" s="2" t="s">
        <v>1652</v>
      </c>
      <c r="D290" s="2" t="s">
        <v>28</v>
      </c>
      <c r="E290" s="2" t="s">
        <v>29</v>
      </c>
      <c r="F290" s="2" t="s">
        <v>41</v>
      </c>
      <c r="G290" s="2" t="s">
        <v>1656</v>
      </c>
      <c r="H290" s="2" t="s">
        <v>1657</v>
      </c>
      <c r="I290" s="2" t="s">
        <v>31</v>
      </c>
      <c r="J290" s="2" t="s">
        <v>32</v>
      </c>
      <c r="K290" s="2" t="s">
        <v>574</v>
      </c>
      <c r="L290" s="2" t="s">
        <v>1516</v>
      </c>
      <c r="M290" s="3">
        <v>44074</v>
      </c>
      <c r="N290" s="3">
        <v>44090</v>
      </c>
      <c r="O290" s="4">
        <v>501.904</v>
      </c>
      <c r="P290" s="2" t="s">
        <v>33</v>
      </c>
      <c r="Q290" s="2" t="s">
        <v>115</v>
      </c>
      <c r="R290" s="2" t="s">
        <v>116</v>
      </c>
      <c r="S290" s="2" t="s">
        <v>447</v>
      </c>
      <c r="T290" s="2" t="s">
        <v>140</v>
      </c>
      <c r="U290" s="2" t="s">
        <v>290</v>
      </c>
      <c r="V290" s="2" t="s">
        <v>52</v>
      </c>
      <c r="W290" s="2" t="s">
        <v>1658</v>
      </c>
      <c r="X290" s="2" t="s">
        <v>412</v>
      </c>
      <c r="Y290" s="2" t="s">
        <v>448</v>
      </c>
      <c r="Z290" s="2" t="s">
        <v>412</v>
      </c>
      <c r="AA290" s="2" t="s">
        <v>39</v>
      </c>
      <c r="AB290" s="2" t="s">
        <v>414</v>
      </c>
    </row>
    <row r="291" spans="1:28" hidden="1" x14ac:dyDescent="0.2">
      <c r="A291" s="2" t="s">
        <v>427</v>
      </c>
      <c r="B291" s="3">
        <v>44073</v>
      </c>
      <c r="C291" s="2" t="s">
        <v>1659</v>
      </c>
      <c r="D291" s="2" t="s">
        <v>365</v>
      </c>
      <c r="E291" s="2" t="s">
        <v>543</v>
      </c>
      <c r="F291" s="2" t="s">
        <v>575</v>
      </c>
      <c r="G291" s="2" t="s">
        <v>1660</v>
      </c>
      <c r="H291" s="2" t="s">
        <v>1661</v>
      </c>
      <c r="I291" s="2" t="s">
        <v>77</v>
      </c>
      <c r="J291" s="2" t="s">
        <v>32</v>
      </c>
      <c r="K291" s="2" t="s">
        <v>403</v>
      </c>
      <c r="L291" s="2" t="s">
        <v>490</v>
      </c>
      <c r="M291" s="3">
        <v>44074</v>
      </c>
      <c r="N291" s="3">
        <v>44095</v>
      </c>
      <c r="O291" s="4">
        <v>496.8</v>
      </c>
      <c r="P291" s="2" t="s">
        <v>48</v>
      </c>
      <c r="Q291" s="2" t="s">
        <v>576</v>
      </c>
      <c r="R291" s="2" t="s">
        <v>577</v>
      </c>
      <c r="S291" s="2" t="s">
        <v>455</v>
      </c>
      <c r="T291" s="2" t="s">
        <v>42</v>
      </c>
      <c r="U291" s="2" t="s">
        <v>1139</v>
      </c>
      <c r="V291" s="2" t="s">
        <v>52</v>
      </c>
      <c r="W291" s="2" t="s">
        <v>1662</v>
      </c>
      <c r="X291" s="2" t="s">
        <v>412</v>
      </c>
      <c r="Y291" s="2" t="s">
        <v>429</v>
      </c>
      <c r="Z291" s="2" t="s">
        <v>412</v>
      </c>
      <c r="AA291" s="2" t="s">
        <v>39</v>
      </c>
      <c r="AB291" s="2" t="s">
        <v>414</v>
      </c>
    </row>
    <row r="292" spans="1:28" s="2" customFormat="1" hidden="1" x14ac:dyDescent="0.2">
      <c r="A292" s="2" t="s">
        <v>410</v>
      </c>
      <c r="B292" s="3">
        <v>44073</v>
      </c>
      <c r="C292" s="2" t="s">
        <v>412</v>
      </c>
      <c r="D292" s="2" t="s">
        <v>28</v>
      </c>
      <c r="E292" s="2" t="s">
        <v>129</v>
      </c>
      <c r="F292" s="2" t="s">
        <v>507</v>
      </c>
      <c r="G292" s="2" t="s">
        <v>1663</v>
      </c>
      <c r="H292" s="2" t="s">
        <v>1664</v>
      </c>
      <c r="I292" s="2" t="s">
        <v>89</v>
      </c>
      <c r="J292" s="2" t="s">
        <v>90</v>
      </c>
      <c r="K292" s="2" t="s">
        <v>412</v>
      </c>
      <c r="L292" s="2" t="s">
        <v>412</v>
      </c>
      <c r="M292" s="3"/>
      <c r="N292" s="3">
        <v>44099</v>
      </c>
      <c r="O292" s="4">
        <v>498.4</v>
      </c>
      <c r="P292" s="2" t="s">
        <v>84</v>
      </c>
      <c r="Q292" s="2" t="s">
        <v>405</v>
      </c>
      <c r="R292" s="2" t="s">
        <v>406</v>
      </c>
      <c r="S292" s="2" t="s">
        <v>428</v>
      </c>
      <c r="T292" s="2" t="s">
        <v>87</v>
      </c>
      <c r="U292" s="2" t="s">
        <v>290</v>
      </c>
      <c r="V292" s="2" t="s">
        <v>412</v>
      </c>
      <c r="W292" s="2" t="s">
        <v>1665</v>
      </c>
      <c r="X292" s="2" t="s">
        <v>412</v>
      </c>
      <c r="Y292" s="2" t="s">
        <v>460</v>
      </c>
      <c r="Z292" s="2" t="s">
        <v>412</v>
      </c>
      <c r="AA292" s="2" t="s">
        <v>39</v>
      </c>
      <c r="AB292" s="2" t="s">
        <v>414</v>
      </c>
    </row>
    <row r="293" spans="1:28" s="2" customFormat="1" hidden="1" x14ac:dyDescent="0.2">
      <c r="A293" s="2" t="s">
        <v>410</v>
      </c>
      <c r="B293" s="3">
        <v>44073</v>
      </c>
      <c r="C293" s="2" t="s">
        <v>412</v>
      </c>
      <c r="D293" s="2" t="s">
        <v>28</v>
      </c>
      <c r="E293" s="2" t="s">
        <v>129</v>
      </c>
      <c r="F293" s="2" t="s">
        <v>507</v>
      </c>
      <c r="G293" s="2" t="s">
        <v>1666</v>
      </c>
      <c r="H293" s="2" t="s">
        <v>1667</v>
      </c>
      <c r="I293" s="2" t="s">
        <v>89</v>
      </c>
      <c r="J293" s="2" t="s">
        <v>90</v>
      </c>
      <c r="K293" s="2" t="s">
        <v>412</v>
      </c>
      <c r="L293" s="2" t="s">
        <v>412</v>
      </c>
      <c r="M293" s="3"/>
      <c r="N293" s="3">
        <v>44099</v>
      </c>
      <c r="O293" s="4">
        <v>498.4</v>
      </c>
      <c r="P293" s="2" t="s">
        <v>84</v>
      </c>
      <c r="Q293" s="2" t="s">
        <v>405</v>
      </c>
      <c r="R293" s="2" t="s">
        <v>406</v>
      </c>
      <c r="S293" s="2" t="s">
        <v>428</v>
      </c>
      <c r="T293" s="2" t="s">
        <v>87</v>
      </c>
      <c r="U293" s="2" t="s">
        <v>290</v>
      </c>
      <c r="V293" s="2" t="s">
        <v>412</v>
      </c>
      <c r="W293" s="2" t="s">
        <v>1668</v>
      </c>
      <c r="X293" s="2" t="s">
        <v>412</v>
      </c>
      <c r="Y293" s="2" t="s">
        <v>460</v>
      </c>
      <c r="Z293" s="2" t="s">
        <v>412</v>
      </c>
      <c r="AA293" s="2" t="s">
        <v>39</v>
      </c>
      <c r="AB293" s="2" t="s">
        <v>414</v>
      </c>
    </row>
    <row r="294" spans="1:28" s="2" customFormat="1" hidden="1" x14ac:dyDescent="0.2">
      <c r="A294" s="2" t="s">
        <v>427</v>
      </c>
      <c r="B294" s="3">
        <v>44073</v>
      </c>
      <c r="C294" s="2" t="s">
        <v>1669</v>
      </c>
      <c r="D294" s="2" t="s">
        <v>91</v>
      </c>
      <c r="E294" s="2" t="s">
        <v>728</v>
      </c>
      <c r="F294" s="2" t="s">
        <v>729</v>
      </c>
      <c r="G294" s="2" t="s">
        <v>1670</v>
      </c>
      <c r="H294" s="2" t="s">
        <v>1671</v>
      </c>
      <c r="I294" s="2" t="s">
        <v>730</v>
      </c>
      <c r="J294" s="2" t="s">
        <v>58</v>
      </c>
      <c r="K294" s="2" t="s">
        <v>579</v>
      </c>
      <c r="L294" s="2" t="s">
        <v>1152</v>
      </c>
      <c r="M294" s="3">
        <v>44075</v>
      </c>
      <c r="N294" s="3">
        <v>44124</v>
      </c>
      <c r="O294" s="4">
        <v>205.744</v>
      </c>
      <c r="P294" s="2" t="s">
        <v>48</v>
      </c>
      <c r="Q294" s="2" t="s">
        <v>731</v>
      </c>
      <c r="R294" s="2" t="s">
        <v>732</v>
      </c>
      <c r="S294" s="2" t="s">
        <v>420</v>
      </c>
      <c r="T294" s="2" t="s">
        <v>72</v>
      </c>
      <c r="U294" s="2" t="s">
        <v>290</v>
      </c>
      <c r="V294" s="2" t="s">
        <v>65</v>
      </c>
      <c r="W294" s="2" t="s">
        <v>1672</v>
      </c>
      <c r="X294" s="2" t="s">
        <v>412</v>
      </c>
      <c r="Y294" s="2" t="s">
        <v>1372</v>
      </c>
      <c r="Z294" s="2" t="s">
        <v>412</v>
      </c>
      <c r="AA294" s="2" t="s">
        <v>733</v>
      </c>
      <c r="AB294" s="2" t="s">
        <v>414</v>
      </c>
    </row>
  </sheetData>
  <autoFilter ref="A1:AB294" xr:uid="{00000000-0009-0000-0000-000004000000}">
    <filterColumn colId="6">
      <filters>
        <filter val="15017854"/>
      </filters>
    </filterColumn>
  </autoFilter>
  <pageMargins left="0.7" right="0.7" top="0.75" bottom="0.75" header="0.3" footer="0.3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07C177EC98944892D6859FC7228F27" ma:contentTypeVersion="12" ma:contentTypeDescription="Create a new document." ma:contentTypeScope="" ma:versionID="fa0312146baf983fe551619124602045">
  <xsd:schema xmlns:xsd="http://www.w3.org/2001/XMLSchema" xmlns:xs="http://www.w3.org/2001/XMLSchema" xmlns:p="http://schemas.microsoft.com/office/2006/metadata/properties" xmlns:ns2="cadb0006-b086-403f-9c46-c0186d7f6965" xmlns:ns3="4af93f69-0cef-4f40-803d-f637351e1512" targetNamespace="http://schemas.microsoft.com/office/2006/metadata/properties" ma:root="true" ma:fieldsID="c8aa75208339fe16869b5142f429bf55" ns2:_="" ns3:_="">
    <xsd:import namespace="cadb0006-b086-403f-9c46-c0186d7f6965"/>
    <xsd:import namespace="4af93f69-0cef-4f40-803d-f637351e15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b0006-b086-403f-9c46-c0186d7f6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93f69-0cef-4f40-803d-f637351e15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C073E2FB-B785-407B-905C-90804A609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b0006-b086-403f-9c46-c0186d7f6965"/>
    <ds:schemaRef ds:uri="4af93f69-0cef-4f40-803d-f637351e1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4E21C8-9986-4CBD-9A5A-420149DF8E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04A8F-C282-4896-B9CF-D39D0E29FC85}">
  <ds:schemaRefs>
    <ds:schemaRef ds:uri="cadb0006-b086-403f-9c46-c0186d7f6965"/>
    <ds:schemaRef ds:uri="http://schemas.openxmlformats.org/package/2006/metadata/core-properties"/>
    <ds:schemaRef ds:uri="http://purl.org/dc/dcmitype/"/>
    <ds:schemaRef ds:uri="http://schemas.microsoft.com/office/2006/metadata/properties"/>
    <ds:schemaRef ds:uri="4af93f69-0cef-4f40-803d-f637351e1512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387BDFB-A020-4290-A229-DAA36C8548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07.08.2020</vt:lpstr>
      <vt:lpstr>06.08.2020</vt:lpstr>
      <vt:lpstr>05.08.2020</vt:lpstr>
      <vt:lpstr>04.08.2020</vt:lpstr>
      <vt:lpstr>03.08.2020</vt:lpstr>
      <vt:lpstr>Original ETD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Teo, Tym (GBS-CAPGEMINISINGAPOREPL)</cp:lastModifiedBy>
  <cp:revision>1</cp:revision>
  <dcterms:created xsi:type="dcterms:W3CDTF">2020-02-06T04:56:19Z</dcterms:created>
  <dcterms:modified xsi:type="dcterms:W3CDTF">2020-08-07T03:34:01Z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0x0101003B07C177EC98944892D6859FC7228F27</vt:lpwstr>
  </property>
</Properties>
</file>